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57b451784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9175615a5c5541eb"/>
    <x:sheet xmlns:r="http://schemas.openxmlformats.org/officeDocument/2006/relationships" name="T0_Abertura" sheetId="2" r:id="R68f56cac6ebf4fe4"/>
    <x:sheet xmlns:r="http://schemas.openxmlformats.org/officeDocument/2006/relationships" name="T1_Acompanhamento" sheetId="3" r:id="R8588087ce39c4f6d"/>
    <x:sheet xmlns:r="http://schemas.openxmlformats.org/officeDocument/2006/relationships" name="T2_Desfecho" sheetId="4" r:id="R3a0081d90ce3417b"/>
    <x:sheet xmlns:r="http://schemas.openxmlformats.org/officeDocument/2006/relationships" name="HIST_60_DIAS" sheetId="5" r:id="R934eb57bc1e44fdf"/>
    <x:sheet xmlns:r="http://schemas.openxmlformats.org/officeDocument/2006/relationships" name="RESUMO_60_DIAS" sheetId="6" r:id="R01e0ce411dba480b"/>
    <x:sheet xmlns:r="http://schemas.openxmlformats.org/officeDocument/2006/relationships" name="FILTROS_DEMO" sheetId="7" r:id="R2aecf67198dd4310"/>
    <x:sheet xmlns:r="http://schemas.openxmlformats.org/officeDocument/2006/relationships" name="FEIRA_ROTEIRO" sheetId="8" r:id="R2c0c70f4397a4a0e"/>
    <x:sheet xmlns:r="http://schemas.openxmlformats.org/officeDocument/2006/relationships" name="FEIRA_ESTENDIDA" sheetId="9" r:id="Rfeb4f95ba91c43b4"/>
    <x:sheet xmlns:r="http://schemas.openxmlformats.org/officeDocument/2006/relationships" name="FEIRA_EVENTOS" sheetId="10" r:id="Rb837f5b7d802449f"/>
    <x:sheet xmlns:r="http://schemas.openxmlformats.org/officeDocument/2006/relationships" name="FEIRA_REGRAS" sheetId="11" r:id="R933aec9b2d17484e"/>
  </x:sheets>
</x:workbook>
</file>

<file path=xl/sharedStrings.xml><?xml version="1.0" encoding="utf-8"?>
<x:sst xmlns:x="http://schemas.openxmlformats.org/spreadsheetml/2006/main">
  <x:si>
    <x:t xml:space="preserve">ORQUESTRA — Simulação do MVP em 3 Momentos</x:t>
  </x:si>
  <x:si>
    <x:t xml:space="preserve">Dados 100% sintéticos, estruturados a partir dos campos e conceitos da amostra OTIS analisada.</x:t>
  </x:si>
  <x:si>
    <x:t xml:space="preserve">Item</x:t>
  </x:si>
  <x:si>
    <x:t xml:space="preserve">Descrição</x:t>
  </x:si>
  <x:si>
    <x:t xml:space="preserve">Cor</x:t>
  </x:si>
  <x:si>
    <x:t xml:space="preserve">Significado</x:t>
  </x:si>
  <x:si>
    <x:t xml:space="preserve">Papel no MVP</x:t>
  </x:si>
  <x:si>
    <x:t xml:space="preserve">Objetivo</x:t>
  </x:si>
  <x:si>
    <x:t xml:space="preserve">Simular o ORQUESTRA recebendo e atualizando ocorrências ao longo do tempo.</x:t>
  </x:si>
  <x:si>
    <x:t xml:space="preserve">Verde</x:t>
  </x:si>
  <x:si>
    <x:t xml:space="preserve">Operação controlada</x:t>
  </x:si>
  <x:si>
    <x:t xml:space="preserve">Monitorar</x:t>
  </x:si>
  <x:si>
    <x:t xml:space="preserve">Chave de ligação</x:t>
  </x:si>
  <x:si>
    <x:t xml:space="preserve">ID_Chamado — o mesmo chamado pode reaparecer em snapshots posteriores com estado atualizado.</x:t>
  </x:si>
  <x:si>
    <x:t xml:space="preserve">Amarelo</x:t>
  </x:si>
  <x:si>
    <x:t xml:space="preserve">Atenção</x:t>
  </x:si>
  <x:si>
    <x:t xml:space="preserve">Sinais iniciais de deterioração/recorrência</x:t>
  </x:si>
  <x:si>
    <x:t xml:space="preserve">T0_Abertura</x:t>
  </x:si>
  <x:si>
    <x:t xml:space="preserve">08:00 — triagem e contexto inicial; vários campos ainda vazios.</x:t>
  </x:si>
  <x:si>
    <x:t xml:space="preserve">Laranja</x:t>
  </x:si>
  <x:si>
    <x:t xml:space="preserve">Janela de intervenção</x:t>
  </x:si>
  <x:si>
    <x:t xml:space="preserve">Risco elevado; agir para evitar o vermelho</x:t>
  </x:si>
  <x:si>
    <x:t xml:space="preserve">T1_Acompanhamento</x:t>
  </x:si>
  <x:si>
    <x:t xml:space="preserve">08:30 — aceite, deslocamento, ETA e evolução do risco.</x:t>
  </x:si>
  <x:si>
    <x:t xml:space="preserve">Vermelho</x:t>
  </x:si>
  <x:si>
    <x:t xml:space="preserve">Crítico / SLA estourado</x:t>
  </x:si>
  <x:si>
    <x:t xml:space="preserve">Escalonamento prioritário</x:t>
  </x:si>
  <x:si>
    <x:t xml:space="preserve">T2_Desfecho</x:t>
  </x:si>
  <x:si>
    <x:t xml:space="preserve">09:30 — parte dos chamados concluída; TA/TB, fechamento, custo e aprendizado disponíveis.</x:t>
  </x:si>
  <x:si>
    <x:t xml:space="preserve">Regra</x:t>
  </x:si>
  <x:si>
    <x:t xml:space="preserve">Multifatorial</x:t>
  </x:si>
  <x:si>
    <x:t xml:space="preserve">SLA, ETA, passageiro preso, recorrência e carro parado</x:t>
  </x:si>
  <x:si>
    <x:t xml:space="preserve">Importante</x:t>
  </x:si>
  <x:si>
    <x:t xml:space="preserve">Dados sintéticos; não representam registros reais ou oficiais da OTIS.</x:t>
  </x:si>
  <x:si>
    <x:t xml:space="preserve">Snapshot</x:t>
  </x:si>
  <x:si>
    <x:t xml:space="preserve">Registros</x:t>
  </x:si>
  <x:si>
    <x:t xml:space="preserve">Laranja/Vermelho</x:t>
  </x:si>
  <x:si>
    <x:t xml:space="preserve">Uso sugerido</x:t>
  </x:si>
  <x:si>
    <x:t xml:space="preserve">Importar em sequência para demonstrar atualização do MVP.</x:t>
  </x:si>
  <x:si>
    <x:t xml:space="preserve">EXPANSÃO PARA 60 DIAS</x:t>
  </x:si>
  <x:si>
    <x:t xml:space="preserve">Nova aba</x:t>
  </x:si>
  <x:si>
    <x:t xml:space="preserve">HIST_60_DIAS</x:t>
  </x:si>
  <x:si>
    <x:t xml:space="preserve">736 registros sintéticos entre 08/08/2026 e 06/10/2026</x:t>
  </x:si>
  <x:si>
    <x:t xml:space="preserve">Demonstrar filtros, drill-down, recorrência, criticidade, equipamentos e análise temporal.</x:t>
  </x:si>
  <x:si>
    <x:t xml:space="preserve">Apoio</x:t>
  </x:si>
  <x:si>
    <x:t xml:space="preserve">FILTROS_DEMO</x:t>
  </x:si>
  <x:si>
    <x:t xml:space="preserve">Guia de filtros e cenários para a banca final.</x:t>
  </x:si>
  <x:si>
    <x:t xml:space="preserve">Nota</x:t>
  </x:si>
  <x:si>
    <x:t xml:space="preserve">Os dados de 60 dias são sintéticos e ampliam a massa original exclusivamente para demonstração acadêmica.</x:t>
  </x:si>
  <x:si>
    <x:t xml:space="preserve">ID_Chamado</x:t>
  </x:si>
  <x:si>
    <x:t xml:space="preserve">Categoria do Chamado</x:t>
  </x:si>
  <x:si>
    <x:t xml:space="preserve">Problema</x:t>
  </x:si>
  <x:si>
    <x:t xml:space="preserve">Descrição do Problema</x:t>
  </x:si>
  <x:si>
    <x:t xml:space="preserve">Status</x:t>
  </x:si>
  <x:si>
    <x:t xml:space="preserve">Origem</x:t>
  </x:si>
  <x:si>
    <x:t xml:space="preserve">Unidade</x:t>
  </x:si>
  <x:si>
    <x:t xml:space="preserve">Tipo de Unidade</x:t>
  </x:si>
  <x:si>
    <x:t xml:space="preserve">Tipo Controle</x:t>
  </x:si>
  <x:si>
    <x:t xml:space="preserve">Tipo Máquina</x:t>
  </x:si>
  <x:si>
    <x:t xml:space="preserve">Fabricante</x:t>
  </x:si>
  <x:si>
    <x:t xml:space="preserve">Código ROT</x:t>
  </x:si>
  <x:si>
    <x:t xml:space="preserve">Componente Principal</x:t>
  </x:si>
  <x:si>
    <x:t xml:space="preserve">Subcomponente</x:t>
  </x:si>
  <x:si>
    <x:t xml:space="preserve">Defeito</x:t>
  </x:si>
  <x:si>
    <x:t xml:space="preserve">Falha</x:t>
  </x:si>
  <x:si>
    <x:t xml:space="preserve">Fechamento</x:t>
  </x:si>
  <x:si>
    <x:t xml:space="preserve">Cliente</x:t>
  </x:si>
  <x:si>
    <x:t xml:space="preserve">VIP</x:t>
  </x:si>
  <x:si>
    <x:t xml:space="preserve">Corporativo</x:t>
  </x:si>
  <x:si>
    <x:t xml:space="preserve">Contrato</x:t>
  </x:si>
  <x:si>
    <x:t xml:space="preserve">Área</x:t>
  </x:si>
  <x:si>
    <x:t xml:space="preserve">Técnico</x:t>
  </x:si>
  <x:si>
    <x:t xml:space="preserve">Supervisor</x:t>
  </x:si>
  <x:si>
    <x:t xml:space="preserve">Rota</x:t>
  </x:si>
  <x:si>
    <x:t xml:space="preserve">Endereço</x:t>
  </x:si>
  <x:si>
    <x:t xml:space="preserve">Unidade de Negócio</x:t>
  </x:si>
  <x:si>
    <x:t xml:space="preserve">Criado em</x:t>
  </x:si>
  <x:si>
    <x:t xml:space="preserve">Contactado</x:t>
  </x:si>
  <x:si>
    <x:t xml:space="preserve">Aceito</x:t>
  </x:si>
  <x:si>
    <x:t xml:space="preserve">Chegou ao Edifício</x:t>
  </x:si>
  <x:si>
    <x:t xml:space="preserve">Saída</x:t>
  </x:si>
  <x:si>
    <x:t xml:space="preserve">TA</x:t>
  </x:si>
  <x:si>
    <x:t xml:space="preserve">TB</x:t>
  </x:si>
  <x:si>
    <x:t xml:space="preserve">Passageiro Preso</x:t>
  </x:si>
  <x:si>
    <x:t xml:space="preserve">Carro Parado</x:t>
  </x:si>
  <x:si>
    <x:t xml:space="preserve">SLA_min</x:t>
  </x:si>
  <x:si>
    <x:t xml:space="preserve">ETA_min</x:t>
  </x:si>
  <x:si>
    <x:t xml:space="preserve">Percentual_SLA</x:t>
  </x:si>
  <x:si>
    <x:t xml:space="preserve">Recorrencia_30d</x:t>
  </x:si>
  <x:si>
    <x:t xml:space="preserve">Criticidade_ORQUESTRA</x:t>
  </x:si>
  <x:si>
    <x:t xml:space="preserve">Motivo_Criticidade</x:t>
  </x:si>
  <x:si>
    <x:t xml:space="preserve">Insight_ORQUESTRA</x:t>
  </x:si>
  <x:si>
    <x:t xml:space="preserve">Custo_Estimado_R$</x:t>
  </x:si>
  <x:si>
    <x:t xml:space="preserve">Impacto_Contrato</x:t>
  </x:si>
  <x:si>
    <x:t xml:space="preserve">Momento_Dataset</x:t>
  </x:si>
  <x:si>
    <x:t xml:space="preserve">CH-20260908-001</x:t>
  </x:si>
  <x:si>
    <x:t xml:space="preserve">Elevador parado entre andares</x:t>
  </x:si>
  <x:si>
    <x:t xml:space="preserve">Cabine imobilizada com passageiro no interior.</x:t>
  </x:si>
  <x:si>
    <x:t xml:space="preserve">Em atendimento</x:t>
  </x:si>
  <x:si>
    <x:t xml:space="preserve">Central de Atendimento</x:t>
  </x:si>
  <x:si>
    <x:t xml:space="preserve">E-101</x:t>
  </x:si>
  <x:si>
    <x:t xml:space="preserve">Elevador Social</x:t>
  </x:si>
  <x:si>
    <x:t xml:space="preserve">Microprocessado</x:t>
  </x:si>
  <x:si>
    <x:t xml:space="preserve">Gearless</x:t>
  </x:si>
  <x:si>
    <x:t xml:space="preserve">OTIS</x:t>
  </x:si>
  <x:si>
    <x:t xml:space="preserve">ROT-001</x:t>
  </x:si>
  <x:si>
    <x:t xml:space="preserve">Tração</x:t>
  </x:si>
  <x:si>
    <x:t xml:space="preserve">Freio</x:t>
  </x:si>
  <x:si>
    <x:t xml:space="preserve">Travamento</x:t>
  </x:si>
  <x:si>
    <x:t xml:space="preserve">Parada total</x:t>
  </x:si>
  <x:si>
    <x:t xml:space="preserve">Hospital São Paulo</x:t>
  </x:si>
  <x:si>
    <x:t xml:space="preserve">Sim</x:t>
  </x:si>
  <x:si>
    <x:t xml:space="preserve">CT-2026-001</x:t>
  </x:si>
  <x:si>
    <x:t xml:space="preserve">SP-Centro</x:t>
  </x:si>
  <x:si>
    <x:t xml:space="preserve">João Silva</x:t>
  </x:si>
  <x:si>
    <x:t xml:space="preserve">Supervisor A</x:t>
  </x:si>
  <x:si>
    <x:t xml:space="preserve">Rota Centro 01</x:t>
  </x:si>
  <x:si>
    <x:t xml:space="preserve">Av. Paulista, 1000 - São Paulo/SP</x:t>
  </x:si>
  <x:si>
    <x:t xml:space="preserve">São Paulo</x:t>
  </x:si>
  <x:si>
    <x:t xml:space="preserve">passageiro preso; SLA acima de 55%; carro parado</x:t>
  </x:si>
  <x:si>
    <x:t xml:space="preserve">Sem recorrência relevante; acompanhar evolução de Tração.</x:t>
  </x:si>
  <x:si>
    <x:t xml:space="preserve">Médio</x:t>
  </x:si>
  <x:si>
    <x:t xml:space="preserve">CH-20260908-002</x:t>
  </x:si>
  <x:si>
    <x:t xml:space="preserve">Falha de Nivelamento</x:t>
  </x:si>
  <x:si>
    <x:t xml:space="preserve">Cabine desnivelada</x:t>
  </x:si>
  <x:si>
    <x:t xml:space="preserve">Cabine parou fora do nível do pavimento.</x:t>
  </x:si>
  <x:si>
    <x:t xml:space="preserve">Técnico a caminho</x:t>
  </x:si>
  <x:si>
    <x:t xml:space="preserve">IoT</x:t>
  </x:si>
  <x:si>
    <x:t xml:space="preserve">E-102</x:t>
  </x:si>
  <x:si>
    <x:t xml:space="preserve">ROT-014</x:t>
  </x:si>
  <x:si>
    <x:t xml:space="preserve">Sensor de Nível</x:t>
  </x:si>
  <x:si>
    <x:t xml:space="preserve">Sensor</x:t>
  </x:si>
  <x:si>
    <x:t xml:space="preserve">Leitura inconsistente</x:t>
  </x:si>
  <x:si>
    <x:t xml:space="preserve">Falha de nivelamento</x:t>
  </x:si>
  <x:si>
    <x:t xml:space="preserve">Shopping Center Norte</x:t>
  </x:si>
  <x:si>
    <x:t xml:space="preserve">Não</x:t>
  </x:si>
  <x:si>
    <x:t xml:space="preserve">CT-2026-002</x:t>
  </x:si>
  <x:si>
    <x:t xml:space="preserve">SP-Norte</x:t>
  </x:si>
  <x:si>
    <x:t xml:space="preserve">Marcos Lima</x:t>
  </x:si>
  <x:si>
    <x:t xml:space="preserve">Supervisor B</x:t>
  </x:si>
  <x:si>
    <x:t xml:space="preserve">Rota Norte 02</x:t>
  </x:si>
  <x:si>
    <x:t xml:space="preserve">Av. Otto Baumgart, 245 - São Paulo/SP</x:t>
  </x:si>
  <x:si>
    <x:t xml:space="preserve">operação dentro do esperado</x:t>
  </x:si>
  <x:si>
    <x:t xml:space="preserve">Há ocorrência recente semelhante; comparar solução anterior de Sensor de Nível.</x:t>
  </x:si>
  <x:si>
    <x:t xml:space="preserve">Baixo</x:t>
  </x:si>
  <x:si>
    <x:t xml:space="preserve">CH-20260908-003</x:t>
  </x:si>
  <x:si>
    <x:t xml:space="preserve">Porta não fecha</x:t>
  </x:si>
  <x:si>
    <x:t xml:space="preserve">Falha no fechamento</x:t>
  </x:si>
  <x:si>
    <x:t xml:space="preserve">Porta permanece aberta e impede partida.</x:t>
  </x:si>
  <x:si>
    <x:t xml:space="preserve">Aplicativo Cliente</x:t>
  </x:si>
  <x:si>
    <x:t xml:space="preserve">E-103</x:t>
  </x:si>
  <x:si>
    <x:t xml:space="preserve">ROT-021</x:t>
  </x:si>
  <x:si>
    <x:t xml:space="preserve">Operador de Porta</x:t>
  </x:si>
  <x:si>
    <x:t xml:space="preserve">Sensor de porta</x:t>
  </x:si>
  <x:si>
    <x:t xml:space="preserve">Falha de leitura</x:t>
  </x:si>
  <x:si>
    <x:t xml:space="preserve">Porta aberta</x:t>
  </x:si>
  <x:si>
    <x:t xml:space="preserve">Edifício Corporate</x:t>
  </x:si>
  <x:si>
    <x:t xml:space="preserve">CT-2026-003</x:t>
  </x:si>
  <x:si>
    <x:t xml:space="preserve">SP-Oeste</x:t>
  </x:si>
  <x:si>
    <x:t xml:space="preserve">Ana Costa</x:t>
  </x:si>
  <x:si>
    <x:t xml:space="preserve">Supervisor C</x:t>
  </x:si>
  <x:si>
    <x:t xml:space="preserve">Rota Oeste 03</x:t>
  </x:si>
  <x:si>
    <x:t xml:space="preserve">Av. Faria Lima, 3500 - São Paulo/SP</x:t>
  </x:si>
  <x:si>
    <x:t xml:space="preserve">2 recorrências/30d</x:t>
  </x:si>
  <x:si>
    <x:t xml:space="preserve">Há ocorrência recente semelhante; comparar solução anterior de Operador de Porta.</x:t>
  </x:si>
  <x:si>
    <x:t xml:space="preserve">CH-20260908-004</x:t>
  </x:si>
  <x:si>
    <x:t xml:space="preserve">Painel sem comunicação</x:t>
  </x:si>
  <x:si>
    <x:t xml:space="preserve">Falha de comunicação</x:t>
  </x:si>
  <x:si>
    <x:t xml:space="preserve">Painel não responde aos comandos.</x:t>
  </x:si>
  <x:si>
    <x:t xml:space="preserve">Monitoramento Remoto</x:t>
  </x:si>
  <x:si>
    <x:t xml:space="preserve">E-104</x:t>
  </x:si>
  <x:si>
    <x:t xml:space="preserve">ROT-033</x:t>
  </x:si>
  <x:si>
    <x:t xml:space="preserve">Painel/Comando</x:t>
  </x:si>
  <x:si>
    <x:t xml:space="preserve">Interface</x:t>
  </x:si>
  <x:si>
    <x:t xml:space="preserve">Sem comunicação</x:t>
  </x:si>
  <x:si>
    <x:t xml:space="preserve">Falha lógica</x:t>
  </x:si>
  <x:si>
    <x:t xml:space="preserve">Condomínio Alameda</x:t>
  </x:si>
  <x:si>
    <x:t xml:space="preserve">CT-2026-004</x:t>
  </x:si>
  <x:si>
    <x:t xml:space="preserve">SP-Sul</x:t>
  </x:si>
  <x:si>
    <x:t xml:space="preserve">Carlos Souza</x:t>
  </x:si>
  <x:si>
    <x:t xml:space="preserve">Supervisor D</x:t>
  </x:si>
  <x:si>
    <x:t xml:space="preserve">Rota Sul 04</x:t>
  </x:si>
  <x:si>
    <x:t xml:space="preserve">R. das Acácias, 420 - São Paulo/SP</x:t>
  </x:si>
  <x:si>
    <x:t xml:space="preserve">3 recorrências/30d</x:t>
  </x:si>
  <x:si>
    <x:t xml:space="preserve">Recorrência elevada: verificar padrão histórico em Painel/Comando/Interface.</x:t>
  </x:si>
  <x:si>
    <x:t xml:space="preserve">Alto</x:t>
  </x:si>
  <x:si>
    <x:t xml:space="preserve">CH-20260908-005</x:t>
  </x:si>
  <x:si>
    <x:t xml:space="preserve">Falha de Tração</x:t>
  </x:si>
  <x:si>
    <x:t xml:space="preserve">Movimento irregular</x:t>
  </x:si>
  <x:si>
    <x:t xml:space="preserve">Equipamento apresenta perda de tração.</x:t>
  </x:si>
  <x:si>
    <x:t xml:space="preserve">E-105</x:t>
  </x:si>
  <x:si>
    <x:t xml:space="preserve">ROT-041</x:t>
  </x:si>
  <x:si>
    <x:t xml:space="preserve">Máquina de Tração</x:t>
  </x:si>
  <x:si>
    <x:t xml:space="preserve">Inversor</x:t>
  </x:si>
  <x:si>
    <x:t xml:space="preserve">Oscilação</x:t>
  </x:si>
  <x:si>
    <x:t xml:space="preserve">Falha de movimento</x:t>
  </x:si>
  <x:si>
    <x:t xml:space="preserve">Aeroporto Terminal 3</x:t>
  </x:si>
  <x:si>
    <x:t xml:space="preserve">CT-2026-005</x:t>
  </x:si>
  <x:si>
    <x:t xml:space="preserve">GRU</x:t>
  </x:si>
  <x:si>
    <x:t xml:space="preserve">Renata Alves</x:t>
  </x:si>
  <x:si>
    <x:t xml:space="preserve">Rota GRU 05</x:t>
  </x:si>
  <x:si>
    <x:t xml:space="preserve">Rod. Hélio Smidt, s/n - Guarulhos/SP</x:t>
  </x:si>
  <x:si>
    <x:t xml:space="preserve">carro parado</x:t>
  </x:si>
  <x:si>
    <x:t xml:space="preserve">Há ocorrência recente semelhante; comparar solução anterior de Máquina de Tração.</x:t>
  </x:si>
  <x:si>
    <x:t xml:space="preserve">CH-20260908-006</x:t>
  </x:si>
  <x:si>
    <x:t xml:space="preserve">Iluminação de Cabine</x:t>
  </x:si>
  <x:si>
    <x:t xml:space="preserve">Iluminação inoperante</x:t>
  </x:si>
  <x:si>
    <x:t xml:space="preserve">Cabine com iluminação parcial ou total indisponível.</x:t>
  </x:si>
  <x:si>
    <x:t xml:space="preserve">E-106</x:t>
  </x:si>
  <x:si>
    <x:t xml:space="preserve">ROT-052</x:t>
  </x:si>
  <x:si>
    <x:t xml:space="preserve">Elétrica</x:t>
  </x:si>
  <x:si>
    <x:t xml:space="preserve">Fonte</x:t>
  </x:si>
  <x:si>
    <x:t xml:space="preserve">Sem alimentação</x:t>
  </x:si>
  <x:si>
    <x:t xml:space="preserve">Falha elétrica</x:t>
  </x:si>
  <x:si>
    <x:t xml:space="preserve">Universidade Central</x:t>
  </x:si>
  <x:si>
    <x:t xml:space="preserve">CT-2026-006</x:t>
  </x:si>
  <x:si>
    <x:t xml:space="preserve">SP-Leste</x:t>
  </x:si>
  <x:si>
    <x:t xml:space="preserve">Paulo Mendes</x:t>
  </x:si>
  <x:si>
    <x:t xml:space="preserve">Rota Leste 06</x:t>
  </x:si>
  <x:si>
    <x:t xml:space="preserve">Av. Central, 850 - São Paulo/SP</x:t>
  </x:si>
  <x:si>
    <x:t xml:space="preserve">Sem recorrência relevante; acompanhar evolução de Elétrica.</x:t>
  </x:si>
  <x:si>
    <x:t xml:space="preserve">CH-20260908-007</x:t>
  </x:si>
  <x:si>
    <x:t xml:space="preserve">Botão de Chamada</x:t>
  </x:si>
  <x:si>
    <x:t xml:space="preserve">Botão não responde</x:t>
  </x:si>
  <x:si>
    <x:t xml:space="preserve">Botão de chamada não registra comando.</x:t>
  </x:si>
  <x:si>
    <x:t xml:space="preserve">E-107</x:t>
  </x:si>
  <x:si>
    <x:t xml:space="preserve">ROT-063</x:t>
  </x:si>
  <x:si>
    <x:t xml:space="preserve">Botoeira</x:t>
  </x:si>
  <x:si>
    <x:t xml:space="preserve">Contato</x:t>
  </x:si>
  <x:si>
    <x:t xml:space="preserve">Mau contato</x:t>
  </x:si>
  <x:si>
    <x:t xml:space="preserve">Falha de comando</x:t>
  </x:si>
  <x:si>
    <x:t xml:space="preserve">Há ocorrência recente semelhante; comparar solução anterior de Botoeira.</x:t>
  </x:si>
  <x:si>
    <x:t xml:space="preserve">CH-20260908-008</x:t>
  </x:si>
  <x:si>
    <x:t xml:space="preserve">Parada Intermitente</x:t>
  </x:si>
  <x:si>
    <x:t xml:space="preserve">Paradas aleatórias</x:t>
  </x:si>
  <x:si>
    <x:t xml:space="preserve">Equipamento interrompe operação de forma intermitente.</x:t>
  </x:si>
  <x:si>
    <x:t xml:space="preserve">E-108</x:t>
  </x:si>
  <x:si>
    <x:t xml:space="preserve">ROT-074</x:t>
  </x:si>
  <x:si>
    <x:t xml:space="preserve">Placa</x:t>
  </x:si>
  <x:si>
    <x:t xml:space="preserve">Intermitência</x:t>
  </x:si>
  <x:si>
    <x:t xml:space="preserve">Falha intermitente</x:t>
  </x:si>
  <x:si>
    <x:t xml:space="preserve">4 recorrências/30d; carro parado</x:t>
  </x:si>
  <x:si>
    <x:t xml:space="preserve">Recorrência elevada: verificar padrão histórico em Painel/Comando/Placa.</x:t>
  </x:si>
  <x:si>
    <x:t xml:space="preserve">CH-20260908-009</x:t>
  </x:si>
  <x:si>
    <x:t xml:space="preserve">Aberto</x:t>
  </x:si>
  <x:si>
    <x:t xml:space="preserve">E-109</x:t>
  </x:si>
  <x:si>
    <x:t xml:space="preserve">passageiro preso; carro parado</x:t>
  </x:si>
  <x:si>
    <x:t xml:space="preserve">CH-20260908-010</x:t>
  </x:si>
  <x:si>
    <x:t xml:space="preserve">E-110</x:t>
  </x:si>
  <x:si>
    <x:t xml:space="preserve">Concluído</x:t>
  </x:si>
  <x:si>
    <x:t xml:space="preserve">Resgate concluído e equipamento normalizado</x:t>
  </x:si>
  <x:si>
    <x:t xml:space="preserve">passageiro preso; SLA acima de 80%; carro parado</x:t>
  </x:si>
  <x:si>
    <x:t xml:space="preserve">SLA acima de 55%</x:t>
  </x:si>
  <x:si>
    <x:t xml:space="preserve">SLA estourado; carro parado</x:t>
  </x:si>
  <x:si>
    <x:t xml:space="preserve">Fonte substituída</x:t>
  </x:si>
  <x:si>
    <x:t xml:space="preserve">2 recorrências/30d; SLA acima de 55%</x:t>
  </x:si>
  <x:si>
    <x:t xml:space="preserve">CH-20260908-011</x:t>
  </x:si>
  <x:si>
    <x:t xml:space="preserve">E-111</x:t>
  </x:si>
  <x:si>
    <x:t xml:space="preserve">CH-20260908-012</x:t>
  </x:si>
  <x:si>
    <x:t xml:space="preserve">E-112</x:t>
  </x:si>
  <x:si>
    <x:t xml:space="preserve">CH-20260908-013</x:t>
  </x:si>
  <x:si>
    <x:t xml:space="preserve">E-113</x:t>
  </x:si>
  <x:si>
    <x:t xml:space="preserve">CH-20260908-014</x:t>
  </x:si>
  <x:si>
    <x:t xml:space="preserve">E-114</x:t>
  </x:si>
  <x:si>
    <x:t xml:space="preserve">CH-20260908-015</x:t>
  </x:si>
  <x:si>
    <x:t xml:space="preserve">E-115</x:t>
  </x:si>
  <x:si>
    <x:t xml:space="preserve">CH-20260908-016</x:t>
  </x:si>
  <x:si>
    <x:t xml:space="preserve">E-116</x:t>
  </x:si>
  <x:si>
    <x:t xml:space="preserve">Sensor ajustado/substituído</x:t>
  </x:si>
  <x:si>
    <x:t xml:space="preserve">SLA acima de 80%</x:t>
  </x:si>
  <x:si>
    <x:t xml:space="preserve">Sensor de porta ajustado</x:t>
  </x:si>
  <x:si>
    <x:t xml:space="preserve">Interface reinicializada/substituída</x:t>
  </x:si>
  <x:si>
    <x:t xml:space="preserve">3 recorrências/30d; SLA acima de 55%</x:t>
  </x:si>
  <x:si>
    <x:t xml:space="preserve">Parâmetros do inversor corrigidos</x:t>
  </x:si>
  <x:si>
    <x:t xml:space="preserve">Contato reparado</x:t>
  </x:si>
  <x:si>
    <x:t xml:space="preserve">2 recorrências/30d; SLA estourado</x:t>
  </x:si>
  <x:si>
    <x:t xml:space="preserve">Placa revisada e teste funcional</x:t>
  </x:si>
  <x:si>
    <x:t xml:space="preserve">4 recorrências/30d; SLA acima de 80%; carro parado</x:t>
  </x:si>
  <x:si>
    <x:t xml:space="preserve">CH-20260908-017</x:t>
  </x:si>
  <x:si>
    <x:t xml:space="preserve">E-117</x:t>
  </x:si>
  <x:si>
    <x:t xml:space="preserve">passageiro preso; SLA estourado; carro parado</x:t>
  </x:si>
  <x:si>
    <x:t xml:space="preserve">CH-20260908-018</x:t>
  </x:si>
  <x:si>
    <x:t xml:space="preserve">E-118</x:t>
  </x:si>
  <x:si>
    <x:t xml:space="preserve">CH-20260908-019</x:t>
  </x:si>
  <x:si>
    <x:t xml:space="preserve">E-119</x:t>
  </x:si>
  <x:si>
    <x:t xml:space="preserve">2 recorrências/30d; SLA acima de 80%</x:t>
  </x:si>
  <x:si>
    <x:t xml:space="preserve">CH-20260908-020</x:t>
  </x:si>
  <x:si>
    <x:t xml:space="preserve">E-120</x:t>
  </x:si>
  <x:si>
    <x:t xml:space="preserve">CH-20260908-021</x:t>
  </x:si>
  <x:si>
    <x:t xml:space="preserve">E-121</x:t>
  </x:si>
  <x:si>
    <x:t xml:space="preserve">CH-20260908-022</x:t>
  </x:si>
  <x:si>
    <x:t xml:space="preserve">E-122</x:t>
  </x:si>
  <x:si>
    <x:t xml:space="preserve">CH-20260908-023</x:t>
  </x:si>
  <x:si>
    <x:t xml:space="preserve">E-123</x:t>
  </x:si>
  <x:si>
    <x:t xml:space="preserve">CH-20260908-024</x:t>
  </x:si>
  <x:si>
    <x:t xml:space="preserve">E-124</x:t>
  </x:si>
  <x:si>
    <x:t xml:space="preserve">CH-20260808-0001</x:t>
  </x:si>
  <x:si>
    <x:t xml:space="preserve">Falha de Degrau</x:t>
  </x:si>
  <x:si>
    <x:t xml:space="preserve">Degrau com movimento irregular</x:t>
  </x:si>
  <x:si>
    <x:t xml:space="preserve">Degrau apresenta irregularidade mecânica durante o percurso.</x:t>
  </x:si>
  <x:si>
    <x:t xml:space="preserve">ESC-0141</x:t>
  </x:si>
  <x:si>
    <x:t xml:space="preserve">Escada Rolante</x:t>
  </x:si>
  <x:si>
    <x:t xml:space="preserve">Controle Eletrônico</x:t>
  </x:si>
  <x:si>
    <x:t xml:space="preserve">Tração por Corrente</x:t>
  </x:si>
  <x:si>
    <x:t xml:space="preserve">ROT-083</x:t>
  </x:si>
  <x:si>
    <x:t xml:space="preserve">Degraus</x:t>
  </x:si>
  <x:si>
    <x:t xml:space="preserve">Corrente de Degraus</x:t>
  </x:si>
  <x:si>
    <x:t xml:space="preserve">Folga</x:t>
  </x:si>
  <x:si>
    <x:t xml:space="preserve">Falha mecânica</x:t>
  </x:si>
  <x:si>
    <x:t xml:space="preserve">Conjunto de degraus ajustado</x:t>
  </x:si>
  <x:si>
    <x:t xml:space="preserve">Centro Empresarial Alpha</x:t>
  </x:si>
  <x:si>
    <x:t xml:space="preserve">CT-2026-009</x:t>
  </x:si>
  <x:si>
    <x:t xml:space="preserve">ABC</x:t>
  </x:si>
  <x:si>
    <x:t xml:space="preserve">Tiago Pires</x:t>
  </x:si>
  <x:si>
    <x:t xml:space="preserve">Supervisor G</x:t>
  </x:si>
  <x:si>
    <x:t xml:space="preserve">Rota ABC 03</x:t>
  </x:si>
  <x:si>
    <x:t xml:space="preserve">Av. Industrial, 900 - Santo André/SP</x:t>
  </x:si>
  <x:si>
    <x:t xml:space="preserve">Santo André</x:t>
  </x:si>
  <x:si>
    <x:t xml:space="preserve">equipamento parado; SLA acima de 60%</x:t>
  </x:si>
  <x:si>
    <x:t xml:space="preserve">Priorizar contexto de Degraus; risco operacional exige acompanhamento.</x:t>
  </x:si>
  <x:si>
    <x:t xml:space="preserve">CH-20260808-0006</x:t>
  </x:si>
  <x:si>
    <x:t xml:space="preserve">Parada de Segurança</x:t>
  </x:si>
  <x:si>
    <x:t xml:space="preserve">Escada parada por dispositivo de segurança</x:t>
  </x:si>
  <x:si>
    <x:t xml:space="preserve">Equipamento interrompeu a operação por condição de segurança.</x:t>
  </x:si>
  <x:si>
    <x:t xml:space="preserve">ESC-0136</x:t>
  </x:si>
  <x:si>
    <x:t xml:space="preserve">ROT-081</x:t>
  </x:si>
  <x:si>
    <x:t xml:space="preserve">Segurança</x:t>
  </x:si>
  <x:si>
    <x:t xml:space="preserve">Acionamento</x:t>
  </x:si>
  <x:si>
    <x:t xml:space="preserve">Parada preventiva</x:t>
  </x:si>
  <x:si>
    <x:t xml:space="preserve">Dispositivo inspecionado e operação normalizada</x:t>
  </x:si>
  <x:si>
    <x:t xml:space="preserve">Shopping Ibirapuera</x:t>
  </x:si>
  <x:si>
    <x:t xml:space="preserve">CT-2026-008</x:t>
  </x:si>
  <x:si>
    <x:t xml:space="preserve">Fernanda Alves</x:t>
  </x:si>
  <x:si>
    <x:t xml:space="preserve">Rota Sul 02</x:t>
  </x:si>
  <x:si>
    <x:t xml:space="preserve">Av. Ibirapuera, 3100 - São Paulo/SP</x:t>
  </x:si>
  <x:si>
    <x:t xml:space="preserve">equipamento parado</x:t>
  </x:si>
  <x:si>
    <x:t xml:space="preserve">Sem recorrência relevante; acompanhar evolução de Segurança.</x:t>
  </x:si>
  <x:si>
    <x:t xml:space="preserve">CH-20260808-0002</x:t>
  </x:si>
  <x:si>
    <x:t xml:space="preserve">ELV-0139</x:t>
  </x:si>
  <x:si>
    <x:t xml:space="preserve">Elevador de Serviço</x:t>
  </x:si>
  <x:si>
    <x:t xml:space="preserve">Priorizar contexto de Painel/Comando; risco operacional exige acompanhamento.</x:t>
  </x:si>
  <x:si>
    <x:t xml:space="preserve">CH-20260808-0004</x:t>
  </x:si>
  <x:si>
    <x:t xml:space="preserve">ELV-0130</x:t>
  </x:si>
  <x:si>
    <x:t xml:space="preserve">Elevador Hospitalar</x:t>
  </x:si>
  <x:si>
    <x:t xml:space="preserve">Hospital Life</x:t>
  </x:si>
  <x:si>
    <x:t xml:space="preserve">CT-2026-007</x:t>
  </x:si>
  <x:si>
    <x:t xml:space="preserve">Av. Saúde, 2100 - São Paulo/SP</x:t>
  </x:si>
  <x:si>
    <x:t xml:space="preserve">SLA acima de 60%</x:t>
  </x:si>
  <x:si>
    <x:t xml:space="preserve">CH-20260808-0009</x:t>
  </x:si>
  <x:si>
    <x:t xml:space="preserve">ELV-0128</x:t>
  </x:si>
  <x:si>
    <x:t xml:space="preserve">CH-20260808-0003</x:t>
  </x:si>
  <x:si>
    <x:t xml:space="preserve">André Freitas</x:t>
  </x:si>
  <x:si>
    <x:t xml:space="preserve">Rota ABC 02</x:t>
  </x:si>
  <x:si>
    <x:t xml:space="preserve">CH-20260808-0010</x:t>
  </x:si>
  <x:si>
    <x:t xml:space="preserve">ELV-0115</x:t>
  </x:si>
  <x:si>
    <x:t xml:space="preserve">Diego Martins</x:t>
  </x:si>
  <x:si>
    <x:t xml:space="preserve">Rota Sul 03</x:t>
  </x:si>
  <x:si>
    <x:t xml:space="preserve">Sem recorrência relevante; acompanhar evolução de Sensor de Nível.</x:t>
  </x:si>
  <x:si>
    <x:t xml:space="preserve">CH-20260808-0008</x:t>
  </x:si>
  <x:si>
    <x:t xml:space="preserve">ELV-0111</x:t>
  </x:si>
  <x:si>
    <x:t xml:space="preserve">Rota Oeste 01</x:t>
  </x:si>
  <x:si>
    <x:t xml:space="preserve">Sem recorrência relevante; acompanhar evolução de Painel/Comando.</x:t>
  </x:si>
  <x:si>
    <x:t xml:space="preserve">CH-20260808-0007</x:t>
  </x:si>
  <x:si>
    <x:t xml:space="preserve">CH-20260808-0005</x:t>
  </x:si>
  <x:si>
    <x:t xml:space="preserve">ELV-0121</x:t>
  </x:si>
  <x:si>
    <x:t xml:space="preserve">Felipe Castro</x:t>
  </x:si>
  <x:si>
    <x:t xml:space="preserve">Supervisor F</x:t>
  </x:si>
  <x:si>
    <x:t xml:space="preserve">Rota GRU 02</x:t>
  </x:si>
  <x:si>
    <x:t xml:space="preserve">Guarulhos</x:t>
  </x:si>
  <x:si>
    <x:t xml:space="preserve">SLA acima de 85%</x:t>
  </x:si>
  <x:si>
    <x:t xml:space="preserve">Priorizar contexto de Botoeira; risco operacional exige acompanhamento.</x:t>
  </x:si>
  <x:si>
    <x:t xml:space="preserve">CH-20260809-0013</x:t>
  </x:si>
  <x:si>
    <x:t xml:space="preserve">ELV-0151</x:t>
  </x:si>
  <x:si>
    <x:t xml:space="preserve">Centro Logístico Sul</x:t>
  </x:si>
  <x:si>
    <x:t xml:space="preserve">CT-2026-012</x:t>
  </x:si>
  <x:si>
    <x:t xml:space="preserve">Rod. Imigrantes, km 18 - São Paulo/SP</x:t>
  </x:si>
  <x:si>
    <x:t xml:space="preserve">CH-20260809-0014</x:t>
  </x:si>
  <x:si>
    <x:t xml:space="preserve">ELV-0137</x:t>
  </x:si>
  <x:si>
    <x:t xml:space="preserve">CH-20260809-0018</x:t>
  </x:si>
  <x:si>
    <x:t xml:space="preserve">ELV-0146</x:t>
  </x:si>
  <x:si>
    <x:t xml:space="preserve">Hospital Metropolitano</x:t>
  </x:si>
  <x:si>
    <x:t xml:space="preserve">CT-2026-011</x:t>
  </x:si>
  <x:si>
    <x:t xml:space="preserve">Luciana Moraes</x:t>
  </x:si>
  <x:si>
    <x:t xml:space="preserve">Rota ABC 01</x:t>
  </x:si>
  <x:si>
    <x:t xml:space="preserve">R. dos Médicos, 470 - Diadema/SP</x:t>
  </x:si>
  <x:si>
    <x:t xml:space="preserve">Diadema</x:t>
  </x:si>
  <x:si>
    <x:t xml:space="preserve">Priorizar contexto de Máquina de Tração; risco operacional exige acompanhamento.</x:t>
  </x:si>
  <x:si>
    <x:t xml:space="preserve">CH-20260809-0012</x:t>
  </x:si>
  <x:si>
    <x:t xml:space="preserve">ELV-0101</x:t>
  </x:si>
  <x:si>
    <x:t xml:space="preserve">CH-20260809-0016</x:t>
  </x:si>
  <x:si>
    <x:t xml:space="preserve">ESC-0145</x:t>
  </x:si>
  <x:si>
    <x:t xml:space="preserve">Condomínio Horizonte</x:t>
  </x:si>
  <x:si>
    <x:t xml:space="preserve">CT-2026-010</x:t>
  </x:si>
  <x:si>
    <x:t xml:space="preserve">Av. Kennedy, 1500 - São Bernardo do Campo/SP</x:t>
  </x:si>
  <x:si>
    <x:t xml:space="preserve">São Bernardo do Campo</x:t>
  </x:si>
  <x:si>
    <x:t xml:space="preserve">Sem recorrência relevante; acompanhar evolução de Degraus.</x:t>
  </x:si>
  <x:si>
    <x:t xml:space="preserve">CH-20260809-0017</x:t>
  </x:si>
  <x:si>
    <x:t xml:space="preserve">Falha de Corrimão</x:t>
  </x:si>
  <x:si>
    <x:t xml:space="preserve">Corrimão com velocidade irregular</x:t>
  </x:si>
  <x:si>
    <x:t xml:space="preserve">Corrimão apresenta diferença de velocidade em relação aos degraus.</x:t>
  </x:si>
  <x:si>
    <x:t xml:space="preserve">ESC-0106</x:t>
  </x:si>
  <x:si>
    <x:t xml:space="preserve">ROT-082</x:t>
  </x:si>
  <x:si>
    <x:t xml:space="preserve">Corrimão</x:t>
  </x:si>
  <x:si>
    <x:t xml:space="preserve">Motor do Corrimão</x:t>
  </x:si>
  <x:si>
    <x:t xml:space="preserve">Deslizamento</x:t>
  </x:si>
  <x:si>
    <x:t xml:space="preserve">Falha de sincronismo</x:t>
  </x:si>
  <x:si>
    <x:t xml:space="preserve">Sistema do corrimão ajustado</x:t>
  </x:si>
  <x:si>
    <x:t xml:space="preserve">Juliana Reis</x:t>
  </x:si>
  <x:si>
    <x:t xml:space="preserve">Sem recorrência relevante; acompanhar evolução de Corrimão.</x:t>
  </x:si>
  <x:si>
    <x:t xml:space="preserve">CH-20260809-0019</x:t>
  </x:si>
  <x:si>
    <x:t xml:space="preserve">ELV-0129</x:t>
  </x:si>
  <x:si>
    <x:t xml:space="preserve">Priorizar contexto de Operador de Porta; risco operacional exige acompanhamento.</x:t>
  </x:si>
  <x:si>
    <x:t xml:space="preserve">CH-20260809-0011</x:t>
  </x:si>
  <x:si>
    <x:t xml:space="preserve">ELV-0134</x:t>
  </x:si>
  <x:si>
    <x:t xml:space="preserve">Rota Sul 01</x:t>
  </x:si>
  <x:si>
    <x:t xml:space="preserve">CH-20260809-0015</x:t>
  </x:si>
  <x:si>
    <x:t xml:space="preserve">ELV-0154</x:t>
  </x:si>
  <x:si>
    <x:t xml:space="preserve">CH-20260810-0026</x:t>
  </x:si>
  <x:si>
    <x:t xml:space="preserve">ELV-0102</x:t>
  </x:si>
  <x:si>
    <x:t xml:space="preserve">Bruno Rocha</x:t>
  </x:si>
  <x:si>
    <x:t xml:space="preserve">Rota Centro 02</x:t>
  </x:si>
  <x:si>
    <x:t xml:space="preserve">passageiro preso; equipamento parado; SLA estourado</x:t>
  </x:si>
  <x:si>
    <x:t xml:space="preserve">Priorizar contexto de Tração; risco operacional exige acompanhamento.</x:t>
  </x:si>
  <x:si>
    <x:t xml:space="preserve">CH-20260810-0022</x:t>
  </x:si>
  <x:si>
    <x:t xml:space="preserve">CH-20260810-0029</x:t>
  </x:si>
  <x:si>
    <x:t xml:space="preserve">ESC-0109</x:t>
  </x:si>
  <x:si>
    <x:t xml:space="preserve">Priorizar contexto de Segurança; risco operacional exige acompanhamento.</x:t>
  </x:si>
  <x:si>
    <x:t xml:space="preserve">CH-20260810-0027</x:t>
  </x:si>
  <x:si>
    <x:t xml:space="preserve">ELV-0126</x:t>
  </x:si>
  <x:si>
    <x:t xml:space="preserve">Camila Barros</x:t>
  </x:si>
  <x:si>
    <x:t xml:space="preserve">Supervisor E</x:t>
  </x:si>
  <x:si>
    <x:t xml:space="preserve">Rota Leste 02</x:t>
  </x:si>
  <x:si>
    <x:t xml:space="preserve">CH-20260810-0024</x:t>
  </x:si>
  <x:si>
    <x:t xml:space="preserve">Ruído / Vibração</x:t>
  </x:si>
  <x:si>
    <x:t xml:space="preserve">Vibração acima do padrão</x:t>
  </x:si>
  <x:si>
    <x:t xml:space="preserve">Escada rolante apresenta ruído ou vibração anormal.</x:t>
  </x:si>
  <x:si>
    <x:t xml:space="preserve">ESC-0143</x:t>
  </x:si>
  <x:si>
    <x:t xml:space="preserve">ROT-084</x:t>
  </x:si>
  <x:si>
    <x:t xml:space="preserve">Rolamento</x:t>
  </x:si>
  <x:si>
    <x:t xml:space="preserve">Desgaste</x:t>
  </x:si>
  <x:si>
    <x:t xml:space="preserve">Vibração</x:t>
  </x:si>
  <x:si>
    <x:t xml:space="preserve">Conjunto mecânico revisado</x:t>
  </x:si>
  <x:si>
    <x:t xml:space="preserve">CH-20260810-0025</x:t>
  </x:si>
  <x:si>
    <x:t xml:space="preserve">ELV-0133</x:t>
  </x:si>
  <x:si>
    <x:t xml:space="preserve">equipamento parado; SLA acima de 85%</x:t>
  </x:si>
  <x:si>
    <x:t xml:space="preserve">CH-20260810-0021</x:t>
  </x:si>
  <x:si>
    <x:t xml:space="preserve">CH-20260810-0030</x:t>
  </x:si>
  <x:si>
    <x:t xml:space="preserve">ELV-0132</x:t>
  </x:si>
  <x:si>
    <x:t xml:space="preserve">CH-20260810-0028</x:t>
  </x:si>
  <x:si>
    <x:t xml:space="preserve">ELV-0112</x:t>
  </x:si>
  <x:si>
    <x:t xml:space="preserve">Rafael Nunes</x:t>
  </x:si>
  <x:si>
    <x:t xml:space="preserve">Rota Oeste 02</x:t>
  </x:si>
  <x:si>
    <x:t xml:space="preserve">Sem recorrência relevante; acompanhar evolução de Botoeira.</x:t>
  </x:si>
  <x:si>
    <x:t xml:space="preserve">CH-20260810-0020</x:t>
  </x:si>
  <x:si>
    <x:t xml:space="preserve">Rota Norte 01</x:t>
  </x:si>
  <x:si>
    <x:t xml:space="preserve">CH-20260810-0023</x:t>
  </x:si>
  <x:si>
    <x:t xml:space="preserve">ELV-0142</x:t>
  </x:si>
  <x:si>
    <x:t xml:space="preserve">CH-20260811-0041</x:t>
  </x:si>
  <x:si>
    <x:t xml:space="preserve">ELV-0144</x:t>
  </x:si>
  <x:si>
    <x:t xml:space="preserve">Sem recorrência relevante; acompanhar evolução de Operador de Porta.</x:t>
  </x:si>
  <x:si>
    <x:t xml:space="preserve">CH-20260811-0034</x:t>
  </x:si>
  <x:si>
    <x:t xml:space="preserve">ELV-0113</x:t>
  </x:si>
  <x:si>
    <x:t xml:space="preserve">CH-20260811-0039</x:t>
  </x:si>
  <x:si>
    <x:t xml:space="preserve">ELV-0148</x:t>
  </x:si>
  <x:si>
    <x:t xml:space="preserve">CH-20260811-0043</x:t>
  </x:si>
  <x:si>
    <x:t xml:space="preserve">CH-20260811-0033</x:t>
  </x:si>
  <x:si>
    <x:t xml:space="preserve">CH-20260811-0042</x:t>
  </x:si>
  <x:si>
    <x:t xml:space="preserve">ESC-0124</x:t>
  </x:si>
  <x:si>
    <x:t xml:space="preserve">CH-20260811-0044</x:t>
  </x:si>
  <x:si>
    <x:t xml:space="preserve">ESC-0105</x:t>
  </x:si>
  <x:si>
    <x:t xml:space="preserve">CH-20260811-0036</x:t>
  </x:si>
  <x:si>
    <x:t xml:space="preserve">1 recorrência(s)/30d; SLA acima de 60%</x:t>
  </x:si>
  <x:si>
    <x:t xml:space="preserve">Há histórico semelhante neste equipamento; comparar solução anterior de Sensor de Nível.</x:t>
  </x:si>
  <x:si>
    <x:t xml:space="preserve">CH-20260811-0038</x:t>
  </x:si>
  <x:si>
    <x:t xml:space="preserve">CH-20260811-0031</x:t>
  </x:si>
  <x:si>
    <x:t xml:space="preserve">CH-20260811-0032</x:t>
  </x:si>
  <x:si>
    <x:t xml:space="preserve">CH-20260811-0040</x:t>
  </x:si>
  <x:si>
    <x:t xml:space="preserve">ELV-0127</x:t>
  </x:si>
  <x:si>
    <x:t xml:space="preserve">Priorizar contexto de Elétrica; risco operacional exige acompanhamento.</x:t>
  </x:si>
  <x:si>
    <x:t xml:space="preserve">CH-20260811-0035</x:t>
  </x:si>
  <x:si>
    <x:t xml:space="preserve">ESC-0108</x:t>
  </x:si>
  <x:si>
    <x:t xml:space="preserve">CH-20260811-0037</x:t>
  </x:si>
  <x:si>
    <x:t xml:space="preserve">Priorizar contexto de Sensor de Nível; risco operacional exige acompanhamento.</x:t>
  </x:si>
  <x:si>
    <x:t xml:space="preserve">CH-20260812-0053</x:t>
  </x:si>
  <x:si>
    <x:t xml:space="preserve">ELV-0114</x:t>
  </x:si>
  <x:si>
    <x:t xml:space="preserve">CH-20260812-0045</x:t>
  </x:si>
  <x:si>
    <x:t xml:space="preserve">ELV-0116</x:t>
  </x:si>
  <x:si>
    <x:t xml:space="preserve">CH-20260812-0046</x:t>
  </x:si>
  <x:si>
    <x:t xml:space="preserve">CH-20260812-0051</x:t>
  </x:si>
  <x:si>
    <x:t xml:space="preserve">ESC-0107</x:t>
  </x:si>
  <x:si>
    <x:t xml:space="preserve">CH-20260812-0048</x:t>
  </x:si>
  <x:si>
    <x:t xml:space="preserve">ELV-0153</x:t>
  </x:si>
  <x:si>
    <x:t xml:space="preserve">CH-20260812-0047</x:t>
  </x:si>
  <x:si>
    <x:t xml:space="preserve">CH-20260812-0054</x:t>
  </x:si>
  <x:si>
    <x:t xml:space="preserve">CH-20260812-0052</x:t>
  </x:si>
  <x:si>
    <x:t xml:space="preserve">SLA estourado</x:t>
  </x:si>
  <x:si>
    <x:t xml:space="preserve">CH-20260812-0049</x:t>
  </x:si>
  <x:si>
    <x:t xml:space="preserve">CH-20260812-0050</x:t>
  </x:si>
  <x:si>
    <x:t xml:space="preserve">ELV-0138</x:t>
  </x:si>
  <x:si>
    <x:t xml:space="preserve">CH-20260813-0070</x:t>
  </x:si>
  <x:si>
    <x:t xml:space="preserve">1 recorrência(s)/30d</x:t>
  </x:si>
  <x:si>
    <x:t xml:space="preserve">Há histórico semelhante neste equipamento; comparar solução anterior de Painel/Comando.</x:t>
  </x:si>
  <x:si>
    <x:t xml:space="preserve">CH-20260813-0059</x:t>
  </x:si>
  <x:si>
    <x:t xml:space="preserve">CH-20260813-0061</x:t>
  </x:si>
  <x:si>
    <x:t xml:space="preserve">ELV-0131</x:t>
  </x:si>
  <x:si>
    <x:t xml:space="preserve">CH-20260813-0065</x:t>
  </x:si>
  <x:si>
    <x:t xml:space="preserve">CH-20260813-0056</x:t>
  </x:si>
  <x:si>
    <x:t xml:space="preserve">ELV-0152</x:t>
  </x:si>
  <x:si>
    <x:t xml:space="preserve">CH-20260813-0062</x:t>
  </x:si>
  <x:si>
    <x:t xml:space="preserve">CH-20260813-0060</x:t>
  </x:si>
  <x:si>
    <x:t xml:space="preserve">CH-20260813-0068</x:t>
  </x:si>
  <x:si>
    <x:t xml:space="preserve">CH-20260813-0063</x:t>
  </x:si>
  <x:si>
    <x:t xml:space="preserve">ESC-0125</x:t>
  </x:si>
  <x:si>
    <x:t xml:space="preserve">CH-20260813-0069</x:t>
  </x:si>
  <x:si>
    <x:t xml:space="preserve">CH-20260813-0058</x:t>
  </x:si>
  <x:si>
    <x:t xml:space="preserve">equipamento parado; 1 recorrência(s)/30d; SLA acima de 85%</x:t>
  </x:si>
  <x:si>
    <x:t xml:space="preserve">Há histórico semelhante neste equipamento; comparar solução anterior de Segurança.</x:t>
  </x:si>
  <x:si>
    <x:t xml:space="preserve">CH-20260813-0067</x:t>
  </x:si>
  <x:si>
    <x:t xml:space="preserve">CH-20260813-0064</x:t>
  </x:si>
  <x:si>
    <x:t xml:space="preserve">CH-20260813-0055</x:t>
  </x:si>
  <x:si>
    <x:t xml:space="preserve">ELV-0150</x:t>
  </x:si>
  <x:si>
    <x:t xml:space="preserve">CH-20260813-0057</x:t>
  </x:si>
  <x:si>
    <x:t xml:space="preserve">ELV-0149</x:t>
  </x:si>
  <x:si>
    <x:t xml:space="preserve">CH-20260813-0066</x:t>
  </x:si>
  <x:si>
    <x:t xml:space="preserve">CH-20260814-0077</x:t>
  </x:si>
  <x:si>
    <x:t xml:space="preserve">CH-20260814-0072</x:t>
  </x:si>
  <x:si>
    <x:t xml:space="preserve">CH-20260814-0073</x:t>
  </x:si>
  <x:si>
    <x:t xml:space="preserve">Rota GRU 01</x:t>
  </x:si>
  <x:si>
    <x:t xml:space="preserve">equipamento parado; SLA estourado</x:t>
  </x:si>
  <x:si>
    <x:t xml:space="preserve">CH-20260814-0076</x:t>
  </x:si>
  <x:si>
    <x:t xml:space="preserve">CH-20260814-0078</x:t>
  </x:si>
  <x:si>
    <x:t xml:space="preserve">CH-20260814-0071</x:t>
  </x:si>
  <x:si>
    <x:t xml:space="preserve">CH-20260814-0080</x:t>
  </x:si>
  <x:si>
    <x:t xml:space="preserve">Há histórico semelhante neste equipamento; comparar solução anterior de Operador de Porta.</x:t>
  </x:si>
  <x:si>
    <x:t xml:space="preserve">CH-20260814-0075</x:t>
  </x:si>
  <x:si>
    <x:t xml:space="preserve">ELV-0118</x:t>
  </x:si>
  <x:si>
    <x:t xml:space="preserve">CH-20260814-0074</x:t>
  </x:si>
  <x:si>
    <x:t xml:space="preserve">CH-20260814-0079</x:t>
  </x:si>
  <x:si>
    <x:t xml:space="preserve">CH-20260815-0088</x:t>
  </x:si>
  <x:si>
    <x:t xml:space="preserve">Há histórico semelhante neste equipamento; comparar solução anterior de Corrimão.</x:t>
  </x:si>
  <x:si>
    <x:t xml:space="preserve">CH-20260815-0086</x:t>
  </x:si>
  <x:si>
    <x:t xml:space="preserve">ESC-0120</x:t>
  </x:si>
  <x:si>
    <x:t xml:space="preserve">CH-20260815-0089</x:t>
  </x:si>
  <x:si>
    <x:t xml:space="preserve">CH-20260815-0084</x:t>
  </x:si>
  <x:si>
    <x:t xml:space="preserve">ESC-0110</x:t>
  </x:si>
  <x:si>
    <x:t xml:space="preserve">CH-20260815-0081</x:t>
  </x:si>
  <x:si>
    <x:t xml:space="preserve">Há histórico semelhante neste equipamento; comparar solução anterior de Botoeira.</x:t>
  </x:si>
  <x:si>
    <x:t xml:space="preserve">CH-20260815-0085</x:t>
  </x:si>
  <x:si>
    <x:t xml:space="preserve">CH-20260815-0082</x:t>
  </x:si>
  <x:si>
    <x:t xml:space="preserve">CH-20260815-0087</x:t>
  </x:si>
  <x:si>
    <x:t xml:space="preserve">Priorizar contexto de Corrimão; risco operacional exige acompanhamento.</x:t>
  </x:si>
  <x:si>
    <x:t xml:space="preserve">CH-20260815-0083</x:t>
  </x:si>
  <x:si>
    <x:t xml:space="preserve">passageiro preso; equipamento parado; SLA acima de 85%</x:t>
  </x:si>
  <x:si>
    <x:t xml:space="preserve">CH-20260816-0091</x:t>
  </x:si>
  <x:si>
    <x:t xml:space="preserve">CH-20260816-0093</x:t>
  </x:si>
  <x:si>
    <x:t xml:space="preserve">Rota Leste 01</x:t>
  </x:si>
  <x:si>
    <x:t xml:space="preserve">CH-20260816-0096</x:t>
  </x:si>
  <x:si>
    <x:t xml:space="preserve">CH-20260816-0090</x:t>
  </x:si>
  <x:si>
    <x:t xml:space="preserve">CH-20260816-0094</x:t>
  </x:si>
  <x:si>
    <x:t xml:space="preserve">CH-20260816-0095</x:t>
  </x:si>
  <x:si>
    <x:t xml:space="preserve">CH-20260816-0092</x:t>
  </x:si>
  <x:si>
    <x:t xml:space="preserve">passageiro preso; equipamento parado; 1 recorrência(s)/30d; SLA estourado</x:t>
  </x:si>
  <x:si>
    <x:t xml:space="preserve">Há histórico semelhante neste equipamento; comparar solução anterior de Tração.</x:t>
  </x:si>
  <x:si>
    <x:t xml:space="preserve">CH-20260817-0104</x:t>
  </x:si>
  <x:si>
    <x:t xml:space="preserve">CH-20260817-0100</x:t>
  </x:si>
  <x:si>
    <x:t xml:space="preserve">CH-20260817-0105</x:t>
  </x:si>
  <x:si>
    <x:t xml:space="preserve">CH-20260817-0098</x:t>
  </x:si>
  <x:si>
    <x:t xml:space="preserve">CH-20260817-0101</x:t>
  </x:si>
  <x:si>
    <x:t xml:space="preserve">CH-20260817-0103</x:t>
  </x:si>
  <x:si>
    <x:t xml:space="preserve">CH-20260817-0106</x:t>
  </x:si>
  <x:si>
    <x:t xml:space="preserve">CH-20260817-0102</x:t>
  </x:si>
  <x:si>
    <x:t xml:space="preserve">CH-20260817-0097</x:t>
  </x:si>
  <x:si>
    <x:t xml:space="preserve">CH-20260817-0099</x:t>
  </x:si>
  <x:si>
    <x:t xml:space="preserve">2 recorrência(s)/30d</x:t>
  </x:si>
  <x:si>
    <x:t xml:space="preserve">CH-20260818-0116</x:t>
  </x:si>
  <x:si>
    <x:t xml:space="preserve">ESC-0122</x:t>
  </x:si>
  <x:si>
    <x:t xml:space="preserve">CH-20260818-0112</x:t>
  </x:si>
  <x:si>
    <x:t xml:space="preserve">CH-20260818-0117</x:t>
  </x:si>
  <x:si>
    <x:t xml:space="preserve">CH-20260818-0107</x:t>
  </x:si>
  <x:si>
    <x:t xml:space="preserve">CH-20260818-0110</x:t>
  </x:si>
  <x:si>
    <x:t xml:space="preserve">CH-20260818-0113</x:t>
  </x:si>
  <x:si>
    <x:t xml:space="preserve">ESC-0147</x:t>
  </x:si>
  <x:si>
    <x:t xml:space="preserve">CH-20260818-0109</x:t>
  </x:si>
  <x:si>
    <x:t xml:space="preserve">CH-20260818-0111</x:t>
  </x:si>
  <x:si>
    <x:t xml:space="preserve">equipamento parado; 1 recorrência(s)/30d</x:t>
  </x:si>
  <x:si>
    <x:t xml:space="preserve">CH-20260818-0114</x:t>
  </x:si>
  <x:si>
    <x:t xml:space="preserve">CH-20260818-0108</x:t>
  </x:si>
  <x:si>
    <x:t xml:space="preserve">CH-20260818-0115</x:t>
  </x:si>
  <x:si>
    <x:t xml:space="preserve">CH-20260819-0129</x:t>
  </x:si>
  <x:si>
    <x:t xml:space="preserve">CH-20260819-0124</x:t>
  </x:si>
  <x:si>
    <x:t xml:space="preserve">CH-20260819-0131</x:t>
  </x:si>
  <x:si>
    <x:t xml:space="preserve">CH-20260819-0127</x:t>
  </x:si>
  <x:si>
    <x:t xml:space="preserve">CH-20260819-0122</x:t>
  </x:si>
  <x:si>
    <x:t xml:space="preserve">Recorrência elevada em ESC-0106: revisar padrão de Corrimão/Motor do Corrimão.</x:t>
  </x:si>
  <x:si>
    <x:t xml:space="preserve">CH-20260819-0119</x:t>
  </x:si>
  <x:si>
    <x:t xml:space="preserve">CH-20260819-0121</x:t>
  </x:si>
  <x:si>
    <x:t xml:space="preserve">CH-20260819-0132</x:t>
  </x:si>
  <x:si>
    <x:t xml:space="preserve">CH-20260819-0126</x:t>
  </x:si>
  <x:si>
    <x:t xml:space="preserve">ESC-0119</x:t>
  </x:si>
  <x:si>
    <x:t xml:space="preserve">CH-20260819-0120</x:t>
  </x:si>
  <x:si>
    <x:t xml:space="preserve">CH-20260819-0128</x:t>
  </x:si>
  <x:si>
    <x:t xml:space="preserve">CH-20260819-0123</x:t>
  </x:si>
  <x:si>
    <x:t xml:space="preserve">CH-20260819-0130</x:t>
  </x:si>
  <x:si>
    <x:t xml:space="preserve">Há histórico semelhante neste equipamento; comparar solução anterior de Degraus.</x:t>
  </x:si>
  <x:si>
    <x:t xml:space="preserve">CH-20260819-0125</x:t>
  </x:si>
  <x:si>
    <x:t xml:space="preserve">equipamento parado; 2 recorrência(s)/30d; SLA acima de 60%</x:t>
  </x:si>
  <x:si>
    <x:t xml:space="preserve">CH-20260819-0118</x:t>
  </x:si>
  <x:si>
    <x:t xml:space="preserve">CH-20260820-0136</x:t>
  </x:si>
  <x:si>
    <x:t xml:space="preserve">CH-20260820-0146</x:t>
  </x:si>
  <x:si>
    <x:t xml:space="preserve">CH-20260820-0133</x:t>
  </x:si>
  <x:si>
    <x:t xml:space="preserve">CH-20260820-0141</x:t>
  </x:si>
  <x:si>
    <x:t xml:space="preserve">CH-20260820-0143</x:t>
  </x:si>
  <x:si>
    <x:t xml:space="preserve">CH-20260820-0137</x:t>
  </x:si>
  <x:si>
    <x:t xml:space="preserve">CH-20260820-0138</x:t>
  </x:si>
  <x:si>
    <x:t xml:space="preserve">ESC-0123</x:t>
  </x:si>
  <x:si>
    <x:t xml:space="preserve">CH-20260820-0140</x:t>
  </x:si>
  <x:si>
    <x:t xml:space="preserve">CH-20260820-0139</x:t>
  </x:si>
  <x:si>
    <x:t xml:space="preserve">CH-20260820-0145</x:t>
  </x:si>
  <x:si>
    <x:t xml:space="preserve">CH-20260820-0144</x:t>
  </x:si>
  <x:si>
    <x:t xml:space="preserve">CH-20260820-0147</x:t>
  </x:si>
  <x:si>
    <x:t xml:space="preserve">CH-20260820-0142</x:t>
  </x:si>
  <x:si>
    <x:t xml:space="preserve">CH-20260820-0135</x:t>
  </x:si>
  <x:si>
    <x:t xml:space="preserve">CH-20260820-0148</x:t>
  </x:si>
  <x:si>
    <x:t xml:space="preserve">ELV-0117</x:t>
  </x:si>
  <x:si>
    <x:t xml:space="preserve">CH-20260820-0134</x:t>
  </x:si>
  <x:si>
    <x:t xml:space="preserve">CH-20260821-0162</x:t>
  </x:si>
  <x:si>
    <x:t xml:space="preserve">CH-20260821-0156</x:t>
  </x:si>
  <x:si>
    <x:t xml:space="preserve">CH-20260821-0154</x:t>
  </x:si>
  <x:si>
    <x:t xml:space="preserve">CH-20260821-0158</x:t>
  </x:si>
  <x:si>
    <x:t xml:space="preserve">passageiro preso; equipamento parado; 1 recorrência(s)/30d; SLA acima de 85%</x:t>
  </x:si>
  <x:si>
    <x:t xml:space="preserve">CH-20260821-0155</x:t>
  </x:si>
  <x:si>
    <x:t xml:space="preserve">Recorrência elevada em ELV-0154: revisar padrão de Sensor de Nível/Sensor.</x:t>
  </x:si>
  <x:si>
    <x:t xml:space="preserve">CH-20260821-0159</x:t>
  </x:si>
  <x:si>
    <x:t xml:space="preserve">3 recorrências/30d; SLA acima de 60%</x:t>
  </x:si>
  <x:si>
    <x:t xml:space="preserve">Recorrência elevada em ELV-0132: revisar padrão de Botoeira/Contato.</x:t>
  </x:si>
  <x:si>
    <x:t xml:space="preserve">CH-20260821-0160</x:t>
  </x:si>
  <x:si>
    <x:t xml:space="preserve">equipamento parado; 2 recorrência(s)/30d</x:t>
  </x:si>
  <x:si>
    <x:t xml:space="preserve">CH-20260821-0153</x:t>
  </x:si>
  <x:si>
    <x:t xml:space="preserve">CH-20260821-0164</x:t>
  </x:si>
  <x:si>
    <x:t xml:space="preserve">CH-20260821-0161</x:t>
  </x:si>
  <x:si>
    <x:t xml:space="preserve">CH-20260821-0151</x:t>
  </x:si>
  <x:si>
    <x:t xml:space="preserve">CH-20260821-0163</x:t>
  </x:si>
  <x:si>
    <x:t xml:space="preserve">Recorrência elevada em ELV-0152: revisar padrão de Operador de Porta/Sensor de porta.</x:t>
  </x:si>
  <x:si>
    <x:t xml:space="preserve">CH-20260821-0150</x:t>
  </x:si>
  <x:si>
    <x:t xml:space="preserve">CH-20260821-0152</x:t>
  </x:si>
  <x:si>
    <x:t xml:space="preserve">CH-20260821-0165</x:t>
  </x:si>
  <x:si>
    <x:t xml:space="preserve">CH-20260821-0157</x:t>
  </x:si>
  <x:si>
    <x:t xml:space="preserve">CH-20260821-0149</x:t>
  </x:si>
  <x:si>
    <x:t xml:space="preserve">CH-20260822-0166</x:t>
  </x:si>
  <x:si>
    <x:t xml:space="preserve">CH-20260822-0168</x:t>
  </x:si>
  <x:si>
    <x:t xml:space="preserve">CH-20260822-0170</x:t>
  </x:si>
  <x:si>
    <x:t xml:space="preserve">CH-20260822-0167</x:t>
  </x:si>
  <x:si>
    <x:t xml:space="preserve">CH-20260822-0169</x:t>
  </x:si>
  <x:si>
    <x:t xml:space="preserve">CH-20260822-0171</x:t>
  </x:si>
  <x:si>
    <x:t xml:space="preserve">CH-20260823-0178</x:t>
  </x:si>
  <x:si>
    <x:t xml:space="preserve">ELV-0104</x:t>
  </x:si>
  <x:si>
    <x:t xml:space="preserve">CH-20260823-0177</x:t>
  </x:si>
  <x:si>
    <x:t xml:space="preserve">ESC-0135</x:t>
  </x:si>
  <x:si>
    <x:t xml:space="preserve">CH-20260823-0175</x:t>
  </x:si>
  <x:si>
    <x:t xml:space="preserve">CH-20260823-0179</x:t>
  </x:si>
  <x:si>
    <x:t xml:space="preserve">1 recorrência(s)/30d; SLA acima de 85%</x:t>
  </x:si>
  <x:si>
    <x:t xml:space="preserve">CH-20260823-0176</x:t>
  </x:si>
  <x:si>
    <x:t xml:space="preserve">CH-20260823-0173</x:t>
  </x:si>
  <x:si>
    <x:t xml:space="preserve">CH-20260823-0180</x:t>
  </x:si>
  <x:si>
    <x:t xml:space="preserve">equipamento parado; 1 recorrência(s)/30d; SLA acima de 60%</x:t>
  </x:si>
  <x:si>
    <x:t xml:space="preserve">CH-20260823-0174</x:t>
  </x:si>
  <x:si>
    <x:t xml:space="preserve">CH-20260823-0172</x:t>
  </x:si>
  <x:si>
    <x:t xml:space="preserve">CH-20260824-0182</x:t>
  </x:si>
  <x:si>
    <x:t xml:space="preserve">CH-20260824-0190</x:t>
  </x:si>
  <x:si>
    <x:t xml:space="preserve">CH-20260824-0194</x:t>
  </x:si>
  <x:si>
    <x:t xml:space="preserve">CH-20260824-0189</x:t>
  </x:si>
  <x:si>
    <x:t xml:space="preserve">CH-20260824-0184</x:t>
  </x:si>
  <x:si>
    <x:t xml:space="preserve">CH-20260824-0191</x:t>
  </x:si>
  <x:si>
    <x:t xml:space="preserve">CH-20260824-0183</x:t>
  </x:si>
  <x:si>
    <x:t xml:space="preserve">CH-20260824-0193</x:t>
  </x:si>
  <x:si>
    <x:t xml:space="preserve">CH-20260824-0181</x:t>
  </x:si>
  <x:si>
    <x:t xml:space="preserve">CH-20260824-0188</x:t>
  </x:si>
  <x:si>
    <x:t xml:space="preserve">Sem recorrência relevante; acompanhar evolução de Máquina de Tração.</x:t>
  </x:si>
  <x:si>
    <x:t xml:space="preserve">CH-20260824-0187</x:t>
  </x:si>
  <x:si>
    <x:t xml:space="preserve">CH-20260824-0192</x:t>
  </x:si>
  <x:si>
    <x:t xml:space="preserve">CH-20260824-0185</x:t>
  </x:si>
  <x:si>
    <x:t xml:space="preserve">CH-20260824-0186</x:t>
  </x:si>
  <x:si>
    <x:t xml:space="preserve">CH-20260825-0203</x:t>
  </x:si>
  <x:si>
    <x:t xml:space="preserve">CH-20260825-0200</x:t>
  </x:si>
  <x:si>
    <x:t xml:space="preserve">equipamento parado; 3 recorrências/30d</x:t>
  </x:si>
  <x:si>
    <x:t xml:space="preserve">Recorrência elevada em ESC-0136: revisar padrão de Segurança/Sensor.</x:t>
  </x:si>
  <x:si>
    <x:t xml:space="preserve">CH-20260825-0197</x:t>
  </x:si>
  <x:si>
    <x:t xml:space="preserve">CH-20260825-0195</x:t>
  </x:si>
  <x:si>
    <x:t xml:space="preserve">CH-20260825-0198</x:t>
  </x:si>
  <x:si>
    <x:t xml:space="preserve">Há histórico semelhante neste equipamento; comparar solução anterior de Máquina de Tração.</x:t>
  </x:si>
  <x:si>
    <x:t xml:space="preserve">CH-20260825-0201</x:t>
  </x:si>
  <x:si>
    <x:t xml:space="preserve">CH-20260825-0204</x:t>
  </x:si>
  <x:si>
    <x:t xml:space="preserve">CH-20260825-0199</x:t>
  </x:si>
  <x:si>
    <x:t xml:space="preserve">CH-20260825-0196</x:t>
  </x:si>
  <x:si>
    <x:t xml:space="preserve">CH-20260825-0205</x:t>
  </x:si>
  <x:si>
    <x:t xml:space="preserve">CH-20260825-0202</x:t>
  </x:si>
  <x:si>
    <x:t xml:space="preserve">CH-20260826-0216</x:t>
  </x:si>
  <x:si>
    <x:t xml:space="preserve">Há histórico semelhante neste equipamento; comparar solução anterior de Elétrica.</x:t>
  </x:si>
  <x:si>
    <x:t xml:space="preserve">CH-20260826-0207</x:t>
  </x:si>
  <x:si>
    <x:t xml:space="preserve">passageiro preso; equipamento parado; SLA acima de 60%</x:t>
  </x:si>
  <x:si>
    <x:t xml:space="preserve">CH-20260826-0220</x:t>
  </x:si>
  <x:si>
    <x:t xml:space="preserve">CH-20260826-0217</x:t>
  </x:si>
  <x:si>
    <x:t xml:space="preserve">CH-20260826-0212</x:t>
  </x:si>
  <x:si>
    <x:t xml:space="preserve">CH-20260826-0215</x:t>
  </x:si>
  <x:si>
    <x:t xml:space="preserve">CH-20260826-0222</x:t>
  </x:si>
  <x:si>
    <x:t xml:space="preserve">CH-20260826-0218</x:t>
  </x:si>
  <x:si>
    <x:t xml:space="preserve">CH-20260826-0214</x:t>
  </x:si>
  <x:si>
    <x:t xml:space="preserve">CH-20260826-0219</x:t>
  </x:si>
  <x:si>
    <x:t xml:space="preserve">CH-20260826-0213</x:t>
  </x:si>
  <x:si>
    <x:t xml:space="preserve">CH-20260826-0210</x:t>
  </x:si>
  <x:si>
    <x:t xml:space="preserve">CH-20260826-0211</x:t>
  </x:si>
  <x:si>
    <x:t xml:space="preserve">CH-20260826-0208</x:t>
  </x:si>
  <x:si>
    <x:t xml:space="preserve">CH-20260826-0209</x:t>
  </x:si>
  <x:si>
    <x:t xml:space="preserve">CH-20260826-0206</x:t>
  </x:si>
  <x:si>
    <x:t xml:space="preserve">CH-20260826-0221</x:t>
  </x:si>
  <x:si>
    <x:t xml:space="preserve">CH-20260827-0223</x:t>
  </x:si>
  <x:si>
    <x:t xml:space="preserve">CH-20260827-0230</x:t>
  </x:si>
  <x:si>
    <x:t xml:space="preserve">2 recorrência(s)/30d; SLA acima de 60%</x:t>
  </x:si>
  <x:si>
    <x:t xml:space="preserve">CH-20260827-0224</x:t>
  </x:si>
  <x:si>
    <x:t xml:space="preserve">Recorrência elevada em ELV-0128: revisar padrão de Sensor de Nível/Sensor.</x:t>
  </x:si>
  <x:si>
    <x:t xml:space="preserve">CH-20260827-0231</x:t>
  </x:si>
  <x:si>
    <x:t xml:space="preserve">CH-20260827-0229</x:t>
  </x:si>
  <x:si>
    <x:t xml:space="preserve">CH-20260827-0225</x:t>
  </x:si>
  <x:si>
    <x:t xml:space="preserve">CH-20260827-0228</x:t>
  </x:si>
  <x:si>
    <x:t xml:space="preserve">CH-20260827-0232</x:t>
  </x:si>
  <x:si>
    <x:t xml:space="preserve">CH-20260827-0226</x:t>
  </x:si>
  <x:si>
    <x:t xml:space="preserve">ELV-0103</x:t>
  </x:si>
  <x:si>
    <x:t xml:space="preserve">CH-20260827-0227</x:t>
  </x:si>
  <x:si>
    <x:t xml:space="preserve">CH-20260828-0237</x:t>
  </x:si>
  <x:si>
    <x:t xml:space="preserve">passageiro preso; equipamento parado; 2 recorrência(s)/30d; SLA estourado</x:t>
  </x:si>
  <x:si>
    <x:t xml:space="preserve">CH-20260828-0233</x:t>
  </x:si>
  <x:si>
    <x:t xml:space="preserve">CH-20260828-0234</x:t>
  </x:si>
  <x:si>
    <x:t xml:space="preserve">CH-20260828-0235</x:t>
  </x:si>
  <x:si>
    <x:t xml:space="preserve">CH-20260828-0239</x:t>
  </x:si>
  <x:si>
    <x:t xml:space="preserve">CH-20260828-0241</x:t>
  </x:si>
  <x:si>
    <x:t xml:space="preserve">CH-20260828-0243</x:t>
  </x:si>
  <x:si>
    <x:t xml:space="preserve">CH-20260828-0238</x:t>
  </x:si>
  <x:si>
    <x:t xml:space="preserve">CH-20260828-0240</x:t>
  </x:si>
  <x:si>
    <x:t xml:space="preserve">CH-20260828-0242</x:t>
  </x:si>
  <x:si>
    <x:t xml:space="preserve">CH-20260828-0236</x:t>
  </x:si>
  <x:si>
    <x:t xml:space="preserve">CH-20260828-0244</x:t>
  </x:si>
  <x:si>
    <x:t xml:space="preserve">CH-20260829-0248</x:t>
  </x:si>
  <x:si>
    <x:t xml:space="preserve">CH-20260829-0253</x:t>
  </x:si>
  <x:si>
    <x:t xml:space="preserve">CH-20260829-0254</x:t>
  </x:si>
  <x:si>
    <x:t xml:space="preserve">CH-20260829-0245</x:t>
  </x:si>
  <x:si>
    <x:t xml:space="preserve">CH-20260829-0247</x:t>
  </x:si>
  <x:si>
    <x:t xml:space="preserve">CH-20260829-0251</x:t>
  </x:si>
  <x:si>
    <x:t xml:space="preserve">CH-20260829-0252</x:t>
  </x:si>
  <x:si>
    <x:t xml:space="preserve">CH-20260829-0246</x:t>
  </x:si>
  <x:si>
    <x:t xml:space="preserve">CH-20260829-0255</x:t>
  </x:si>
  <x:si>
    <x:t xml:space="preserve">CH-20260829-0249</x:t>
  </x:si>
  <x:si>
    <x:t xml:space="preserve">CH-20260829-0250</x:t>
  </x:si>
  <x:si>
    <x:t xml:space="preserve">CH-20260830-0260</x:t>
  </x:si>
  <x:si>
    <x:t xml:space="preserve">CH-20260830-0262</x:t>
  </x:si>
  <x:si>
    <x:t xml:space="preserve">ELV-0140</x:t>
  </x:si>
  <x:si>
    <x:t xml:space="preserve">CH-20260830-0258</x:t>
  </x:si>
  <x:si>
    <x:t xml:space="preserve">CH-20260830-0257</x:t>
  </x:si>
  <x:si>
    <x:t xml:space="preserve">CH-20260830-0261</x:t>
  </x:si>
  <x:si>
    <x:t xml:space="preserve">CH-20260830-0256</x:t>
  </x:si>
  <x:si>
    <x:t xml:space="preserve">CH-20260830-0264</x:t>
  </x:si>
  <x:si>
    <x:t xml:space="preserve">CH-20260830-0263</x:t>
  </x:si>
  <x:si>
    <x:t xml:space="preserve">CH-20260830-0259</x:t>
  </x:si>
  <x:si>
    <x:t xml:space="preserve">CH-20260831-0273</x:t>
  </x:si>
  <x:si>
    <x:t xml:space="preserve">CH-20260831-0272</x:t>
  </x:si>
  <x:si>
    <x:t xml:space="preserve">CH-20260831-0269</x:t>
  </x:si>
  <x:si>
    <x:t xml:space="preserve">CH-20260831-0270</x:t>
  </x:si>
  <x:si>
    <x:t xml:space="preserve">equipamento parado; 1 recorrência(s)/30d; SLA estourado</x:t>
  </x:si>
  <x:si>
    <x:t xml:space="preserve">CH-20260831-0267</x:t>
  </x:si>
  <x:si>
    <x:t xml:space="preserve">CH-20260831-0275</x:t>
  </x:si>
  <x:si>
    <x:t xml:space="preserve">Recorrência elevada em ELV-0113: revisar padrão de Operador de Porta/Sensor de porta.</x:t>
  </x:si>
  <x:si>
    <x:t xml:space="preserve">CH-20260831-0271</x:t>
  </x:si>
  <x:si>
    <x:t xml:space="preserve">2 recorrência(s)/30d; SLA acima de 85%</x:t>
  </x:si>
  <x:si>
    <x:t xml:space="preserve">CH-20260831-0266</x:t>
  </x:si>
  <x:si>
    <x:t xml:space="preserve">CH-20260831-0265</x:t>
  </x:si>
  <x:si>
    <x:t xml:space="preserve">CH-20260831-0274</x:t>
  </x:si>
  <x:si>
    <x:t xml:space="preserve">CH-20260831-0268</x:t>
  </x:si>
  <x:si>
    <x:t xml:space="preserve">passageiro preso; equipamento parado; 2 recorrência(s)/30d; SLA acima de 85%</x:t>
  </x:si>
  <x:si>
    <x:t xml:space="preserve">CH-20260901-0286</x:t>
  </x:si>
  <x:si>
    <x:t xml:space="preserve">CH-20260901-0288</x:t>
  </x:si>
  <x:si>
    <x:t xml:space="preserve">CH-20260901-0284</x:t>
  </x:si>
  <x:si>
    <x:t xml:space="preserve">CH-20260901-0280</x:t>
  </x:si>
  <x:si>
    <x:t xml:space="preserve">CH-20260901-0278</x:t>
  </x:si>
  <x:si>
    <x:t xml:space="preserve">CH-20260901-0281</x:t>
  </x:si>
  <x:si>
    <x:t xml:space="preserve">Recorrência elevada em ESC-0136: revisar padrão de Painel/Comando/Interface.</x:t>
  </x:si>
  <x:si>
    <x:t xml:space="preserve">CH-20260901-0277</x:t>
  </x:si>
  <x:si>
    <x:t xml:space="preserve">CH-20260901-0283</x:t>
  </x:si>
  <x:si>
    <x:t xml:space="preserve">CH-20260901-0289</x:t>
  </x:si>
  <x:si>
    <x:t xml:space="preserve">CH-20260901-0276</x:t>
  </x:si>
  <x:si>
    <x:t xml:space="preserve">CH-20260901-0279</x:t>
  </x:si>
  <x:si>
    <x:t xml:space="preserve">CH-20260901-0282</x:t>
  </x:si>
  <x:si>
    <x:t xml:space="preserve">Recorrência elevada em ESC-0124: revisar padrão de Segurança/Sensor.</x:t>
  </x:si>
  <x:si>
    <x:t xml:space="preserve">CH-20260901-0285</x:t>
  </x:si>
  <x:si>
    <x:t xml:space="preserve">CH-20260901-0287</x:t>
  </x:si>
  <x:si>
    <x:t xml:space="preserve">CH-20260902-0295</x:t>
  </x:si>
  <x:si>
    <x:t xml:space="preserve">CH-20260902-0298</x:t>
  </x:si>
  <x:si>
    <x:t xml:space="preserve">CH-20260902-0301</x:t>
  </x:si>
  <x:si>
    <x:t xml:space="preserve">equipamento parado; 4 recorrências/30d</x:t>
  </x:si>
  <x:si>
    <x:t xml:space="preserve">CH-20260902-0293</x:t>
  </x:si>
  <x:si>
    <x:t xml:space="preserve">CH-20260902-0297</x:t>
  </x:si>
  <x:si>
    <x:t xml:space="preserve">CH-20260902-0296</x:t>
  </x:si>
  <x:si>
    <x:t xml:space="preserve">CH-20260902-0291</x:t>
  </x:si>
  <x:si>
    <x:t xml:space="preserve">CH-20260902-0300</x:t>
  </x:si>
  <x:si>
    <x:t xml:space="preserve">Recorrência elevada em ESC-0145: revisar padrão de Painel/Comando/Interface.</x:t>
  </x:si>
  <x:si>
    <x:t xml:space="preserve">CH-20260902-0294</x:t>
  </x:si>
  <x:si>
    <x:t xml:space="preserve">CH-20260902-0290</x:t>
  </x:si>
  <x:si>
    <x:t xml:space="preserve">CH-20260902-0299</x:t>
  </x:si>
  <x:si>
    <x:t xml:space="preserve">CH-20260902-0292</x:t>
  </x:si>
  <x:si>
    <x:t xml:space="preserve">CH-20260903-0306</x:t>
  </x:si>
  <x:si>
    <x:t xml:space="preserve">CH-20260903-0303</x:t>
  </x:si>
  <x:si>
    <x:t xml:space="preserve">CH-20260903-0304</x:t>
  </x:si>
  <x:si>
    <x:t xml:space="preserve">CH-20260903-0311</x:t>
  </x:si>
  <x:si>
    <x:t xml:space="preserve">CH-20260903-0307</x:t>
  </x:si>
  <x:si>
    <x:t xml:space="preserve">CH-20260903-0312</x:t>
  </x:si>
  <x:si>
    <x:t xml:space="preserve">CH-20260903-0314</x:t>
  </x:si>
  <x:si>
    <x:t xml:space="preserve">CH-20260903-0309</x:t>
  </x:si>
  <x:si>
    <x:t xml:space="preserve">CH-20260903-0315</x:t>
  </x:si>
  <x:si>
    <x:t xml:space="preserve">CH-20260903-0305</x:t>
  </x:si>
  <x:si>
    <x:t xml:space="preserve">CH-20260903-0310</x:t>
  </x:si>
  <x:si>
    <x:t xml:space="preserve">CH-20260903-0313</x:t>
  </x:si>
  <x:si>
    <x:t xml:space="preserve">CH-20260903-0302</x:t>
  </x:si>
  <x:si>
    <x:t xml:space="preserve">Recorrência elevada em ESC-0145: revisar padrão de Tração/Rolamento.</x:t>
  </x:si>
  <x:si>
    <x:t xml:space="preserve">CH-20260903-0308</x:t>
  </x:si>
  <x:si>
    <x:t xml:space="preserve">CH-20260904-0327</x:t>
  </x:si>
  <x:si>
    <x:t xml:space="preserve">CH-20260904-0318</x:t>
  </x:si>
  <x:si>
    <x:t xml:space="preserve">CH-20260904-0324</x:t>
  </x:si>
  <x:si>
    <x:t xml:space="preserve">CH-20260904-0320</x:t>
  </x:si>
  <x:si>
    <x:t xml:space="preserve">CH-20260904-0322</x:t>
  </x:si>
  <x:si>
    <x:t xml:space="preserve">CH-20260904-0319</x:t>
  </x:si>
  <x:si>
    <x:t xml:space="preserve">CH-20260904-0325</x:t>
  </x:si>
  <x:si>
    <x:t xml:space="preserve">CH-20260904-0326</x:t>
  </x:si>
  <x:si>
    <x:t xml:space="preserve">CH-20260904-0323</x:t>
  </x:si>
  <x:si>
    <x:t xml:space="preserve">CH-20260904-0317</x:t>
  </x:si>
  <x:si>
    <x:t xml:space="preserve">Recorrência elevada em ESC-0145: revisar padrão de Corrimão/Motor do Corrimão.</x:t>
  </x:si>
  <x:si>
    <x:t xml:space="preserve">CH-20260904-0316</x:t>
  </x:si>
  <x:si>
    <x:t xml:space="preserve">CH-20260904-0321</x:t>
  </x:si>
  <x:si>
    <x:t xml:space="preserve">CH-20260905-0334</x:t>
  </x:si>
  <x:si>
    <x:t xml:space="preserve">CH-20260905-0333</x:t>
  </x:si>
  <x:si>
    <x:t xml:space="preserve">CH-20260905-0329</x:t>
  </x:si>
  <x:si>
    <x:t xml:space="preserve">CH-20260905-0328</x:t>
  </x:si>
  <x:si>
    <x:t xml:space="preserve">CH-20260905-0331</x:t>
  </x:si>
  <x:si>
    <x:t xml:space="preserve">CH-20260905-0332</x:t>
  </x:si>
  <x:si>
    <x:t xml:space="preserve">CH-20260905-0330</x:t>
  </x:si>
  <x:si>
    <x:t xml:space="preserve">CH-20260906-0341</x:t>
  </x:si>
  <x:si>
    <x:t xml:space="preserve">CH-20260906-0340</x:t>
  </x:si>
  <x:si>
    <x:t xml:space="preserve">1 recorrência(s)/30d; SLA estourado</x:t>
  </x:si>
  <x:si>
    <x:t xml:space="preserve">CH-20260906-0339</x:t>
  </x:si>
  <x:si>
    <x:t xml:space="preserve">CH-20260906-0338</x:t>
  </x:si>
  <x:si>
    <x:t xml:space="preserve">CH-20260906-0335</x:t>
  </x:si>
  <x:si>
    <x:t xml:space="preserve">CH-20260906-0336</x:t>
  </x:si>
  <x:si>
    <x:t xml:space="preserve">CH-20260906-0337</x:t>
  </x:si>
  <x:si>
    <x:t xml:space="preserve">CH-20260907-0353</x:t>
  </x:si>
  <x:si>
    <x:t xml:space="preserve">CH-20260907-0348</x:t>
  </x:si>
  <x:si>
    <x:t xml:space="preserve">CH-20260907-0354</x:t>
  </x:si>
  <x:si>
    <x:t xml:space="preserve">CH-20260907-0345</x:t>
  </x:si>
  <x:si>
    <x:t xml:space="preserve">CH-20260907-0346</x:t>
  </x:si>
  <x:si>
    <x:t xml:space="preserve">CH-20260907-0343</x:t>
  </x:si>
  <x:si>
    <x:t xml:space="preserve">CH-20260907-0350</x:t>
  </x:si>
  <x:si>
    <x:t xml:space="preserve">CH-20260907-0347</x:t>
  </x:si>
  <x:si>
    <x:t xml:space="preserve">CH-20260907-0349</x:t>
  </x:si>
  <x:si>
    <x:t xml:space="preserve">CH-20260907-0352</x:t>
  </x:si>
  <x:si>
    <x:t xml:space="preserve">Recorrência elevada em ELV-0111: revisar padrão de Sensor de Nível/Sensor.</x:t>
  </x:si>
  <x:si>
    <x:t xml:space="preserve">CH-20260907-0342</x:t>
  </x:si>
  <x:si>
    <x:t xml:space="preserve">CH-20260907-0351</x:t>
  </x:si>
  <x:si>
    <x:t xml:space="preserve">CH-20260907-0344</x:t>
  </x:si>
  <x:si>
    <x:t xml:space="preserve">CH-20260907-0355</x:t>
  </x:si>
  <x:si>
    <x:t xml:space="preserve">CH-20260908-0368</x:t>
  </x:si>
  <x:si>
    <x:t xml:space="preserve">CH-20260908-0370</x:t>
  </x:si>
  <x:si>
    <x:t xml:space="preserve">CH-20260908-0369</x:t>
  </x:si>
  <x:si>
    <x:t xml:space="preserve">CH-20260908-0357</x:t>
  </x:si>
  <x:si>
    <x:t xml:space="preserve">CH-20260908-0367</x:t>
  </x:si>
  <x:si>
    <x:t xml:space="preserve">CH-20260908-0358</x:t>
  </x:si>
  <x:si>
    <x:t xml:space="preserve">CH-20260908-0363</x:t>
  </x:si>
  <x:si>
    <x:t xml:space="preserve">Recorrência elevada em ESC-0105: revisar padrão de Corrimão/Motor do Corrimão.</x:t>
  </x:si>
  <x:si>
    <x:t xml:space="preserve">CH-20260908-0359</x:t>
  </x:si>
  <x:si>
    <x:t xml:space="preserve">CH-20260908-0371</x:t>
  </x:si>
  <x:si>
    <x:t xml:space="preserve">CH-20260908-0364</x:t>
  </x:si>
  <x:si>
    <x:t xml:space="preserve">CH-20260908-0361</x:t>
  </x:si>
  <x:si>
    <x:t xml:space="preserve">CH-20260908-0362</x:t>
  </x:si>
  <x:si>
    <x:t xml:space="preserve">CH-20260908-0356</x:t>
  </x:si>
  <x:si>
    <x:t xml:space="preserve">CH-20260908-0366</x:t>
  </x:si>
  <x:si>
    <x:t xml:space="preserve">CH-20260908-0365</x:t>
  </x:si>
  <x:si>
    <x:t xml:space="preserve">passageiro preso; equipamento parado; 2 recorrência(s)/30d; SLA acima de 60%</x:t>
  </x:si>
  <x:si>
    <x:t xml:space="preserve">CH-20260908-0360</x:t>
  </x:si>
  <x:si>
    <x:t xml:space="preserve">CH-20260909-0374</x:t>
  </x:si>
  <x:si>
    <x:t xml:space="preserve">CH-20260909-0385</x:t>
  </x:si>
  <x:si>
    <x:t xml:space="preserve">CH-20260909-0376</x:t>
  </x:si>
  <x:si>
    <x:t xml:space="preserve">CH-20260909-0372</x:t>
  </x:si>
  <x:si>
    <x:t xml:space="preserve">CH-20260909-0378</x:t>
  </x:si>
  <x:si>
    <x:t xml:space="preserve">CH-20260909-0381</x:t>
  </x:si>
  <x:si>
    <x:t xml:space="preserve">4 recorrências/30d</x:t>
  </x:si>
  <x:si>
    <x:t xml:space="preserve">CH-20260909-0382</x:t>
  </x:si>
  <x:si>
    <x:t xml:space="preserve">CH-20260909-0379</x:t>
  </x:si>
  <x:si>
    <x:t xml:space="preserve">CH-20260909-0384</x:t>
  </x:si>
  <x:si>
    <x:t xml:space="preserve">CH-20260909-0373</x:t>
  </x:si>
  <x:si>
    <x:t xml:space="preserve">CH-20260909-0375</x:t>
  </x:si>
  <x:si>
    <x:t xml:space="preserve">equipamento parado; 5 recorrências/30d; SLA acima de 60%</x:t>
  </x:si>
  <x:si>
    <x:t xml:space="preserve">CH-20260909-0380</x:t>
  </x:si>
  <x:si>
    <x:t xml:space="preserve">CH-20260909-0383</x:t>
  </x:si>
  <x:si>
    <x:t xml:space="preserve">CH-20260909-0377</x:t>
  </x:si>
  <x:si>
    <x:t xml:space="preserve">CH-20260910-0395</x:t>
  </x:si>
  <x:si>
    <x:t xml:space="preserve">CH-20260910-0394</x:t>
  </x:si>
  <x:si>
    <x:t xml:space="preserve">CH-20260910-0387</x:t>
  </x:si>
  <x:si>
    <x:t xml:space="preserve">CH-20260910-0397</x:t>
  </x:si>
  <x:si>
    <x:t xml:space="preserve">CH-20260910-0386</x:t>
  </x:si>
  <x:si>
    <x:t xml:space="preserve">CH-20260910-0390</x:t>
  </x:si>
  <x:si>
    <x:t xml:space="preserve">CH-20260910-0388</x:t>
  </x:si>
  <x:si>
    <x:t xml:space="preserve">passageiro preso; equipamento parado; 3 recorrências/30d; SLA estourado</x:t>
  </x:si>
  <x:si>
    <x:t xml:space="preserve">Recorrência elevada em ELV-0154: revisar padrão de Tração/Freio.</x:t>
  </x:si>
  <x:si>
    <x:t xml:space="preserve">CH-20260910-0389</x:t>
  </x:si>
  <x:si>
    <x:t xml:space="preserve">CH-20260910-0396</x:t>
  </x:si>
  <x:si>
    <x:t xml:space="preserve">CH-20260910-0393</x:t>
  </x:si>
  <x:si>
    <x:t xml:space="preserve">CH-20260910-0391</x:t>
  </x:si>
  <x:si>
    <x:t xml:space="preserve">CH-20260910-0398</x:t>
  </x:si>
  <x:si>
    <x:t xml:space="preserve">CH-20260910-0392</x:t>
  </x:si>
  <x:si>
    <x:t xml:space="preserve">CH-20260911-0402</x:t>
  </x:si>
  <x:si>
    <x:t xml:space="preserve">CH-20260911-0411</x:t>
  </x:si>
  <x:si>
    <x:t xml:space="preserve">CH-20260911-0408</x:t>
  </x:si>
  <x:si>
    <x:t xml:space="preserve">CH-20260911-0409</x:t>
  </x:si>
  <x:si>
    <x:t xml:space="preserve">CH-20260911-0406</x:t>
  </x:si>
  <x:si>
    <x:t xml:space="preserve">CH-20260911-0399</x:t>
  </x:si>
  <x:si>
    <x:t xml:space="preserve">CH-20260911-0401</x:t>
  </x:si>
  <x:si>
    <x:t xml:space="preserve">CH-20260911-0410</x:t>
  </x:si>
  <x:si>
    <x:t xml:space="preserve">CH-20260911-0404</x:t>
  </x:si>
  <x:si>
    <x:t xml:space="preserve">CH-20260911-0400</x:t>
  </x:si>
  <x:si>
    <x:t xml:space="preserve">CH-20260911-0405</x:t>
  </x:si>
  <x:si>
    <x:t xml:space="preserve">CH-20260911-0407</x:t>
  </x:si>
  <x:si>
    <x:t xml:space="preserve">CH-20260911-0403</x:t>
  </x:si>
  <x:si>
    <x:t xml:space="preserve">CH-20260911-0412</x:t>
  </x:si>
  <x:si>
    <x:t xml:space="preserve">CH-20260912-0416</x:t>
  </x:si>
  <x:si>
    <x:t xml:space="preserve">Recorrência elevada em ELV-0127: revisar padrão de Operador de Porta/Sensor de porta.</x:t>
  </x:si>
  <x:si>
    <x:t xml:space="preserve">CH-20260912-0417</x:t>
  </x:si>
  <x:si>
    <x:t xml:space="preserve">CH-20260912-0414</x:t>
  </x:si>
  <x:si>
    <x:t xml:space="preserve">passageiro preso; equipamento parado; 3 recorrências/30d; SLA acima de 60%</x:t>
  </x:si>
  <x:si>
    <x:t xml:space="preserve">Recorrência elevada em ELV-0127: revisar padrão de Tração/Freio.</x:t>
  </x:si>
  <x:si>
    <x:t xml:space="preserve">CH-20260912-0418</x:t>
  </x:si>
  <x:si>
    <x:t xml:space="preserve">CH-20260912-0415</x:t>
  </x:si>
  <x:si>
    <x:t xml:space="preserve">CH-20260912-0413</x:t>
  </x:si>
  <x:si>
    <x:t xml:space="preserve">CH-20260913-0427</x:t>
  </x:si>
  <x:si>
    <x:t xml:space="preserve">Recorrência elevada em ESC-0105: revisar padrão de Tração/Rolamento.</x:t>
  </x:si>
  <x:si>
    <x:t xml:space="preserve">CH-20260913-0426</x:t>
  </x:si>
  <x:si>
    <x:t xml:space="preserve">4 recorrências/30d; SLA acima de 60%</x:t>
  </x:si>
  <x:si>
    <x:t xml:space="preserve">CH-20260913-0420</x:t>
  </x:si>
  <x:si>
    <x:t xml:space="preserve">CH-20260913-0425</x:t>
  </x:si>
  <x:si>
    <x:t xml:space="preserve">CH-20260913-0424</x:t>
  </x:si>
  <x:si>
    <x:t xml:space="preserve">CH-20260913-0423</x:t>
  </x:si>
  <x:si>
    <x:t xml:space="preserve">CH-20260913-0421</x:t>
  </x:si>
  <x:si>
    <x:t xml:space="preserve">CH-20260913-0419</x:t>
  </x:si>
  <x:si>
    <x:t xml:space="preserve">CH-20260913-0422</x:t>
  </x:si>
  <x:si>
    <x:t xml:space="preserve">CH-20260914-0437</x:t>
  </x:si>
  <x:si>
    <x:t xml:space="preserve">CH-20260914-0428</x:t>
  </x:si>
  <x:si>
    <x:t xml:space="preserve">Recorrência elevada em ESC-0136: revisar padrão de Corrimão/Motor do Corrimão.</x:t>
  </x:si>
  <x:si>
    <x:t xml:space="preserve">CH-20260914-0432</x:t>
  </x:si>
  <x:si>
    <x:t xml:space="preserve">CH-20260914-0433</x:t>
  </x:si>
  <x:si>
    <x:t xml:space="preserve">CH-20260914-0435</x:t>
  </x:si>
  <x:si>
    <x:t xml:space="preserve">CH-20260914-0441</x:t>
  </x:si>
  <x:si>
    <x:t xml:space="preserve">equipamento parado; 3 recorrências/30d; SLA acima de 60%</x:t>
  </x:si>
  <x:si>
    <x:t xml:space="preserve">Recorrência elevada em ELV-0154: revisar padrão de Painel/Comando/Placa.</x:t>
  </x:si>
  <x:si>
    <x:t xml:space="preserve">CH-20260914-0442</x:t>
  </x:si>
  <x:si>
    <x:t xml:space="preserve">CH-20260914-0431</x:t>
  </x:si>
  <x:si>
    <x:t xml:space="preserve">CH-20260914-0438</x:t>
  </x:si>
  <x:si>
    <x:t xml:space="preserve">CH-20260914-0430</x:t>
  </x:si>
  <x:si>
    <x:t xml:space="preserve">CH-20260914-0434</x:t>
  </x:si>
  <x:si>
    <x:t xml:space="preserve">CH-20260914-0443</x:t>
  </x:si>
  <x:si>
    <x:t xml:space="preserve">CH-20260914-0436</x:t>
  </x:si>
  <x:si>
    <x:t xml:space="preserve">equipamento parado; 2 recorrência(s)/30d; SLA acima de 85%</x:t>
  </x:si>
  <x:si>
    <x:t xml:space="preserve">CH-20260914-0440</x:t>
  </x:si>
  <x:si>
    <x:t xml:space="preserve">CH-20260914-0439</x:t>
  </x:si>
  <x:si>
    <x:t xml:space="preserve">CH-20260914-0429</x:t>
  </x:si>
  <x:si>
    <x:t xml:space="preserve">CH-20260915-0450</x:t>
  </x:si>
  <x:si>
    <x:t xml:space="preserve">CH-20260915-0458</x:t>
  </x:si>
  <x:si>
    <x:t xml:space="preserve">equipamento parado; 3 recorrências/30d; SLA acima de 85%</x:t>
  </x:si>
  <x:si>
    <x:t xml:space="preserve">Recorrência elevada em ELV-0132: revisar padrão de Painel/Comando/Placa.</x:t>
  </x:si>
  <x:si>
    <x:t xml:space="preserve">CH-20260915-0451</x:t>
  </x:si>
  <x:si>
    <x:t xml:space="preserve">CH-20260915-0452</x:t>
  </x:si>
  <x:si>
    <x:t xml:space="preserve">CH-20260915-0446</x:t>
  </x:si>
  <x:si>
    <x:t xml:space="preserve">CH-20260915-0454</x:t>
  </x:si>
  <x:si>
    <x:t xml:space="preserve">CH-20260915-0449</x:t>
  </x:si>
  <x:si>
    <x:t xml:space="preserve">CH-20260915-0459</x:t>
  </x:si>
  <x:si>
    <x:t xml:space="preserve">CH-20260915-0455</x:t>
  </x:si>
  <x:si>
    <x:t xml:space="preserve">CH-20260915-0448</x:t>
  </x:si>
  <x:si>
    <x:t xml:space="preserve">CH-20260915-0444</x:t>
  </x:si>
  <x:si>
    <x:t xml:space="preserve">Recorrência elevada em ESC-0136: revisar padrão de Degraus/Corrente de Degraus.</x:t>
  </x:si>
  <x:si>
    <x:t xml:space="preserve">CH-20260915-0456</x:t>
  </x:si>
  <x:si>
    <x:t xml:space="preserve">CH-20260915-0453</x:t>
  </x:si>
  <x:si>
    <x:t xml:space="preserve">CH-20260915-0445</x:t>
  </x:si>
  <x:si>
    <x:t xml:space="preserve">CH-20260915-0447</x:t>
  </x:si>
  <x:si>
    <x:t xml:space="preserve">CH-20260915-0457</x:t>
  </x:si>
  <x:si>
    <x:t xml:space="preserve">Recorrência elevada em ELV-0138: revisar padrão de Elétrica/Fonte.</x:t>
  </x:si>
  <x:si>
    <x:t xml:space="preserve">CH-20260916-0462</x:t>
  </x:si>
  <x:si>
    <x:t xml:space="preserve">CH-20260916-0471</x:t>
  </x:si>
  <x:si>
    <x:t xml:space="preserve">equipamento parado; 6 recorrências/30d</x:t>
  </x:si>
  <x:si>
    <x:t xml:space="preserve">CH-20260916-0466</x:t>
  </x:si>
  <x:si>
    <x:t xml:space="preserve">CH-20260916-0470</x:t>
  </x:si>
  <x:si>
    <x:t xml:space="preserve">CH-20260916-0469</x:t>
  </x:si>
  <x:si>
    <x:t xml:space="preserve">CH-20260916-0467</x:t>
  </x:si>
  <x:si>
    <x:t xml:space="preserve">CH-20260916-0468</x:t>
  </x:si>
  <x:si>
    <x:t xml:space="preserve">CH-20260916-0464</x:t>
  </x:si>
  <x:si>
    <x:t xml:space="preserve">CH-20260916-0463</x:t>
  </x:si>
  <x:si>
    <x:t xml:space="preserve">CH-20260916-0461</x:t>
  </x:si>
  <x:si>
    <x:t xml:space="preserve">CH-20260916-0465</x:t>
  </x:si>
  <x:si>
    <x:t xml:space="preserve">CH-20260916-0460</x:t>
  </x:si>
  <x:si>
    <x:t xml:space="preserve">CH-20260917-0475</x:t>
  </x:si>
  <x:si>
    <x:t xml:space="preserve">Recorrência elevada em ELV-0154: revisar padrão de Painel/Comando/Interface.</x:t>
  </x:si>
  <x:si>
    <x:t xml:space="preserve">CH-20260917-0472</x:t>
  </x:si>
  <x:si>
    <x:t xml:space="preserve">CH-20260917-0482</x:t>
  </x:si>
  <x:si>
    <x:t xml:space="preserve">CH-20260917-0481</x:t>
  </x:si>
  <x:si>
    <x:t xml:space="preserve">CH-20260917-0476</x:t>
  </x:si>
  <x:si>
    <x:t xml:space="preserve">CH-20260917-0473</x:t>
  </x:si>
  <x:si>
    <x:t xml:space="preserve">CH-20260917-0477</x:t>
  </x:si>
  <x:si>
    <x:t xml:space="preserve">CH-20260917-0479</x:t>
  </x:si>
  <x:si>
    <x:t xml:space="preserve">Recorrência elevada em ELV-0138: revisar padrão de Operador de Porta/Sensor de porta.</x:t>
  </x:si>
  <x:si>
    <x:t xml:space="preserve">CH-20260917-0483</x:t>
  </x:si>
  <x:si>
    <x:t xml:space="preserve">CH-20260917-0474</x:t>
  </x:si>
  <x:si>
    <x:t xml:space="preserve">CH-20260917-0480</x:t>
  </x:si>
  <x:si>
    <x:t xml:space="preserve">CH-20260917-0478</x:t>
  </x:si>
  <x:si>
    <x:t xml:space="preserve">5 recorrências/30d</x:t>
  </x:si>
  <x:si>
    <x:t xml:space="preserve">CH-20260918-0489</x:t>
  </x:si>
  <x:si>
    <x:t xml:space="preserve">CH-20260918-0488</x:t>
  </x:si>
  <x:si>
    <x:t xml:space="preserve">CH-20260918-0493</x:t>
  </x:si>
  <x:si>
    <x:t xml:space="preserve">CH-20260918-0495</x:t>
  </x:si>
  <x:si>
    <x:t xml:space="preserve">CH-20260918-0496</x:t>
  </x:si>
  <x:si>
    <x:t xml:space="preserve">CH-20260918-0487</x:t>
  </x:si>
  <x:si>
    <x:t xml:space="preserve">CH-20260918-0492</x:t>
  </x:si>
  <x:si>
    <x:t xml:space="preserve">passageiro preso; equipamento parado; 1 recorrência(s)/30d; SLA acima de 60%</x:t>
  </x:si>
  <x:si>
    <x:t xml:space="preserve">CH-20260918-0494</x:t>
  </x:si>
  <x:si>
    <x:t xml:space="preserve">CH-20260918-0490</x:t>
  </x:si>
  <x:si>
    <x:t xml:space="preserve">CH-20260918-0491</x:t>
  </x:si>
  <x:si>
    <x:t xml:space="preserve">CH-20260918-0484</x:t>
  </x:si>
  <x:si>
    <x:t xml:space="preserve">CH-20260918-0486</x:t>
  </x:si>
  <x:si>
    <x:t xml:space="preserve">CH-20260918-0485</x:t>
  </x:si>
  <x:si>
    <x:t xml:space="preserve">CH-20260918-0497</x:t>
  </x:si>
  <x:si>
    <x:t xml:space="preserve">CH-20260918-0498</x:t>
  </x:si>
  <x:si>
    <x:t xml:space="preserve">CH-20260919-0504</x:t>
  </x:si>
  <x:si>
    <x:t xml:space="preserve">Recorrência elevada em ELV-0128: revisar padrão de Tração/Freio.</x:t>
  </x:si>
  <x:si>
    <x:t xml:space="preserve">CH-20260919-0501</x:t>
  </x:si>
  <x:si>
    <x:t xml:space="preserve">CH-20260919-0503</x:t>
  </x:si>
  <x:si>
    <x:t xml:space="preserve">CH-20260919-0499</x:t>
  </x:si>
  <x:si>
    <x:t xml:space="preserve">CH-20260919-0511</x:t>
  </x:si>
  <x:si>
    <x:t xml:space="preserve">CH-20260919-0512</x:t>
  </x:si>
  <x:si>
    <x:t xml:space="preserve">CH-20260919-0510</x:t>
  </x:si>
  <x:si>
    <x:t xml:space="preserve">CH-20260919-0508</x:t>
  </x:si>
  <x:si>
    <x:t xml:space="preserve">CH-20260919-0500</x:t>
  </x:si>
  <x:si>
    <x:t xml:space="preserve">CH-20260919-0507</x:t>
  </x:si>
  <x:si>
    <x:t xml:space="preserve">CH-20260919-0505</x:t>
  </x:si>
  <x:si>
    <x:t xml:space="preserve">CH-20260919-0506</x:t>
  </x:si>
  <x:si>
    <x:t xml:space="preserve">CH-20260919-0509</x:t>
  </x:si>
  <x:si>
    <x:t xml:space="preserve">CH-20260919-0502</x:t>
  </x:si>
  <x:si>
    <x:t xml:space="preserve">CH-20260920-0513</x:t>
  </x:si>
  <x:si>
    <x:t xml:space="preserve">CH-20260920-0521</x:t>
  </x:si>
  <x:si>
    <x:t xml:space="preserve">CH-20260920-0518</x:t>
  </x:si>
  <x:si>
    <x:t xml:space="preserve">CH-20260920-0517</x:t>
  </x:si>
  <x:si>
    <x:t xml:space="preserve">CH-20260920-0520</x:t>
  </x:si>
  <x:si>
    <x:t xml:space="preserve">CH-20260920-0515</x:t>
  </x:si>
  <x:si>
    <x:t xml:space="preserve">passageiro preso; equipamento parado; 4 recorrências/30d; SLA estourado</x:t>
  </x:si>
  <x:si>
    <x:t xml:space="preserve">CH-20260920-0514</x:t>
  </x:si>
  <x:si>
    <x:t xml:space="preserve">CH-20260920-0522</x:t>
  </x:si>
  <x:si>
    <x:t xml:space="preserve">CH-20260920-0519</x:t>
  </x:si>
  <x:si>
    <x:t xml:space="preserve">Recorrência elevada em ELV-0149: revisar padrão de Painel/Comando/Interface.</x:t>
  </x:si>
  <x:si>
    <x:t xml:space="preserve">CH-20260920-0516</x:t>
  </x:si>
  <x:si>
    <x:t xml:space="preserve">CH-20260921-0527</x:t>
  </x:si>
  <x:si>
    <x:t xml:space="preserve">CH-20260921-0531</x:t>
  </x:si>
  <x:si>
    <x:t xml:space="preserve">CH-20260921-0532</x:t>
  </x:si>
  <x:si>
    <x:t xml:space="preserve">CH-20260921-0525</x:t>
  </x:si>
  <x:si>
    <x:t xml:space="preserve">Recorrência elevada em ELV-0149: revisar padrão de Elétrica/Fonte.</x:t>
  </x:si>
  <x:si>
    <x:t xml:space="preserve">CH-20260921-0533</x:t>
  </x:si>
  <x:si>
    <x:t xml:space="preserve">CH-20260921-0526</x:t>
  </x:si>
  <x:si>
    <x:t xml:space="preserve">CH-20260921-0523</x:t>
  </x:si>
  <x:si>
    <x:t xml:space="preserve">3 recorrências/30d; SLA acima de 85%</x:t>
  </x:si>
  <x:si>
    <x:t xml:space="preserve">Recorrência elevada em ELV-0132: revisar padrão de Painel/Comando/Interface.</x:t>
  </x:si>
  <x:si>
    <x:t xml:space="preserve">CH-20260921-0528</x:t>
  </x:si>
  <x:si>
    <x:t xml:space="preserve">CH-20260921-0530</x:t>
  </x:si>
  <x:si>
    <x:t xml:space="preserve">CH-20260921-0524</x:t>
  </x:si>
  <x:si>
    <x:t xml:space="preserve">CH-20260921-0534</x:t>
  </x:si>
  <x:si>
    <x:t xml:space="preserve">CH-20260921-0529</x:t>
  </x:si>
  <x:si>
    <x:t xml:space="preserve">CH-20260922-0543</x:t>
  </x:si>
  <x:si>
    <x:t xml:space="preserve">Recorrência elevada em ELV-0127: revisar padrão de Elétrica/Fonte.</x:t>
  </x:si>
  <x:si>
    <x:t xml:space="preserve">CH-20260922-0541</x:t>
  </x:si>
  <x:si>
    <x:t xml:space="preserve">CH-20260922-0536</x:t>
  </x:si>
  <x:si>
    <x:t xml:space="preserve">CH-20260922-0542</x:t>
  </x:si>
  <x:si>
    <x:t xml:space="preserve">CH-20260922-0537</x:t>
  </x:si>
  <x:si>
    <x:t xml:space="preserve">CH-20260922-0538</x:t>
  </x:si>
  <x:si>
    <x:t xml:space="preserve">CH-20260922-0535</x:t>
  </x:si>
  <x:si>
    <x:t xml:space="preserve">CH-20260922-0539</x:t>
  </x:si>
  <x:si>
    <x:t xml:space="preserve">CH-20260922-0544</x:t>
  </x:si>
  <x:si>
    <x:t xml:space="preserve">CH-20260922-0545</x:t>
  </x:si>
  <x:si>
    <x:t xml:space="preserve">CH-20260922-0540</x:t>
  </x:si>
  <x:si>
    <x:t xml:space="preserve">CH-20260922-0546</x:t>
  </x:si>
  <x:si>
    <x:t xml:space="preserve">CH-20260922-0547</x:t>
  </x:si>
  <x:si>
    <x:t xml:space="preserve">CH-20260923-0563</x:t>
  </x:si>
  <x:si>
    <x:t xml:space="preserve">CH-20260923-0557</x:t>
  </x:si>
  <x:si>
    <x:t xml:space="preserve">Recorrência elevada em ELV-0116: revisar padrão de Tração/Freio.</x:t>
  </x:si>
  <x:si>
    <x:t xml:space="preserve">CH-20260923-0559</x:t>
  </x:si>
  <x:si>
    <x:t xml:space="preserve">equipamento parado; 4 recorrências/30d; SLA acima de 60%</x:t>
  </x:si>
  <x:si>
    <x:t xml:space="preserve">CH-20260923-0552</x:t>
  </x:si>
  <x:si>
    <x:t xml:space="preserve">CH-20260923-0555</x:t>
  </x:si>
  <x:si>
    <x:t xml:space="preserve">CH-20260923-0549</x:t>
  </x:si>
  <x:si>
    <x:t xml:space="preserve">CH-20260923-0554</x:t>
  </x:si>
  <x:si>
    <x:t xml:space="preserve">CH-20260923-0558</x:t>
  </x:si>
  <x:si>
    <x:t xml:space="preserve">Recorrência elevada em ELV-0115: revisar padrão de Botoeira/Contato.</x:t>
  </x:si>
  <x:si>
    <x:t xml:space="preserve">CH-20260923-0565</x:t>
  </x:si>
  <x:si>
    <x:t xml:space="preserve">CH-20260923-0553</x:t>
  </x:si>
  <x:si>
    <x:t xml:space="preserve">CH-20260923-0551</x:t>
  </x:si>
  <x:si>
    <x:t xml:space="preserve">CH-20260923-0564</x:t>
  </x:si>
  <x:si>
    <x:t xml:space="preserve">CH-20260923-0562</x:t>
  </x:si>
  <x:si>
    <x:t xml:space="preserve">CH-20260923-0556</x:t>
  </x:si>
  <x:si>
    <x:t xml:space="preserve">6 recorrências/30d</x:t>
  </x:si>
  <x:si>
    <x:t xml:space="preserve">CH-20260923-0561</x:t>
  </x:si>
  <x:si>
    <x:t xml:space="preserve">CH-20260923-0550</x:t>
  </x:si>
  <x:si>
    <x:t xml:space="preserve">CH-20260923-0560</x:t>
  </x:si>
  <x:si>
    <x:t xml:space="preserve">CH-20260923-0548</x:t>
  </x:si>
  <x:si>
    <x:t xml:space="preserve">CH-20260923-0566</x:t>
  </x:si>
  <x:si>
    <x:t xml:space="preserve">CH-20260924-0577</x:t>
  </x:si>
  <x:si>
    <x:t xml:space="preserve">CH-20260924-0578</x:t>
  </x:si>
  <x:si>
    <x:t xml:space="preserve">passageiro preso; equipamento parado; 3 recorrências/30d; SLA acima de 85%</x:t>
  </x:si>
  <x:si>
    <x:t xml:space="preserve">Recorrência elevada em ELV-0115: revisar padrão de Tração/Freio.</x:t>
  </x:si>
  <x:si>
    <x:t xml:space="preserve">CH-20260924-0568</x:t>
  </x:si>
  <x:si>
    <x:t xml:space="preserve">CH-20260924-0573</x:t>
  </x:si>
  <x:si>
    <x:t xml:space="preserve">CH-20260924-0567</x:t>
  </x:si>
  <x:si>
    <x:t xml:space="preserve">CH-20260924-0576</x:t>
  </x:si>
  <x:si>
    <x:t xml:space="preserve">CH-20260924-0570</x:t>
  </x:si>
  <x:si>
    <x:t xml:space="preserve">CH-20260924-0571</x:t>
  </x:si>
  <x:si>
    <x:t xml:space="preserve">CH-20260924-0574</x:t>
  </x:si>
  <x:si>
    <x:t xml:space="preserve">CH-20260924-0572</x:t>
  </x:si>
  <x:si>
    <x:t xml:space="preserve">CH-20260924-0569</x:t>
  </x:si>
  <x:si>
    <x:t xml:space="preserve">CH-20260924-0575</x:t>
  </x:si>
  <x:si>
    <x:t xml:space="preserve">CH-20260925-0585</x:t>
  </x:si>
  <x:si>
    <x:t xml:space="preserve">CH-20260925-0588</x:t>
  </x:si>
  <x:si>
    <x:t xml:space="preserve">CH-20260925-0582</x:t>
  </x:si>
  <x:si>
    <x:t xml:space="preserve">CH-20260925-0586</x:t>
  </x:si>
  <x:si>
    <x:t xml:space="preserve">CH-20260925-0579</x:t>
  </x:si>
  <x:si>
    <x:t xml:space="preserve">CH-20260925-0591</x:t>
  </x:si>
  <x:si>
    <x:t xml:space="preserve">CH-20260925-0590</x:t>
  </x:si>
  <x:si>
    <x:t xml:space="preserve">CH-20260925-0584</x:t>
  </x:si>
  <x:si>
    <x:t xml:space="preserve">CH-20260925-0583</x:t>
  </x:si>
  <x:si>
    <x:t xml:space="preserve">CH-20260925-0587</x:t>
  </x:si>
  <x:si>
    <x:t xml:space="preserve">Recorrência elevada em ESC-0145: revisar padrão de Degraus/Corrente de Degraus.</x:t>
  </x:si>
  <x:si>
    <x:t xml:space="preserve">CH-20260925-0581</x:t>
  </x:si>
  <x:si>
    <x:t xml:space="preserve">CH-20260925-0589</x:t>
  </x:si>
  <x:si>
    <x:t xml:space="preserve">CH-20260925-0580</x:t>
  </x:si>
  <x:si>
    <x:t xml:space="preserve">CH-20260926-0599</x:t>
  </x:si>
  <x:si>
    <x:t xml:space="preserve">CH-20260926-0593</x:t>
  </x:si>
  <x:si>
    <x:t xml:space="preserve">CH-20260926-0602</x:t>
  </x:si>
  <x:si>
    <x:t xml:space="preserve">CH-20260926-0597</x:t>
  </x:si>
  <x:si>
    <x:t xml:space="preserve">7 recorrências/30d</x:t>
  </x:si>
  <x:si>
    <x:t xml:space="preserve">CH-20260926-0596</x:t>
  </x:si>
  <x:si>
    <x:t xml:space="preserve">Recorrência elevada em ESC-0105: revisar padrão de Painel/Comando/Interface.</x:t>
  </x:si>
  <x:si>
    <x:t xml:space="preserve">CH-20260926-0603</x:t>
  </x:si>
  <x:si>
    <x:t xml:space="preserve">CH-20260926-0592</x:t>
  </x:si>
  <x:si>
    <x:t xml:space="preserve">CH-20260926-0601</x:t>
  </x:si>
  <x:si>
    <x:t xml:space="preserve">CH-20260926-0598</x:t>
  </x:si>
  <x:si>
    <x:t xml:space="preserve">CH-20260926-0600</x:t>
  </x:si>
  <x:si>
    <x:t xml:space="preserve">CH-20260926-0594</x:t>
  </x:si>
  <x:si>
    <x:t xml:space="preserve">CH-20260926-0595</x:t>
  </x:si>
  <x:si>
    <x:t xml:space="preserve">CH-20260926-0604</x:t>
  </x:si>
  <x:si>
    <x:t xml:space="preserve">CH-20260927-0610</x:t>
  </x:si>
  <x:si>
    <x:t xml:space="preserve">Recorrência elevada em ELV-0111: revisar padrão de Painel/Comando/Interface.</x:t>
  </x:si>
  <x:si>
    <x:t xml:space="preserve">CH-20260927-0612</x:t>
  </x:si>
  <x:si>
    <x:t xml:space="preserve">CH-20260927-0605</x:t>
  </x:si>
  <x:si>
    <x:t xml:space="preserve">CH-20260927-0614</x:t>
  </x:si>
  <x:si>
    <x:t xml:space="preserve">CH-20260927-0607</x:t>
  </x:si>
  <x:si>
    <x:t xml:space="preserve">4 recorrências/30d; SLA acima de 85%</x:t>
  </x:si>
  <x:si>
    <x:t xml:space="preserve">CH-20260927-0613</x:t>
  </x:si>
  <x:si>
    <x:t xml:space="preserve">CH-20260927-0609</x:t>
  </x:si>
  <x:si>
    <x:t xml:space="preserve">CH-20260927-0608</x:t>
  </x:si>
  <x:si>
    <x:t xml:space="preserve">CH-20260927-0615</x:t>
  </x:si>
  <x:si>
    <x:t xml:space="preserve">CH-20260927-0606</x:t>
  </x:si>
  <x:si>
    <x:t xml:space="preserve">Recorrência elevada em ELV-0138: revisar padrão de Painel/Comando/Interface.</x:t>
  </x:si>
  <x:si>
    <x:t xml:space="preserve">CH-20260927-0611</x:t>
  </x:si>
  <x:si>
    <x:t xml:space="preserve">CH-20260928-0619</x:t>
  </x:si>
  <x:si>
    <x:t xml:space="preserve">CH-20260928-0623</x:t>
  </x:si>
  <x:si>
    <x:t xml:space="preserve">CH-20260928-0628</x:t>
  </x:si>
  <x:si>
    <x:t xml:space="preserve">Recorrência elevada em ELV-0111: revisar padrão de Tração/Freio.</x:t>
  </x:si>
  <x:si>
    <x:t xml:space="preserve">CH-20260928-0620</x:t>
  </x:si>
  <x:si>
    <x:t xml:space="preserve">Recorrência elevada em ELV-0132: revisar padrão de Sensor de Nível/Sensor.</x:t>
  </x:si>
  <x:si>
    <x:t xml:space="preserve">CH-20260928-0622</x:t>
  </x:si>
  <x:si>
    <x:t xml:space="preserve">CH-20260928-0624</x:t>
  </x:si>
  <x:si>
    <x:t xml:space="preserve">CH-20260928-0616</x:t>
  </x:si>
  <x:si>
    <x:t xml:space="preserve">CH-20260928-0621</x:t>
  </x:si>
  <x:si>
    <x:t xml:space="preserve">CH-20260928-0618</x:t>
  </x:si>
  <x:si>
    <x:t xml:space="preserve">CH-20260928-0627</x:t>
  </x:si>
  <x:si>
    <x:t xml:space="preserve">CH-20260928-0617</x:t>
  </x:si>
  <x:si>
    <x:t xml:space="preserve">CH-20260928-0626</x:t>
  </x:si>
  <x:si>
    <x:t xml:space="preserve">CH-20260928-0625</x:t>
  </x:si>
  <x:si>
    <x:t xml:space="preserve">CH-20260929-0635</x:t>
  </x:si>
  <x:si>
    <x:t xml:space="preserve">8 recorrências/30d</x:t>
  </x:si>
  <x:si>
    <x:t xml:space="preserve">CH-20260929-0643</x:t>
  </x:si>
  <x:si>
    <x:t xml:space="preserve">CH-20260929-0633</x:t>
  </x:si>
  <x:si>
    <x:t xml:space="preserve">CH-20260929-0638</x:t>
  </x:si>
  <x:si>
    <x:t xml:space="preserve">CH-20260929-0630</x:t>
  </x:si>
  <x:si>
    <x:t xml:space="preserve">CH-20260929-0642</x:t>
  </x:si>
  <x:si>
    <x:t xml:space="preserve">CH-20260929-0632</x:t>
  </x:si>
  <x:si>
    <x:t xml:space="preserve">CH-20260929-0637</x:t>
  </x:si>
  <x:si>
    <x:t xml:space="preserve">CH-20260929-0634</x:t>
  </x:si>
  <x:si>
    <x:t xml:space="preserve">CH-20260929-0640</x:t>
  </x:si>
  <x:si>
    <x:t xml:space="preserve">Recorrência elevada em ELV-0146: revisar padrão de Tração/Freio.</x:t>
  </x:si>
  <x:si>
    <x:t xml:space="preserve">CH-20260929-0641</x:t>
  </x:si>
  <x:si>
    <x:t xml:space="preserve">CH-20260929-0631</x:t>
  </x:si>
  <x:si>
    <x:t xml:space="preserve">CH-20260929-0636</x:t>
  </x:si>
  <x:si>
    <x:t xml:space="preserve">Recorrência elevada em ELV-0154: revisar padrão de Operador de Porta/Sensor de porta.</x:t>
  </x:si>
  <x:si>
    <x:t xml:space="preserve">CH-20260929-0639</x:t>
  </x:si>
  <x:si>
    <x:t xml:space="preserve">Recorrência elevada em ELV-0128: revisar padrão de Painel/Comando/Placa.</x:t>
  </x:si>
  <x:si>
    <x:t xml:space="preserve">CH-20260929-0629</x:t>
  </x:si>
  <x:si>
    <x:t xml:space="preserve">CH-20260930-0652</x:t>
  </x:si>
  <x:si>
    <x:t xml:space="preserve">CH-20260930-0646</x:t>
  </x:si>
  <x:si>
    <x:t xml:space="preserve">CH-20260930-0653</x:t>
  </x:si>
  <x:si>
    <x:t xml:space="preserve">CH-20260930-0655</x:t>
  </x:si>
  <x:si>
    <x:t xml:space="preserve">CH-20260930-0644</x:t>
  </x:si>
  <x:si>
    <x:t xml:space="preserve">CH-20260930-0645</x:t>
  </x:si>
  <x:si>
    <x:t xml:space="preserve">CH-20260930-0648</x:t>
  </x:si>
  <x:si>
    <x:t xml:space="preserve">CH-20260930-0649</x:t>
  </x:si>
  <x:si>
    <x:t xml:space="preserve">CH-20260930-0647</x:t>
  </x:si>
  <x:si>
    <x:t xml:space="preserve">CH-20260930-0651</x:t>
  </x:si>
  <x:si>
    <x:t xml:space="preserve">CH-20260930-0654</x:t>
  </x:si>
  <x:si>
    <x:t xml:space="preserve">CH-20260930-0656</x:t>
  </x:si>
  <x:si>
    <x:t xml:space="preserve">CH-20260930-0650</x:t>
  </x:si>
  <x:si>
    <x:t xml:space="preserve">CH-20261001-0660</x:t>
  </x:si>
  <x:si>
    <x:t xml:space="preserve">Recorrência elevada em ELV-0111: revisar padrão de Botoeira/Contato.</x:t>
  </x:si>
  <x:si>
    <x:t xml:space="preserve">CH-20261001-0668</x:t>
  </x:si>
  <x:si>
    <x:t xml:space="preserve">CH-20261001-0667</x:t>
  </x:si>
  <x:si>
    <x:t xml:space="preserve">CH-20261001-0662</x:t>
  </x:si>
  <x:si>
    <x:t xml:space="preserve">CH-20261001-0659</x:t>
  </x:si>
  <x:si>
    <x:t xml:space="preserve">Recorrência elevada em ESC-0123: revisar padrão de Tração/Rolamento.</x:t>
  </x:si>
  <x:si>
    <x:t xml:space="preserve">CH-20261001-0669</x:t>
  </x:si>
  <x:si>
    <x:t xml:space="preserve">CH-20261001-0665</x:t>
  </x:si>
  <x:si>
    <x:t xml:space="preserve">CH-20261001-0664</x:t>
  </x:si>
  <x:si>
    <x:t xml:space="preserve">CH-20261001-0657</x:t>
  </x:si>
  <x:si>
    <x:t xml:space="preserve">CH-20261001-0663</x:t>
  </x:si>
  <x:si>
    <x:t xml:space="preserve">CH-20261001-0666</x:t>
  </x:si>
  <x:si>
    <x:t xml:space="preserve">CH-20261001-0658</x:t>
  </x:si>
  <x:si>
    <x:t xml:space="preserve">CH-20261001-0661</x:t>
  </x:si>
  <x:si>
    <x:t xml:space="preserve">CH-20261002-0671</x:t>
  </x:si>
  <x:si>
    <x:t xml:space="preserve">CH-20261002-0685</x:t>
  </x:si>
  <x:si>
    <x:t xml:space="preserve">CH-20261002-0673</x:t>
  </x:si>
  <x:si>
    <x:t xml:space="preserve">CH-20261002-0675</x:t>
  </x:si>
  <x:si>
    <x:t xml:space="preserve">CH-20261002-0672</x:t>
  </x:si>
  <x:si>
    <x:t xml:space="preserve">CH-20261002-0682</x:t>
  </x:si>
  <x:si>
    <x:t xml:space="preserve">CH-20261002-0681</x:t>
  </x:si>
  <x:si>
    <x:t xml:space="preserve">CH-20261002-0684</x:t>
  </x:si>
  <x:si>
    <x:t xml:space="preserve">CH-20261002-0674</x:t>
  </x:si>
  <x:si>
    <x:t xml:space="preserve">CH-20261002-0679</x:t>
  </x:si>
  <x:si>
    <x:t xml:space="preserve">equipamento parado; 4 recorrências/30d; SLA acima de 85%</x:t>
  </x:si>
  <x:si>
    <x:t xml:space="preserve">CH-20261002-0678</x:t>
  </x:si>
  <x:si>
    <x:t xml:space="preserve">CH-20261002-0686</x:t>
  </x:si>
  <x:si>
    <x:t xml:space="preserve">CH-20261002-0670</x:t>
  </x:si>
  <x:si>
    <x:t xml:space="preserve">CH-20261002-0683</x:t>
  </x:si>
  <x:si>
    <x:t xml:space="preserve">CH-20261002-0680</x:t>
  </x:si>
  <x:si>
    <x:t xml:space="preserve">CH-20261002-0676</x:t>
  </x:si>
  <x:si>
    <x:t xml:space="preserve">Recorrência elevada em ELV-0112: revisar padrão de Botoeira/Contato.</x:t>
  </x:si>
  <x:si>
    <x:t xml:space="preserve">CH-20261002-0677</x:t>
  </x:si>
  <x:si>
    <x:t xml:space="preserve">CH-20261003-0693</x:t>
  </x:si>
  <x:si>
    <x:t xml:space="preserve">CH-20261003-0692</x:t>
  </x:si>
  <x:si>
    <x:t xml:space="preserve">Recorrência elevada em ELV-0149: revisar padrão de Painel/Comando/Placa.</x:t>
  </x:si>
  <x:si>
    <x:t xml:space="preserve">CH-20261003-0694</x:t>
  </x:si>
  <x:si>
    <x:t xml:space="preserve">CH-20261003-0687</x:t>
  </x:si>
  <x:si>
    <x:t xml:space="preserve">Recorrência elevada em ESC-0105: revisar padrão de Degraus/Corrente de Degraus.</x:t>
  </x:si>
  <x:si>
    <x:t xml:space="preserve">CH-20261003-0690</x:t>
  </x:si>
  <x:si>
    <x:t xml:space="preserve">CH-20261003-0691</x:t>
  </x:si>
  <x:si>
    <x:t xml:space="preserve">CH-20261003-0689</x:t>
  </x:si>
  <x:si>
    <x:t xml:space="preserve">CH-20261003-0688</x:t>
  </x:si>
  <x:si>
    <x:t xml:space="preserve">CH-20261004-0697</x:t>
  </x:si>
  <x:si>
    <x:t xml:space="preserve">CH-20261004-0706</x:t>
  </x:si>
  <x:si>
    <x:t xml:space="preserve">CH-20261004-0696</x:t>
  </x:si>
  <x:si>
    <x:t xml:space="preserve">CH-20261004-0703</x:t>
  </x:si>
  <x:si>
    <x:t xml:space="preserve">CH-20261004-0698</x:t>
  </x:si>
  <x:si>
    <x:t xml:space="preserve">CH-20261004-0700</x:t>
  </x:si>
  <x:si>
    <x:t xml:space="preserve">CH-20261004-0704</x:t>
  </x:si>
  <x:si>
    <x:t xml:space="preserve">CH-20261004-0705</x:t>
  </x:si>
  <x:si>
    <x:t xml:space="preserve">CH-20261004-0695</x:t>
  </x:si>
  <x:si>
    <x:t xml:space="preserve">CH-20261004-0702</x:t>
  </x:si>
  <x:si>
    <x:t xml:space="preserve">CH-20261004-0701</x:t>
  </x:si>
  <x:si>
    <x:t xml:space="preserve">CH-20261004-0699</x:t>
  </x:si>
  <x:si>
    <x:t xml:space="preserve">CH-20261005-0714</x:t>
  </x:si>
  <x:si>
    <x:t xml:space="preserve">CH-20261005-0707</x:t>
  </x:si>
  <x:si>
    <x:t xml:space="preserve">CH-20261005-0709</x:t>
  </x:si>
  <x:si>
    <x:t xml:space="preserve">5 recorrências/30d; SLA acima de 60%</x:t>
  </x:si>
  <x:si>
    <x:t xml:space="preserve">CH-20261005-0708</x:t>
  </x:si>
  <x:si>
    <x:t xml:space="preserve">CH-20261005-0712</x:t>
  </x:si>
  <x:si>
    <x:t xml:space="preserve">Recorrência elevada em ELV-0149: revisar padrão de Máquina de Tração/Inversor.</x:t>
  </x:si>
  <x:si>
    <x:t xml:space="preserve">CH-20261005-0713</x:t>
  </x:si>
  <x:si>
    <x:t xml:space="preserve">CH-20261005-0710</x:t>
  </x:si>
  <x:si>
    <x:t xml:space="preserve">CH-20261005-0715</x:t>
  </x:si>
  <x:si>
    <x:t xml:space="preserve">CH-20261005-0717</x:t>
  </x:si>
  <x:si>
    <x:t xml:space="preserve">CH-20261005-0720</x:t>
  </x:si>
  <x:si>
    <x:t xml:space="preserve">CH-20261005-0716</x:t>
  </x:si>
  <x:si>
    <x:t xml:space="preserve">CH-20261005-0722</x:t>
  </x:si>
  <x:si>
    <x:t xml:space="preserve">CH-20261005-0721</x:t>
  </x:si>
  <x:si>
    <x:t xml:space="preserve">CH-20261005-0711</x:t>
  </x:si>
  <x:si>
    <x:t xml:space="preserve">CH-20261005-0719</x:t>
  </x:si>
  <x:si>
    <x:t xml:space="preserve">CH-20261005-0718</x:t>
  </x:si>
  <x:si>
    <x:t xml:space="preserve">CH-20261006-0732</x:t>
  </x:si>
  <x:si>
    <x:t xml:space="preserve">CH-20261006-0723</x:t>
  </x:si>
  <x:si>
    <x:t xml:space="preserve">CH-20261006-0735</x:t>
  </x:si>
  <x:si>
    <x:t xml:space="preserve">CH-20261006-0724</x:t>
  </x:si>
  <x:si>
    <x:t xml:space="preserve">CH-20261006-0736</x:t>
  </x:si>
  <x:si>
    <x:t xml:space="preserve">CH-20261006-0726</x:t>
  </x:si>
  <x:si>
    <x:t xml:space="preserve">CH-20261006-0729</x:t>
  </x:si>
  <x:si>
    <x:t xml:space="preserve">CH-20261006-0725</x:t>
  </x:si>
  <x:si>
    <x:t xml:space="preserve">equipamento parado; 2 recorrências/30d</x:t>
  </x:si>
  <x:si>
    <x:t xml:space="preserve">CH-20261006-0727</x:t>
  </x:si>
  <x:si>
    <x:t xml:space="preserve">passageiro preso; equipamento parado; 2 recorrências/30d; SLA acima de 80%; ETA maior que margem do SLA</x:t>
  </x:si>
  <x:si>
    <x:t xml:space="preserve">CH-20261006-0730</x:t>
  </x:si>
  <x:si>
    <x:t xml:space="preserve">CH-20261006-0734</x:t>
  </x:si>
  <x:si>
    <x:t xml:space="preserve">CH-20261006-0733</x:t>
  </x:si>
  <x:si>
    <x:t xml:space="preserve">CH-20261006-0728</x:t>
  </x:si>
  <x:si>
    <x:t xml:space="preserve">CH-20261006-0731</x:t>
  </x:si>
  <x:si>
    <x:t xml:space="preserve">ORQUESTRA — Resumo da Massa Sintética de 60 Dias</x:t>
  </x:si>
  <x:si>
    <x:t xml:space="preserve">Período: 08/08/2026 a 06/10/2026 | Dados sintéticos para demonstração acadêmica dos filtros e telas.</x:t>
  </x:si>
  <x:si>
    <x:t xml:space="preserve">Chamados</x:t>
  </x:si>
  <x:si>
    <x:t xml:space="preserve">Aderência SLA</x:t>
  </x:si>
  <x:si>
    <x:t xml:space="preserve">Custo Estimado</x:t>
  </x:si>
  <x:si>
    <x:t xml:space="preserve">TA Médio</x:t>
  </x:si>
  <x:si>
    <x:t xml:space="preserve">TB Médio</x:t>
  </x:si>
  <x:si>
    <x:t xml:space="preserve">Recorrência &gt;=3</x:t>
  </x:si>
  <x:si>
    <x:t xml:space="preserve">Período</x:t>
  </x:si>
  <x:si>
    <x:t xml:space="preserve">60 dias</x:t>
  </x:si>
  <x:si>
    <x:t xml:space="preserve">Criticidade</x:t>
  </x:si>
  <x:si>
    <x:t xml:space="preserve">Quantidade</x:t>
  </x:si>
  <x:si>
    <x:t xml:space="preserve">Categoria</x:t>
  </x:si>
  <x:si>
    <x:t xml:space="preserve">Data</x:t>
  </x:si>
  <x:si>
    <x:t xml:space="preserve">ORQUESTRA — Guia de Filtros para Demonstração</x:t>
  </x:si>
  <x:si>
    <x:t xml:space="preserve">Filtros sugeridos para demonstrar navegabilidade, contexto, criticidade e análise histórica usando a massa sintética de 60 dias.</x:t>
  </x:si>
  <x:si>
    <x:t xml:space="preserve">Filtro</x:t>
  </x:si>
  <x:si>
    <x:t xml:space="preserve">Campo da base</x:t>
  </x:si>
  <x:si>
    <x:t xml:space="preserve">Valores sugeridos</x:t>
  </x:si>
  <x:si>
    <x:t xml:space="preserve">O que demonstra</x:t>
  </x:si>
  <x:si>
    <x:t xml:space="preserve">Uso recomendado na banca</x:t>
  </x:si>
  <x:si>
    <x:t xml:space="preserve">Prioridade</x:t>
  </x:si>
  <x:si>
    <x:t xml:space="preserve">Observação</x:t>
  </x:si>
  <x:si>
    <x:t xml:space="preserve">Hoje / 7 / 15 / 30 / 60 dias</x:t>
  </x:si>
  <x:si>
    <x:t xml:space="preserve">Evolução temporal e volume operacional</x:t>
  </x:si>
  <x:si>
    <x:t xml:space="preserve">Começar em 60 dias e reduzir para 7 dias para mostrar resposta dinâmica</x:t>
  </x:si>
  <x:si>
    <x:t xml:space="preserve">Alta</x:t>
  </x:si>
  <x:si>
    <x:t xml:space="preserve">Filtro principal</x:t>
  </x:si>
  <x:si>
    <x:t xml:space="preserve">Verde / Amarelo / Laranja / Vermelho</x:t>
  </x:si>
  <x:si>
    <x:t xml:space="preserve">Priorização operacional</x:t>
  </x:si>
  <x:si>
    <x:t xml:space="preserve">Selecionar Laranja + Vermelho para mostrar onde atuar</x:t>
  </x:si>
  <x:si>
    <x:t xml:space="preserve">Essencial</x:t>
  </x:si>
  <x:si>
    <x:t xml:space="preserve">Aberto / Contactado / Técnico a caminho / Em atendimento / Concluído</x:t>
  </x:si>
  <x:si>
    <x:t xml:space="preserve">Etapa operacional do chamado</x:t>
  </x:si>
  <x:si>
    <x:t xml:space="preserve">Mostrar somente chamados ainda ativos</x:t>
  </x:si>
  <x:si>
    <x:t xml:space="preserve">Útil para Supervisor</x:t>
  </x:si>
  <x:si>
    <x:t xml:space="preserve">Hospitais / Shopping / Corporativo etc.</x:t>
  </x:si>
  <x:si>
    <x:t xml:space="preserve">Contexto por cliente</x:t>
  </x:si>
  <x:si>
    <x:t xml:space="preserve">Filtrar Hospital São Paulo ou Hospital Life</x:t>
  </x:si>
  <x:si>
    <x:t xml:space="preserve">Combina bem com criticidade</x:t>
  </x:si>
  <x:si>
    <x:t xml:space="preserve">CT-2026-001 ... CT-2026-012</x:t>
  </x:si>
  <x:si>
    <x:t xml:space="preserve">Visão contratual</x:t>
  </x:si>
  <x:si>
    <x:t xml:space="preserve">Selecionar contrato e observar chamados/custo/risco</x:t>
  </x:si>
  <x:si>
    <x:t xml:space="preserve">Média</x:t>
  </x:si>
  <x:si>
    <x:t xml:space="preserve">Executivo</x:t>
  </x:si>
  <x:si>
    <x:t xml:space="preserve">SP-Centro / SP-Norte / SP-Oeste / SP-Sul / SP-Leste / GRU / ABC</x:t>
  </x:si>
  <x:si>
    <x:t xml:space="preserve">Distribuição geográfica</x:t>
  </x:si>
  <x:si>
    <x:t xml:space="preserve">Comparar SP-Sul x ABC</x:t>
  </x:si>
  <x:si>
    <x:t xml:space="preserve">Boa para gerente de operações</x:t>
  </x:si>
  <x:si>
    <x:t xml:space="preserve">A ... G</x:t>
  </x:si>
  <x:si>
    <x:t xml:space="preserve">Responsabilidade operacional</x:t>
  </x:si>
  <x:si>
    <x:t xml:space="preserve">Filtrar um supervisor e mostrar carteira de chamados</x:t>
  </x:si>
  <x:si>
    <x:t xml:space="preserve">Derivado da área</x:t>
  </x:si>
  <x:si>
    <x:t xml:space="preserve">Técnicos cadastrados na massa</x:t>
  </x:si>
  <x:si>
    <x:t xml:space="preserve">Carga e histórico por técnico</x:t>
  </x:si>
  <x:si>
    <x:t xml:space="preserve">Selecionar João Silva, Carlos Souza etc.</x:t>
  </x:si>
  <x:si>
    <x:t xml:space="preserve">Evitar interpretar como produtividade completa</x:t>
  </x:si>
  <x:si>
    <x:t xml:space="preserve">Rotas por área</x:t>
  </x:si>
  <x:si>
    <x:t xml:space="preserve">Operação de campo</x:t>
  </x:si>
  <x:si>
    <x:t xml:space="preserve">Combinar Área + Rota</x:t>
  </x:si>
  <x:si>
    <x:t xml:space="preserve">Boa para demonstrar granularidade</x:t>
  </x:si>
  <x:si>
    <x:t xml:space="preserve">Elevador Social / Serviço / Hospitalar / Escada Rolante</x:t>
  </x:si>
  <x:si>
    <x:t xml:space="preserve">Análise por equipamento</x:t>
  </x:si>
  <x:si>
    <x:t xml:space="preserve">Comparar elevadores x escadas rolantes</x:t>
  </x:si>
  <x:si>
    <x:t xml:space="preserve">Valores sintéticos para demonstração</x:t>
  </x:si>
  <x:si>
    <x:t xml:space="preserve">ELV-xxxx / ESC-xxxx</x:t>
  </x:si>
  <x:si>
    <x:t xml:space="preserve">Histórico individual do equipamento</x:t>
  </x:si>
  <x:si>
    <x:t xml:space="preserve">Escolher unidade com recorrência &gt;=3</x:t>
  </x:si>
  <x:si>
    <x:t xml:space="preserve">Excelente para drill-down</x:t>
  </x:si>
  <x:si>
    <x:t xml:space="preserve">Passageiro Preso / Nivelamento / Porta / Tração / Segurança etc.</x:t>
  </x:si>
  <x:si>
    <x:t xml:space="preserve">Natureza da ocorrência</x:t>
  </x:si>
  <x:si>
    <x:t xml:space="preserve">Selecionar Passageiro Preso</x:t>
  </x:si>
  <x:si>
    <x:t xml:space="preserve">Conecta com narrativa humana</x:t>
  </x:si>
  <x:si>
    <x:t xml:space="preserve">Componente</x:t>
  </x:si>
  <x:si>
    <x:t xml:space="preserve">Tração / Painel/Comando / Sensor de Nível / Corrimão etc.</x:t>
  </x:si>
  <x:si>
    <x:t xml:space="preserve">Padrões técnicos</x:t>
  </x:si>
  <x:si>
    <x:t xml:space="preserve">Filtrar Painel/Comando ou Tração</x:t>
  </x:si>
  <x:si>
    <x:t xml:space="preserve">Bom para recorrência</x:t>
  </x:si>
  <x:si>
    <x:t xml:space="preserve">SLA consumido</x:t>
  </x:si>
  <x:si>
    <x:t xml:space="preserve">0–50% / 51–80% / 81–100% / &gt;100%</x:t>
  </x:si>
  <x:si>
    <x:t xml:space="preserve">Pressão temporal</x:t>
  </x:si>
  <x:si>
    <x:t xml:space="preserve">Filtrar &gt;100% para mostrar violações</x:t>
  </x:si>
  <x:si>
    <x:t xml:space="preserve">Converter para faixas na UI</x:t>
  </x:si>
  <x:si>
    <x:t xml:space="preserve">Passageiro preso</x:t>
  </x:si>
  <x:si>
    <x:t xml:space="preserve">Sim / Não</x:t>
  </x:si>
  <x:si>
    <x:t xml:space="preserve">Criticidade humana</x:t>
  </x:si>
  <x:si>
    <x:t xml:space="preserve">Selecionar Sim e combinar com Laranja/Vermelho</x:t>
  </x:si>
  <x:si>
    <x:t xml:space="preserve">Muito forte na apresentação</x:t>
  </x:si>
  <x:si>
    <x:t xml:space="preserve">Carro parado</x:t>
  </x:si>
  <x:si>
    <x:t xml:space="preserve">Impacto operacional imediato</x:t>
  </x:si>
  <x:si>
    <x:t xml:space="preserve">Selecionar Sim</x:t>
  </x:si>
  <x:si>
    <x:t xml:space="preserve">Complementar</x:t>
  </x:si>
  <x:si>
    <x:t xml:space="preserve">Recorrência 30d</x:t>
  </x:si>
  <x:si>
    <x:t xml:space="preserve">0 / 1–2 / &gt;=3</x:t>
  </x:si>
  <x:si>
    <x:t xml:space="preserve">Aprendizado histórico</x:t>
  </x:si>
  <x:si>
    <x:t xml:space="preserve">Filtrar &gt;=3 e abrir detalhe do equipamento</x:t>
  </x:si>
  <x:si>
    <x:t xml:space="preserve">Demonstra valor do BackOffice</x:t>
  </x:si>
  <x:si>
    <x:t xml:space="preserve">Impacto no contrato</x:t>
  </x:si>
  <x:si>
    <x:t xml:space="preserve">Baixo / Médio / Alto</x:t>
  </x:si>
  <x:si>
    <x:t xml:space="preserve">Conexão operação → resultado</x:t>
  </x:si>
  <x:si>
    <x:t xml:space="preserve">Selecionar Alto</x:t>
  </x:si>
  <x:si>
    <x:t xml:space="preserve">Custo estimado</x:t>
  </x:si>
  <x:si>
    <x:t xml:space="preserve">Faixas configuráveis</x:t>
  </x:si>
  <x:si>
    <x:t xml:space="preserve">Pressão de custo</x:t>
  </x:si>
  <x:si>
    <x:t xml:space="preserve">Combinar custo alto + recorrência alta</x:t>
  </x:si>
  <x:si>
    <x:t xml:space="preserve">Custo sintético estimado</x:t>
  </x:si>
  <x:si>
    <x:t xml:space="preserve">Central / IoT / App Cliente / Monitoramento Remoto</x:t>
  </x:si>
  <x:si>
    <x:t xml:space="preserve">Integração de fontes</x:t>
  </x:si>
  <x:si>
    <x:t xml:space="preserve">Comparar IoT x Central</x:t>
  </x:si>
  <x:si>
    <x:t xml:space="preserve">Reforça narrativa de integração</x:t>
  </x:si>
  <x:si>
    <x:t xml:space="preserve">Cenário de demonstração</x:t>
  </x:si>
  <x:si>
    <x:t xml:space="preserve">Filtros aplicados</x:t>
  </x:si>
  <x:si>
    <x:t xml:space="preserve">Mensagem para a banca</x:t>
  </x:si>
  <x:si>
    <x:t xml:space="preserve">Resultado esperado</x:t>
  </x:si>
  <x:si>
    <x:t xml:space="preserve">1. Urgência humana</x:t>
  </x:si>
  <x:si>
    <x:t xml:space="preserve">Período=60 dias + Categoria=Passageiro Preso</x:t>
  </x:si>
  <x:si>
    <x:t xml:space="preserve">Mostrar que tempo e criticidade dependem do contexto humano</x:t>
  </x:si>
  <x:si>
    <x:t xml:space="preserve">Lista reduzida a ocorrências de passageiro preso</x:t>
  </x:si>
  <x:si>
    <x:t xml:space="preserve">2. Janela de intervenção</x:t>
  </x:si>
  <x:si>
    <x:t xml:space="preserve">Criticidade=Laranja</x:t>
  </x:si>
  <x:si>
    <x:t xml:space="preserve">Mostrar casos em que ainda existe oportunidade clara de intervenção</x:t>
  </x:si>
  <x:si>
    <x:t xml:space="preserve">Somente eventos classificados como Laranja</x:t>
  </x:si>
  <x:si>
    <x:t xml:space="preserve">3. Situação crítica</x:t>
  </x:si>
  <x:si>
    <x:t xml:space="preserve">Criticidade=Vermelho</x:t>
  </x:si>
  <x:si>
    <x:t xml:space="preserve">Mostrar que o ORQUESTRA também atua quando a situação já é crítica</x:t>
  </x:si>
  <x:si>
    <x:t xml:space="preserve">Eventos com SLA estourado/contexto crítico</x:t>
  </x:si>
  <x:si>
    <x:t xml:space="preserve">4. Recorrência técnica</x:t>
  </x:si>
  <x:si>
    <x:t xml:space="preserve">Recorrencia_30d&gt;=3 + Componente Principal=Painel/Comando</x:t>
  </x:si>
  <x:si>
    <x:t xml:space="preserve">Mostrar que o histórico revela padrões</x:t>
  </x:si>
  <x:si>
    <x:t xml:space="preserve">Equipamentos/chamados com repetição relevante</x:t>
  </x:si>
  <x:si>
    <x:t xml:space="preserve">5. Equipamento específico</x:t>
  </x:si>
  <x:si>
    <x:t xml:space="preserve">Tipo de Unidade=Escada Rolante + Unidade escolhida</x:t>
  </x:si>
  <x:si>
    <x:t xml:space="preserve">Demonstrar drill-down por ativo</x:t>
  </x:si>
  <x:si>
    <x:t xml:space="preserve">Histórico completo da unidade selecionada</x:t>
  </x:si>
  <x:si>
    <x:t xml:space="preserve">6. Gestão regional</x:t>
  </x:si>
  <x:si>
    <x:t xml:space="preserve">Área=SP-Sul + Supervisor=Supervisor D</x:t>
  </x:si>
  <x:si>
    <x:t xml:space="preserve">Mostrar visão operacional por responsabilidade</x:t>
  </x:si>
  <x:si>
    <x:t xml:space="preserve">Chamados da área e do supervisor</x:t>
  </x:si>
  <x:si>
    <x:t xml:space="preserve">7. Pressão contratual</x:t>
  </x:si>
  <x:si>
    <x:t xml:space="preserve">Impacto_Contrato=Alto + Percentual_SLA&gt;1</x:t>
  </x:si>
  <x:si>
    <x:t xml:space="preserve">Relacionar operação, SLA e resultado econômico</x:t>
  </x:si>
  <x:si>
    <x:t xml:space="preserve">Chamados de maior pressão operacional/financeira</x:t>
  </x:si>
  <x:si>
    <x:t xml:space="preserve">8. Fontes integradas</x:t>
  </x:si>
  <x:si>
    <x:t xml:space="preserve">Origem=IoT e depois Central de Atendimento</x:t>
  </x:si>
  <x:si>
    <x:t xml:space="preserve">Mostrar dados chegando de fontes diferentes ao mesmo BackOffice</x:t>
  </x:si>
  <x:si>
    <x:t xml:space="preserve">Comparação por origem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</x:si>
</x:sst>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dd/mm/yyyy\ hh:mm"/>
    <x:numFmt numFmtId="166" formatCode="0.0%"/>
    <x:numFmt numFmtId="167" formatCode="&quot;R$ &quot;#,##0.00"/>
    <x:numFmt numFmtId="168" formatCode="0.0"/>
    <x:numFmt numFmtId="169" formatCode="dd/mm/yyyy"/>
    <x:numFmt numFmtId="200" formatCode="dd/mm/yyyy hh:mm"/>
    <x:numFmt numFmtId="201" formatCode="R$ #,##0.00"/>
  </x:numFmts>
  <x:fonts count="1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8"/>
      <x:color rgb="FFFFFFFF"/>
      <x:name val="Calibri"/>
    </x:font>
    <x:font>
      <x:i/>
      <x:sz val="11"/>
      <x:color rgb="FF16324F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i/>
      <x:sz val="10"/>
      <x:color rgb="FF16324F"/>
      <x:name val="Calibri"/>
    </x:font>
    <x:font>
      <x:b/>
      <x:sz val="12"/>
      <x:name val="Calibri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FFFFFF"/>
      <x:name val="Arial"/>
    </x:font>
    <x:font>
      <x:b/>
      <x:sz val="10"/>
      <x:color rgb="FF0B766F"/>
      <x:name val="Arial"/>
    </x:font>
    <x:font>
      <x:sz val="10"/>
      <x:color rgb="FF724C16"/>
      <x:name val="Arial"/>
    </x:font>
    <x:font>
      <x:b/>
      <x:sz val="10"/>
      <x:color rgb="FF125E5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17324A"/>
      </x:patternFill>
    </x:fill>
    <x:fill>
      <x:patternFill patternType="solid">
        <x:fgColor rgb="FF0B766F"/>
      </x:patternFill>
    </x:fill>
    <x:fill>
      <x:patternFill patternType="solid">
        <x:fgColor rgb="FFFFF0D9"/>
      </x:patternFill>
    </x:fill>
    <x:fill>
      <x:patternFill patternType="solid">
        <x:fgColor rgb="FFE7F4F1"/>
      </x:patternFill>
    </x:fill>
  </x:fills>
  <x:borders count="2">
    <x:border diagonalUp="0" diagonalDown="0"/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71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bottom" wrapText="1"/>
    </x:xf>
    <x:xf numFmtId="164" fontId="6" fillId="3" borderId="0" xfId="20" applyFont="1" applyBorder="1" applyAlignment="1">
      <x:alignment horizontal="center" vertical="bottom" wrapText="1"/>
    </x:xf>
    <x:xf numFmtId="164" fontId="4" fillId="0" borderId="0" xfId="20" applyFont="1" applyBorder="1" applyAlignment="1">
      <x:alignment horizontal="general" vertical="bottom" wrapText="1"/>
    </x:xf>
    <x:xf numFmtId="164" fontId="7" fillId="2" borderId="0" xfId="20" applyFont="1" applyBorder="1" applyAlignment="1">
      <x:alignment horizontal="center" vertical="bottom" wrapText="1"/>
    </x:xf>
    <x:xf numFmtId="164" fontId="7" fillId="2" borderId="0" xfId="20" applyFont="1" applyBorder="1" applyAlignment="1">
      <x:alignment horizontal="general" vertical="bottom" wrapText="1"/>
    </x:xf>
    <x:xf numFmtId="164" fontId="8" fillId="2" borderId="0" xfId="20" applyFont="1" applyBorder="1" applyAlignment="1">
      <x:alignment horizontal="center" vertical="center" wrapText="1"/>
    </x:xf>
    <x:xf numFmtId="165" fontId="4" fillId="0" borderId="0" xfId="20" applyFont="1" applyBorder="1" applyAlignment="1">
      <x:alignment horizontal="general" vertical="bottom" wrapText="1"/>
    </x:xf>
    <x:xf numFmtId="166" fontId="4" fillId="0" borderId="0" xfId="20" applyFont="1" applyBorder="1" applyAlignment="1">
      <x:alignment horizontal="general" vertical="bottom" wrapText="1"/>
    </x:xf>
    <x:xf numFmtId="167" fontId="4" fillId="0" borderId="0" xfId="20" applyFont="1" applyBorder="1" applyAlignment="1">
      <x:alignment horizontal="general" vertical="bottom" wrapText="1"/>
    </x:xf>
    <x:xf numFmtId="164" fontId="5" fillId="2" borderId="0" xfId="20" applyFont="1" applyBorder="1" applyAlignment="1">
      <x:alignment horizontal="center" vertical="bottom" wrapText="0"/>
    </x:xf>
    <x:xf numFmtId="164" fontId="9" fillId="3" borderId="0" xfId="20" applyFont="1" applyBorder="1" applyAlignment="1">
      <x:alignment horizontal="center" vertical="bottom" wrapText="0"/>
    </x:xf>
    <x:xf numFmtId="164" fontId="7" fillId="2" borderId="0" xfId="20" applyFont="1" applyBorder="1" applyAlignment="1">
      <x:alignment horizontal="center" vertical="bottom" wrapText="0"/>
    </x:xf>
    <x:xf numFmtId="164" fontId="10" fillId="0" borderId="0" xfId="20" applyFont="1" applyBorder="1" applyAlignment="1">
      <x:alignment horizontal="center" vertical="bottom" wrapText="0"/>
    </x:xf>
    <x:xf numFmtId="166" fontId="10" fillId="0" borderId="0" xfId="20" applyFont="1" applyBorder="1" applyAlignment="1">
      <x:alignment horizontal="center" vertical="bottom" wrapText="0"/>
    </x:xf>
    <x:xf numFmtId="167" fontId="10" fillId="0" borderId="0" xfId="20" applyFont="1" applyBorder="1" applyAlignment="1">
      <x:alignment horizontal="center" vertical="bottom" wrapText="0"/>
    </x:xf>
    <x:xf numFmtId="168" fontId="10" fillId="0" borderId="0" xfId="20" applyFont="1" applyBorder="1" applyAlignment="1">
      <x:alignment horizontal="center" vertical="bottom" wrapText="0"/>
    </x:xf>
    <x:xf numFmtId="164" fontId="7" fillId="2" borderId="0" xfId="20" applyFont="1" applyBorder="1" applyAlignment="0">
      <x:alignment horizontal="general" vertical="bottom" wrapText="0"/>
    </x:xf>
    <x:xf numFmtId="169" fontId="4" fillId="0" borderId="0" xfId="20" applyFont="1" applyBorder="1" applyAlignment="0">
      <x:alignment horizontal="general" vertical="bottom" wrapText="0"/>
    </x:xf>
    <x:xf numFmtId="167" fontId="4" fillId="0" borderId="0" xfId="20" applyFont="1" applyBorder="1" applyAlignment="0">
      <x:alignment horizontal="general" vertical="bottom" wrapText="0"/>
    </x:xf>
    <x:xf numFmtId="164" fontId="6" fillId="3" borderId="0" xfId="20" applyFont="1" applyBorder="1" applyAlignment="1">
      <x:alignment horizontal="center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5" fillId="2" borderId="1" xfId="0" applyNumberFormat="1" applyFont="1" applyFill="1" applyBorder="1" applyAlignment="1">
      <x:alignment horizontal="center" vertical="bottom" wrapText="1"/>
    </x:xf>
    <x:xf numFmtId="164" fontId="6" fillId="3" borderId="1" xfId="0" applyNumberFormat="1" applyFont="1" applyFill="1" applyBorder="1" applyAlignment="1">
      <x:alignment horizontal="center" vertical="bottom" wrapText="1"/>
    </x:xf>
    <x:xf numFmtId="164" fontId="4" fillId="0" borderId="1" xfId="0" applyNumberFormat="1" applyFont="1" applyFill="1" applyBorder="1" applyAlignment="1">
      <x:alignment horizontal="general" vertical="bottom" wrapText="1"/>
    </x:xf>
    <x:xf numFmtId="164" fontId="7" fillId="2" borderId="1" xfId="0" applyNumberFormat="1" applyFont="1" applyFill="1" applyBorder="1" applyAlignment="1">
      <x:alignment horizontal="center" vertical="bottom" wrapText="1"/>
    </x:xf>
    <x:xf numFmtId="164" fontId="7" fillId="2" borderId="1" xfId="0" applyNumberFormat="1" applyFont="1" applyFill="1" applyBorder="1" applyAlignment="1">
      <x:alignment horizontal="general" vertical="bottom" wrapText="1"/>
    </x:xf>
    <x:xf numFmtId="164" fontId="8" fillId="2" borderId="1" xfId="0" applyNumberFormat="1" applyFont="1" applyFill="1" applyBorder="1" applyAlignment="1">
      <x:alignment horizontal="center" vertical="center" wrapText="1"/>
    </x:xf>
    <x:xf numFmtId="165" fontId="4" fillId="0" borderId="1" xfId="0" applyNumberFormat="1" applyFont="1" applyFill="1" applyBorder="1" applyAlignment="1">
      <x:alignment horizontal="general" vertical="bottom" wrapText="1"/>
    </x:xf>
    <x:xf numFmtId="166" fontId="4" fillId="0" borderId="1" xfId="0" applyNumberFormat="1" applyFont="1" applyFill="1" applyBorder="1" applyAlignment="1">
      <x:alignment horizontal="general" vertical="bottom" wrapText="1"/>
    </x:xf>
    <x:xf numFmtId="167" fontId="4" fillId="0" borderId="1" xfId="0" applyNumberFormat="1" applyFont="1" applyFill="1" applyBorder="1" applyAlignment="1">
      <x:alignment horizontal="general" vertical="bottom" wrapText="1"/>
    </x:xf>
    <x:xf numFmtId="164" fontId="5" fillId="2" borderId="1" xfId="0" applyNumberFormat="1" applyFont="1" applyFill="1" applyBorder="1" applyAlignment="1">
      <x:alignment horizontal="center" vertical="bottom" wrapText="0"/>
    </x:xf>
    <x:xf numFmtId="164" fontId="9" fillId="3" borderId="1" xfId="0" applyNumberFormat="1" applyFont="1" applyFill="1" applyBorder="1" applyAlignment="1">
      <x:alignment horizontal="center" vertical="bottom" wrapText="0"/>
    </x:xf>
    <x:xf numFmtId="164" fontId="7" fillId="2" borderId="1" xfId="0" applyNumberFormat="1" applyFont="1" applyFill="1" applyBorder="1" applyAlignment="1">
      <x:alignment horizontal="center" vertical="bottom" wrapText="0"/>
    </x:xf>
    <x:xf numFmtId="164" fontId="10" fillId="0" borderId="1" xfId="0" applyNumberFormat="1" applyFont="1" applyFill="1" applyBorder="1" applyAlignment="1">
      <x:alignment horizontal="center" vertical="bottom" wrapText="0"/>
    </x:xf>
    <x:xf numFmtId="166" fontId="10" fillId="0" borderId="1" xfId="0" applyNumberFormat="1" applyFont="1" applyFill="1" applyBorder="1" applyAlignment="1">
      <x:alignment horizontal="center" vertical="bottom" wrapText="0"/>
    </x:xf>
    <x:xf numFmtId="167" fontId="10" fillId="0" borderId="1" xfId="0" applyNumberFormat="1" applyFont="1" applyFill="1" applyBorder="1" applyAlignment="1">
      <x:alignment horizontal="center" vertical="bottom" wrapText="0"/>
    </x:xf>
    <x:xf numFmtId="168" fontId="10" fillId="0" borderId="1" xfId="0" applyNumberFormat="1" applyFont="1" applyFill="1" applyBorder="1" applyAlignment="1">
      <x:alignment horizontal="center" vertical="bottom" wrapText="0"/>
    </x:xf>
    <x:xf numFmtId="164" fontId="7" fillId="2" borderId="1" xfId="0" applyNumberFormat="1" applyFont="1" applyFill="1" applyBorder="1" applyAlignment="1">
      <x:alignment horizontal="general" vertical="bottom" wrapText="0"/>
    </x:xf>
    <x:xf numFmtId="169" fontId="4" fillId="0" borderId="1" xfId="0" applyNumberFormat="1" applyFont="1" applyFill="1" applyBorder="1" applyAlignment="1">
      <x:alignment horizontal="general" vertical="bottom" wrapText="0"/>
    </x:xf>
    <x:xf numFmtId="167" fontId="4" fillId="0" borderId="1" xfId="0" applyNumberFormat="1" applyFont="1" applyFill="1" applyBorder="1" applyAlignment="1">
      <x:alignment horizontal="general" vertical="bottom" wrapText="0"/>
    </x:xf>
    <x:xf numFmtId="164" fontId="6" fillId="3" borderId="1" xfId="0" applyNumberFormat="1" applyFont="1" applyFill="1" applyBorder="1" applyAlignment="1">
      <x:alignment horizontal="center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3" fillId="4" borderId="0" xfId="0" applyNumberFormat="1" applyFont="1" applyFill="1" applyBorder="1" applyAlignment="1">
      <x:alignment horizontal="general" vertical="bottom" wrapText="0"/>
    </x:xf>
    <x:xf numFmtId="164" fontId="13" fillId="4" borderId="0" xfId="0" applyNumberFormat="1" applyFont="1" applyFill="1" applyBorder="1" applyAlignment="1">
      <x:alignment horizontal="general" vertical="bottom" wrapText="1"/>
    </x:xf>
    <x:xf numFmtId="164" fontId="13" fillId="4" borderId="0" xfId="0" applyNumberFormat="1" applyFont="1" applyFill="1" applyBorder="1" applyAlignment="1">
      <x:alignment horizontal="general" vertical="center" wrapText="1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13" fillId="4" borderId="1" xfId="0" applyNumberFormat="1" applyFont="1" applyFill="1" applyBorder="1" applyAlignment="1">
      <x:alignment horizontal="general" vertical="bottom" wrapText="0"/>
    </x:xf>
    <x:xf numFmtId="164" fontId="13" fillId="4" borderId="1" xfId="0" applyNumberFormat="1" applyFont="1" applyFill="1" applyBorder="1" applyAlignment="1">
      <x:alignment horizontal="general" vertical="bottom" wrapText="1"/>
    </x:xf>
    <x:xf numFmtId="164" fontId="13" fillId="4" borderId="1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1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3" fillId="5" borderId="0" xfId="0" applyNumberFormat="1" applyFont="1" applyFill="1" applyBorder="1" applyAlignment="1">
      <x:alignment horizontal="general" vertical="bottom" wrapText="0"/>
    </x:xf>
    <x:xf numFmtId="164" fontId="0" fillId="5" borderId="1" xfId="0" applyNumberFormat="1" applyFont="1" applyFill="1" applyBorder="1" applyAlignment="1">
      <x:alignment horizontal="general" vertical="bottom" wrapText="0"/>
    </x:xf>
    <x:xf numFmtId="164" fontId="13" fillId="5" borderId="1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1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0" fillId="6" borderId="1" xfId="0" applyNumberFormat="1" applyFont="1" applyFill="1" applyBorder="1" applyAlignment="1">
      <x:alignment horizontal="general" vertical="bottom" wrapText="0"/>
    </x:xf>
    <x:xf numFmtId="164" fontId="15" fillId="6" borderId="1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1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6" fontId="0" fillId="0" borderId="1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general" vertical="bottom" wrapText="0"/>
    </x:xf>
    <x:xf numFmtId="164" fontId="0" fillId="7" borderId="1" xfId="0" applyNumberFormat="1" applyFont="1" applyFill="1" applyBorder="1" applyAlignment="1">
      <x:alignment horizontal="general" vertical="bottom" wrapText="0"/>
    </x:xf>
    <x:xf numFmtId="164" fontId="16" fillId="7" borderId="1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23">
    <x:dxf>
      <x:fill>
        <x:patternFill>
          <x:bgColor rgb="FF16324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96B24"/>
      <x:rgbColor rgb="FF000080"/>
      <x:rgbColor rgb="FF808000"/>
      <x:rgbColor rgb="FF800080"/>
      <x:rgbColor rgb="FF156082"/>
      <x:rgbColor rgb="FFCCCCCC"/>
      <x:rgbColor rgb="FF8B8B8B"/>
      <x:rgbColor rgb="FF9999FF"/>
      <x:rgbColor rgb="FF993366"/>
      <x:rgbColor rgb="FFFFF2CC"/>
      <x:rgbColor rgb="FFEAF0F6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E97132"/>
      <x:rgbColor rgb="FF666699"/>
      <x:rgbColor rgb="FF969696"/>
      <x:rgbColor rgb="FF16324F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02de23f6d438e" /><Relationship Type="http://schemas.openxmlformats.org/officeDocument/2006/relationships/theme" Target="/xl/theme/theme1.xml" Id="R4ece3065119f4306" /><Relationship Type="http://schemas.openxmlformats.org/officeDocument/2006/relationships/sharedStrings" Target="/xl/sharedStrings.xml" Id="Rfb4e0d8af2014a2d" /><Relationship Type="http://schemas.openxmlformats.org/officeDocument/2006/relationships/worksheet" Target="/xl/worksheets/sheet1.xml" Id="R9175615a5c5541eb" /><Relationship Type="http://schemas.openxmlformats.org/officeDocument/2006/relationships/worksheet" Target="/xl/worksheets/sheet2.xml" Id="R68f56cac6ebf4fe4" /><Relationship Type="http://schemas.openxmlformats.org/officeDocument/2006/relationships/worksheet" Target="/xl/worksheets/sheet3.xml" Id="R8588087ce39c4f6d" /><Relationship Type="http://schemas.openxmlformats.org/officeDocument/2006/relationships/worksheet" Target="/xl/worksheets/sheet4.xml" Id="R3a0081d90ce3417b" /><Relationship Type="http://schemas.openxmlformats.org/officeDocument/2006/relationships/worksheet" Target="/xl/worksheets/sheet5.xml" Id="R934eb57bc1e44fdf" /><Relationship Type="http://schemas.openxmlformats.org/officeDocument/2006/relationships/worksheet" Target="/xl/worksheets/sheet6.xml" Id="R01e0ce411dba480b" /><Relationship Type="http://schemas.openxmlformats.org/officeDocument/2006/relationships/worksheet" Target="/xl/worksheets/sheet7.xml" Id="R2aecf67198dd4310" /><Relationship Type="http://schemas.openxmlformats.org/officeDocument/2006/relationships/worksheet" Target="/xl/worksheets/sheet8.xml" Id="R2c0c70f4397a4a0e" /><Relationship Type="http://schemas.openxmlformats.org/officeDocument/2006/relationships/worksheet" Target="/xl/worksheets/sheet9.xml" Id="Rfeb4f95ba91c43b4" /><Relationship Type="http://schemas.openxmlformats.org/officeDocument/2006/relationships/worksheet" Target="/xl/worksheets/sheet10.xml" Id="Rb837f5b7d802449f" /><Relationship Type="http://schemas.openxmlformats.org/officeDocument/2006/relationships/worksheet" Target="/xl/worksheets/sheet11.xml" Id="R933aec9b2d1748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90772638164156" /><Relationship Type="http://schemas.openxmlformats.org/officeDocument/2006/relationships/chart" Target="/xl/drawings/charts/chart2.xml" Id="Rf7e778df07de45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6be04858d974c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Chamados por Criticidade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"Quantidade"</c:f>
              <c:strCache>
                <c:ptCount val="1"/>
                <c:pt idx="0">
                  <c:v>Quantidade</c:v>
                </c:pt>
              </c:strCache>
            </c:strRef>
          </c:tx>
          <c: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RESUMO_60_DIAS!$A$9:$A$12</c:f>
              <c:strCache>
                <c:ptCount val="4"/>
                <c:pt idx="0">
                  <c:v>Verde</c:v>
                </c:pt>
                <c:pt idx="1">
                  <c:v>Amarelo</c:v>
                </c:pt>
                <c:pt idx="2">
                  <c:v>Laranja</c:v>
                </c:pt>
                <c:pt idx="3">
                  <c:v>Vermelho</c:v>
                </c:pt>
              </c:strCache>
            </c:strRef>
          </c:cat>
          <c:val>
            <c:numRef>
              <c:f>RESUMO_60_DIAS!$B$9:$B$12</c:f>
              <c:numCache>
                <c:formatCode>General</c:formatCode>
                <c:ptCount val="4"/>
                <c:pt idx="0">
                  <c:v>253</c:v>
                </c:pt>
                <c:pt idx="1">
                  <c:v>345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</c:ser>
        <c:gapWidth val="150"/>
        <c:overlap val="0"/>
        <c:axId val="73594295"/>
        <c:axId val="81330018"/>
      </c:barChart>
      <c:catAx>
        <c:axId val="7359429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1330018"/>
        <c:crosses val="autoZero"/>
        <c:lblOffset val="100"/>
      </c:catAx>
      <c:valAx>
        <c:axId val="8133001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3594295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spc="-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Evolução Diária — Chamados e Criticidade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"Chamados"</c:f>
              <c:strCache>
                <c:ptCount val="1"/>
                <c:pt idx="0">
                  <c:v>Chamados</c:v>
                </c:pt>
              </c:strCache>
            </c:strRef>
          </c:tx>
          <c:spPr>
            <a:solidFill xmlns:a="http://schemas.openxmlformats.org/drawingml/2006/main">
              <a:srgbClr val="156082"/>
            </a:solidFill>
            <a:ln xmlns:a="http://schemas.openxmlformats.org/drawingml/2006/main" w="38160">
              <a:solidFill>
                <a:srgbClr val="156082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RESUMO_60_DIAS!$B$29:$B$88</c:f>
              <c:numCache>
                <c:formatCode>General</c:formatCode>
                <c:ptCount val="60"/>
                <c:pt idx="0">
                  <c:v>10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10</c:v>
                </c:pt>
                <c:pt idx="5">
                  <c:v>16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11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6</c:v>
                </c:pt>
                <c:pt idx="15">
                  <c:v>9</c:v>
                </c:pt>
                <c:pt idx="16">
                  <c:v>14</c:v>
                </c:pt>
                <c:pt idx="17">
                  <c:v>11</c:v>
                </c:pt>
                <c:pt idx="18">
                  <c:v>17</c:v>
                </c:pt>
                <c:pt idx="19">
                  <c:v>10</c:v>
                </c:pt>
                <c:pt idx="20">
                  <c:v>12</c:v>
                </c:pt>
                <c:pt idx="21">
                  <c:v>11</c:v>
                </c:pt>
                <c:pt idx="22">
                  <c:v>9</c:v>
                </c:pt>
                <c:pt idx="23">
                  <c:v>11</c:v>
                </c:pt>
                <c:pt idx="24">
                  <c:v>14</c:v>
                </c:pt>
                <c:pt idx="25">
                  <c:v>12</c:v>
                </c:pt>
                <c:pt idx="26">
                  <c:v>14</c:v>
                </c:pt>
                <c:pt idx="27">
                  <c:v>12</c:v>
                </c:pt>
                <c:pt idx="28">
                  <c:v>7</c:v>
                </c:pt>
                <c:pt idx="29">
                  <c:v>7</c:v>
                </c:pt>
                <c:pt idx="30">
                  <c:v>14</c:v>
                </c:pt>
                <c:pt idx="31">
                  <c:v>16</c:v>
                </c:pt>
                <c:pt idx="32">
                  <c:v>14</c:v>
                </c:pt>
                <c:pt idx="33">
                  <c:v>13</c:v>
                </c:pt>
                <c:pt idx="34">
                  <c:v>14</c:v>
                </c:pt>
                <c:pt idx="35">
                  <c:v>6</c:v>
                </c:pt>
                <c:pt idx="36">
                  <c:v>9</c:v>
                </c:pt>
                <c:pt idx="37">
                  <c:v>16</c:v>
                </c:pt>
                <c:pt idx="38">
                  <c:v>16</c:v>
                </c:pt>
                <c:pt idx="39">
                  <c:v>12</c:v>
                </c:pt>
                <c:pt idx="40">
                  <c:v>12</c:v>
                </c:pt>
                <c:pt idx="41">
                  <c:v>15</c:v>
                </c:pt>
                <c:pt idx="42">
                  <c:v>14</c:v>
                </c:pt>
                <c:pt idx="43">
                  <c:v>10</c:v>
                </c:pt>
                <c:pt idx="44">
                  <c:v>12</c:v>
                </c:pt>
                <c:pt idx="45">
                  <c:v>13</c:v>
                </c:pt>
                <c:pt idx="46">
                  <c:v>19</c:v>
                </c:pt>
                <c:pt idx="47">
                  <c:v>12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13</c:v>
                </c:pt>
                <c:pt idx="52">
                  <c:v>15</c:v>
                </c:pt>
                <c:pt idx="53">
                  <c:v>13</c:v>
                </c:pt>
                <c:pt idx="54">
                  <c:v>13</c:v>
                </c:pt>
                <c:pt idx="55">
                  <c:v>17</c:v>
                </c:pt>
                <c:pt idx="56">
                  <c:v>8</c:v>
                </c:pt>
                <c:pt idx="57">
                  <c:v>12</c:v>
                </c:pt>
                <c:pt idx="58">
                  <c:v>16</c:v>
                </c:pt>
                <c:pt idx="59">
                  <c:v>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"Laranja"</c:f>
              <c:strCache>
                <c:ptCount val="1"/>
                <c:pt idx="0">
                  <c:v>Laranja</c:v>
                </c:pt>
              </c:strCache>
            </c:strRef>
          </c:tx>
          <c:spPr>
            <a:solidFill xmlns:a="http://schemas.openxmlformats.org/drawingml/2006/main">
              <a:srgbClr val="E97132"/>
            </a:solidFill>
            <a:ln xmlns:a="http://schemas.openxmlformats.org/drawingml/2006/main" w="38160">
              <a:solidFill>
                <a:srgbClr val="E97132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RESUMO_60_DIAS!$C$29:$C$88</c:f>
              <c:numCache>
                <c:formatCode>General</c:formatCode>
                <c:ptCount val="6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4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"Vermelho"</c:f>
              <c:strCache>
                <c:ptCount val="1"/>
                <c:pt idx="0">
                  <c:v>Vermelho</c:v>
                </c:pt>
              </c:strCache>
            </c:strRef>
          </c:tx>
          <c:spPr>
            <a:solidFill xmlns:a="http://schemas.openxmlformats.org/drawingml/2006/main">
              <a:srgbClr val="196B24"/>
            </a:solidFill>
            <a:ln xmlns:a="http://schemas.openxmlformats.org/drawingml/2006/main" w="38160">
              <a:solidFill>
                <a:srgbClr val="196B24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spc="-1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RESUMO_60_DIAS!$A$29:$A$88</c:f>
              <c:strCache>
                <c:ptCount val="60"/>
                <c:pt idx="0">
                  <c:v>08/08/2026</c:v>
                </c:pt>
                <c:pt idx="1">
                  <c:v>09/08/2026</c:v>
                </c:pt>
                <c:pt idx="2">
                  <c:v>10/08/2026</c:v>
                </c:pt>
                <c:pt idx="3">
                  <c:v>11/08/2026</c:v>
                </c:pt>
                <c:pt idx="4">
                  <c:v>12/08/2026</c:v>
                </c:pt>
                <c:pt idx="5">
                  <c:v>13/08/2026</c:v>
                </c:pt>
                <c:pt idx="6">
                  <c:v>14/08/2026</c:v>
                </c:pt>
                <c:pt idx="7">
                  <c:v>15/08/2026</c:v>
                </c:pt>
                <c:pt idx="8">
                  <c:v>16/08/2026</c:v>
                </c:pt>
                <c:pt idx="9">
                  <c:v>17/08/2026</c:v>
                </c:pt>
                <c:pt idx="10">
                  <c:v>18/08/2026</c:v>
                </c:pt>
                <c:pt idx="11">
                  <c:v>19/08/2026</c:v>
                </c:pt>
                <c:pt idx="12">
                  <c:v>20/08/2026</c:v>
                </c:pt>
                <c:pt idx="13">
                  <c:v>21/08/2026</c:v>
                </c:pt>
                <c:pt idx="14">
                  <c:v>22/08/2026</c:v>
                </c:pt>
                <c:pt idx="15">
                  <c:v>23/08/2026</c:v>
                </c:pt>
                <c:pt idx="16">
                  <c:v>24/08/2026</c:v>
                </c:pt>
                <c:pt idx="17">
                  <c:v>25/08/2026</c:v>
                </c:pt>
                <c:pt idx="18">
                  <c:v>26/08/2026</c:v>
                </c:pt>
                <c:pt idx="19">
                  <c:v>27/08/2026</c:v>
                </c:pt>
                <c:pt idx="20">
                  <c:v>28/08/2026</c:v>
                </c:pt>
                <c:pt idx="21">
                  <c:v>29/08/2026</c:v>
                </c:pt>
                <c:pt idx="22">
                  <c:v>30/08/2026</c:v>
                </c:pt>
                <c:pt idx="23">
                  <c:v>31/08/2026</c:v>
                </c:pt>
                <c:pt idx="24">
                  <c:v>01/09/2026</c:v>
                </c:pt>
                <c:pt idx="25">
                  <c:v>02/09/2026</c:v>
                </c:pt>
                <c:pt idx="26">
                  <c:v>03/09/2026</c:v>
                </c:pt>
                <c:pt idx="27">
                  <c:v>04/09/2026</c:v>
                </c:pt>
                <c:pt idx="28">
                  <c:v>05/09/2026</c:v>
                </c:pt>
                <c:pt idx="29">
                  <c:v>06/09/2026</c:v>
                </c:pt>
                <c:pt idx="30">
                  <c:v>07/09/2026</c:v>
                </c:pt>
                <c:pt idx="31">
                  <c:v>08/09/2026</c:v>
                </c:pt>
                <c:pt idx="32">
                  <c:v>09/09/2026</c:v>
                </c:pt>
                <c:pt idx="33">
                  <c:v>10/09/2026</c:v>
                </c:pt>
                <c:pt idx="34">
                  <c:v>11/09/2026</c:v>
                </c:pt>
                <c:pt idx="35">
                  <c:v>12/09/2026</c:v>
                </c:pt>
                <c:pt idx="36">
                  <c:v>13/09/2026</c:v>
                </c:pt>
                <c:pt idx="37">
                  <c:v>14/09/2026</c:v>
                </c:pt>
                <c:pt idx="38">
                  <c:v>15/09/2026</c:v>
                </c:pt>
                <c:pt idx="39">
                  <c:v>16/09/2026</c:v>
                </c:pt>
                <c:pt idx="40">
                  <c:v>17/09/2026</c:v>
                </c:pt>
                <c:pt idx="41">
                  <c:v>18/09/2026</c:v>
                </c:pt>
                <c:pt idx="42">
                  <c:v>19/09/2026</c:v>
                </c:pt>
                <c:pt idx="43">
                  <c:v>20/09/2026</c:v>
                </c:pt>
                <c:pt idx="44">
                  <c:v>21/09/2026</c:v>
                </c:pt>
                <c:pt idx="45">
                  <c:v>22/09/2026</c:v>
                </c:pt>
                <c:pt idx="46">
                  <c:v>23/09/2026</c:v>
                </c:pt>
                <c:pt idx="47">
                  <c:v>24/09/2026</c:v>
                </c:pt>
                <c:pt idx="48">
                  <c:v>25/09/2026</c:v>
                </c:pt>
                <c:pt idx="49">
                  <c:v>26/09/2026</c:v>
                </c:pt>
                <c:pt idx="50">
                  <c:v>27/09/2026</c:v>
                </c:pt>
                <c:pt idx="51">
                  <c:v>28/09/2026</c:v>
                </c:pt>
                <c:pt idx="52">
                  <c:v>29/09/2026</c:v>
                </c:pt>
                <c:pt idx="53">
                  <c:v>30/09/2026</c:v>
                </c:pt>
                <c:pt idx="54">
                  <c:v>01/10/2026</c:v>
                </c:pt>
                <c:pt idx="55">
                  <c:v>02/10/2026</c:v>
                </c:pt>
                <c:pt idx="56">
                  <c:v>03/10/2026</c:v>
                </c:pt>
                <c:pt idx="57">
                  <c:v>04/10/2026</c:v>
                </c:pt>
                <c:pt idx="58">
                  <c:v>05/10/2026</c:v>
                </c:pt>
                <c:pt idx="59">
                  <c:v>06/10/2026</c:v>
                </c:pt>
              </c:strCache>
            </c:strRef>
          </c:cat>
          <c:val>
            <c:numRef>
              <c:f>RESUMO_60_DIAS!$D$29:$D$88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  <c:smooth val="1"/>
        </c:ser>
        <c:axId val="30898505"/>
        <c:axId val="95476310"/>
      </c:lineChart>
      <c:catAx>
        <c:axId val="3089850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5476310"/>
        <c:crosses val="autoZero"/>
        <c:lblOffset val="100"/>
      </c:catAx>
      <c:valAx>
        <c:axId val="95476310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spc="-1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30898505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spc="-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Total de chamados</c:v>
          </c:tx>
          <c:marker>
            <c:symbol val="none"/>
          </c:marker>
          <c:cat>
            <c:strRef>
              <c:f>'FEIRA_ROTEIRO'!$A$2:$A$13</c:f>
              <c:strCache>
                <c:ptCount val="0"/>
              </c:strCache>
            </c:strRef>
          </c:cat>
          <c:val>
            <c:numRef>
              <c:f>'FEIRA_ROTEIRO'!$E$2:$E$13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Chamados ativos</c:v>
          </c:tx>
          <c:marker>
            <c:symbol val="none"/>
          </c:marker>
          <c:cat>
            <c:strRef>
              <c:f>'FEIRA_ROTEIRO'!$A$2:$A$13</c:f>
              <c:strCache>
                <c:ptCount val="0"/>
              </c:strCache>
            </c:strRef>
          </c:cat>
          <c:val>
            <c:numRef>
              <c:f>'FEIRA_ROTEIRO'!$J$2:$J$13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100800</xdr:rowOff>
    </xdr:from>
    <xdr:to>
      <xdr:col>16</xdr:col>
      <xdr:colOff>687240</xdr:colOff>
      <xdr:row>14</xdr:row>
      <xdr:rowOff>29520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90772638164156"/>
        </a:graphicData>
      </a:graphic>
    </xdr:graphicFrame>
    <xdr:clientData/>
  </xdr:twoCellAnchor>
  <xdr:twoCellAnchor>
    <xdr:from>
      <xdr:col>9</xdr:col>
      <xdr:colOff>0</xdr:colOff>
      <xdr:row>15</xdr:row>
      <xdr:rowOff>29880</xdr:rowOff>
    </xdr:from>
    <xdr:to>
      <xdr:col>16</xdr:col>
      <xdr:colOff>687240</xdr:colOff>
      <xdr:row>33</xdr:row>
      <xdr:rowOff>29520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778df07de455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31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be04858d974c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_T0_Abertura" displayName="Tbl_T0_Abertura" ref="A1:AT11" headerRowCount="1" totalsRowCount="0" totalsRowShown="0">
  <x:tableColumns count="46">
    <x:tableColumn id="1" name="ID_Chamado"/>
    <x:tableColumn id="2" name="Categoria do Chamado"/>
    <x:tableColumn id="3" name="Problema"/>
    <x:tableColumn id="4" name="Descrição do Problema"/>
    <x:tableColumn id="5" name="Status"/>
    <x:tableColumn id="6" name="Origem"/>
    <x:tableColumn id="7" name="Unidade"/>
    <x:tableColumn id="8" name="Tipo de Unidade"/>
    <x:tableColumn id="9" name="Tipo Controle"/>
    <x:tableColumn id="10" name="Tipo Máquina"/>
    <x:tableColumn id="11" name="Fabricante"/>
    <x:tableColumn id="12" name="Código ROT"/>
    <x:tableColumn id="13" name="Componente Principal"/>
    <x:tableColumn id="14" name="Subcomponente"/>
    <x:tableColumn id="15" name="Defeito"/>
    <x:tableColumn id="16" name="Falha"/>
    <x:tableColumn id="17" name="Fechamento"/>
    <x:tableColumn id="18" name="Cliente"/>
    <x:tableColumn id="19" name="VIP"/>
    <x:tableColumn id="20" name="Corporativo"/>
    <x:tableColumn id="21" name="Contrato"/>
    <x:tableColumn id="22" name="Área"/>
    <x:tableColumn id="23" name="Técnico"/>
    <x:tableColumn id="24" name="Supervisor"/>
    <x:tableColumn id="25" name="Rota"/>
    <x:tableColumn id="26" name="Endereço"/>
    <x:tableColumn id="27" name="Unidade de Negócio"/>
    <x:tableColumn id="28" name="Criado em"/>
    <x:tableColumn id="29" name="Contactado"/>
    <x:tableColumn id="30" name="Aceito"/>
    <x:tableColumn id="31" name="Chegou ao Edifício"/>
    <x:tableColumn id="32" name="Saída"/>
    <x:tableColumn id="33" name="TA"/>
    <x:tableColumn id="34" name="TB"/>
    <x:tableColumn id="35" name="Passageiro Preso"/>
    <x:tableColumn id="36" name="Carro Parado"/>
    <x:tableColumn id="37" name="SLA_min"/>
    <x:tableColumn id="38" name="ETA_min"/>
    <x:tableColumn id="39" name="Percentual_SLA"/>
    <x:tableColumn id="40" name="Recorrencia_30d"/>
    <x:tableColumn id="41" name="Criticidade_ORQUESTRA"/>
    <x:tableColumn id="42" name="Motivo_Criticidade"/>
    <x:tableColumn id="43" name="Insight_ORQUESTRA"/>
    <x:tableColumn id="44" name="Custo_Estimado_R$"/>
    <x:tableColumn id="45" name="Impacto_Contrato"/>
    <x:tableColumn id="46" name="Momento_Dataset"/>
  </x:tableColumns>
</x:table>
</file>

<file path=xl/tables/table2.xml><?xml version="1.0" encoding="utf-8"?>
<x:table xmlns:x="http://schemas.openxmlformats.org/spreadsheetml/2006/main" id="3" name="Tbl_T1_Acompanhamento" displayName="Tbl_T1_Acompanhamento" ref="A1:AT17" headerRowCount="1" totalsRowCount="0" totalsRowShown="0">
  <x:tableColumns count="46">
    <x:tableColumn id="1" name="ID_Chamado"/>
    <x:tableColumn id="2" name="Categoria do Chamado"/>
    <x:tableColumn id="3" name="Problema"/>
    <x:tableColumn id="4" name="Descrição do Problema"/>
    <x:tableColumn id="5" name="Status"/>
    <x:tableColumn id="6" name="Origem"/>
    <x:tableColumn id="7" name="Unidade"/>
    <x:tableColumn id="8" name="Tipo de Unidade"/>
    <x:tableColumn id="9" name="Tipo Controle"/>
    <x:tableColumn id="10" name="Tipo Máquina"/>
    <x:tableColumn id="11" name="Fabricante"/>
    <x:tableColumn id="12" name="Código ROT"/>
    <x:tableColumn id="13" name="Componente Principal"/>
    <x:tableColumn id="14" name="Subcomponente"/>
    <x:tableColumn id="15" name="Defeito"/>
    <x:tableColumn id="16" name="Falha"/>
    <x:tableColumn id="17" name="Fechamento"/>
    <x:tableColumn id="18" name="Cliente"/>
    <x:tableColumn id="19" name="VIP"/>
    <x:tableColumn id="20" name="Corporativo"/>
    <x:tableColumn id="21" name="Contrato"/>
    <x:tableColumn id="22" name="Área"/>
    <x:tableColumn id="23" name="Técnico"/>
    <x:tableColumn id="24" name="Supervisor"/>
    <x:tableColumn id="25" name="Rota"/>
    <x:tableColumn id="26" name="Endereço"/>
    <x:tableColumn id="27" name="Unidade de Negócio"/>
    <x:tableColumn id="28" name="Criado em"/>
    <x:tableColumn id="29" name="Contactado"/>
    <x:tableColumn id="30" name="Aceito"/>
    <x:tableColumn id="31" name="Chegou ao Edifício"/>
    <x:tableColumn id="32" name="Saída"/>
    <x:tableColumn id="33" name="TA"/>
    <x:tableColumn id="34" name="TB"/>
    <x:tableColumn id="35" name="Passageiro Preso"/>
    <x:tableColumn id="36" name="Carro Parado"/>
    <x:tableColumn id="37" name="SLA_min"/>
    <x:tableColumn id="38" name="ETA_min"/>
    <x:tableColumn id="39" name="Percentual_SLA"/>
    <x:tableColumn id="40" name="Recorrencia_30d"/>
    <x:tableColumn id="41" name="Criticidade_ORQUESTRA"/>
    <x:tableColumn id="42" name="Motivo_Criticidade"/>
    <x:tableColumn id="43" name="Insight_ORQUESTRA"/>
    <x:tableColumn id="44" name="Custo_Estimado_R$"/>
    <x:tableColumn id="45" name="Impacto_Contrato"/>
    <x:tableColumn id="46" name="Momento_Dataset"/>
  </x:tableColumns>
</x:table>
</file>

<file path=xl/tables/table3.xml><?xml version="1.0" encoding="utf-8"?>
<x:table xmlns:x="http://schemas.openxmlformats.org/spreadsheetml/2006/main" id="4" name="Tbl_T2_Desfecho" displayName="Tbl_T2_Desfecho" ref="A1:AT25" headerRowCount="1" totalsRowCount="0" totalsRowShown="0">
  <x:tableColumns count="46">
    <x:tableColumn id="1" name="ID_Chamado"/>
    <x:tableColumn id="2" name="Categoria do Chamado"/>
    <x:tableColumn id="3" name="Problema"/>
    <x:tableColumn id="4" name="Descrição do Problema"/>
    <x:tableColumn id="5" name="Status"/>
    <x:tableColumn id="6" name="Origem"/>
    <x:tableColumn id="7" name="Unidade"/>
    <x:tableColumn id="8" name="Tipo de Unidade"/>
    <x:tableColumn id="9" name="Tipo Controle"/>
    <x:tableColumn id="10" name="Tipo Máquina"/>
    <x:tableColumn id="11" name="Fabricante"/>
    <x:tableColumn id="12" name="Código ROT"/>
    <x:tableColumn id="13" name="Componente Principal"/>
    <x:tableColumn id="14" name="Subcomponente"/>
    <x:tableColumn id="15" name="Defeito"/>
    <x:tableColumn id="16" name="Falha"/>
    <x:tableColumn id="17" name="Fechamento"/>
    <x:tableColumn id="18" name="Cliente"/>
    <x:tableColumn id="19" name="VIP"/>
    <x:tableColumn id="20" name="Corporativo"/>
    <x:tableColumn id="21" name="Contrato"/>
    <x:tableColumn id="22" name="Área"/>
    <x:tableColumn id="23" name="Técnico"/>
    <x:tableColumn id="24" name="Supervisor"/>
    <x:tableColumn id="25" name="Rota"/>
    <x:tableColumn id="26" name="Endereço"/>
    <x:tableColumn id="27" name="Unidade de Negócio"/>
    <x:tableColumn id="28" name="Criado em"/>
    <x:tableColumn id="29" name="Contactado"/>
    <x:tableColumn id="30" name="Aceito"/>
    <x:tableColumn id="31" name="Chegou ao Edifício"/>
    <x:tableColumn id="32" name="Saída"/>
    <x:tableColumn id="33" name="TA"/>
    <x:tableColumn id="34" name="TB"/>
    <x:tableColumn id="35" name="Passageiro Preso"/>
    <x:tableColumn id="36" name="Carro Parado"/>
    <x:tableColumn id="37" name="SLA_min"/>
    <x:tableColumn id="38" name="ETA_min"/>
    <x:tableColumn id="39" name="Percentual_SLA"/>
    <x:tableColumn id="40" name="Recorrencia_30d"/>
    <x:tableColumn id="41" name="Criticidade_ORQUESTRA"/>
    <x:tableColumn id="42" name="Motivo_Criticidade"/>
    <x:tableColumn id="43" name="Insight_ORQUESTRA"/>
    <x:tableColumn id="44" name="Custo_Estimado_R$"/>
    <x:tableColumn id="45" name="Impacto_Contrato"/>
    <x:tableColumn id="46" name="Momento_Dataset"/>
  </x:tableColumns>
</x:table>
</file>

<file path=xl/tables/table4.xml><?xml version="1.0" encoding="utf-8"?>
<x:table xmlns:x="http://schemas.openxmlformats.org/spreadsheetml/2006/main" id="1" name="Historico60Dias" displayName="Historico60Dias" ref="A1:AT737" headerRowCount="1" totalsRowCount="0" totalsRowShown="0">
  <x:tableColumns count="46">
    <x:tableColumn id="1" name="ID_Chamado"/>
    <x:tableColumn id="2" name="Categoria do Chamado"/>
    <x:tableColumn id="3" name="Problema"/>
    <x:tableColumn id="4" name="Descrição do Problema"/>
    <x:tableColumn id="5" name="Status"/>
    <x:tableColumn id="6" name="Origem"/>
    <x:tableColumn id="7" name="Unidade"/>
    <x:tableColumn id="8" name="Tipo de Unidade"/>
    <x:tableColumn id="9" name="Tipo Controle"/>
    <x:tableColumn id="10" name="Tipo Máquina"/>
    <x:tableColumn id="11" name="Fabricante"/>
    <x:tableColumn id="12" name="Código ROT"/>
    <x:tableColumn id="13" name="Componente Principal"/>
    <x:tableColumn id="14" name="Subcomponente"/>
    <x:tableColumn id="15" name="Defeito"/>
    <x:tableColumn id="16" name="Falha"/>
    <x:tableColumn id="17" name="Fechamento"/>
    <x:tableColumn id="18" name="Cliente"/>
    <x:tableColumn id="19" name="VIP"/>
    <x:tableColumn id="20" name="Corporativo"/>
    <x:tableColumn id="21" name="Contrato"/>
    <x:tableColumn id="22" name="Área"/>
    <x:tableColumn id="23" name="Técnico"/>
    <x:tableColumn id="24" name="Supervisor"/>
    <x:tableColumn id="25" name="Rota"/>
    <x:tableColumn id="26" name="Endereço"/>
    <x:tableColumn id="27" name="Unidade de Negócio"/>
    <x:tableColumn id="28" name="Criado em"/>
    <x:tableColumn id="29" name="Contactado"/>
    <x:tableColumn id="30" name="Aceito"/>
    <x:tableColumn id="31" name="Chegou ao Edifício"/>
    <x:tableColumn id="32" name="Saída"/>
    <x:tableColumn id="33" name="TA"/>
    <x:tableColumn id="34" name="TB"/>
    <x:tableColumn id="35" name="Passageiro Preso"/>
    <x:tableColumn id="36" name="Carro Parado"/>
    <x:tableColumn id="37" name="SLA_min"/>
    <x:tableColumn id="38" name="ETA_min"/>
    <x:tableColumn id="39" name="Percentual_SLA"/>
    <x:tableColumn id="40" name="Recorrencia_30d"/>
    <x:tableColumn id="41" name="Criticidade_ORQUESTRA"/>
    <x:tableColumn id="42" name="Motivo_Criticidade"/>
    <x:tableColumn id="43" name="Insight_ORQUESTRA"/>
    <x:tableColumn id="44" name="Custo_Estimado_R$"/>
    <x:tableColumn id="45" name="Impacto_Contrato"/>
    <x:tableColumn id="46" name="Momento_Dataset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e4c5ef9c9f47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66a2300434a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3c7abefd4042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09df55938548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821e7b21906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c20b2e46afdb41c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2.700000762939453" hidden="0" customWidth="1"/>
    <x:col min="2" max="2" width="62.43000030517578" hidden="0" customWidth="1"/>
    <x:col min="3" max="3" width="22.25" hidden="0" customWidth="1"/>
    <x:col min="4" max="4" width="20.43000030517578" hidden="0" customWidth="1"/>
    <x:col min="5" max="5" width="36.31999969482422" hidden="0" customWidth="1"/>
    <x:col min="6" max="6" width="47.68000030517578" hidden="0" customWidth="1"/>
  </x:cols>
  <x:sheetData>
    <x:row r="1" ht="26.100000381469727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16.399999618530273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3" ht="15" hidden="0">
      <x:c r="A3" s="3"/>
      <x:c r="B3" s="3"/>
      <x:c r="C3" s="3"/>
      <x:c r="D3" s="3"/>
      <x:c r="E3" s="3"/>
      <x:c r="F3" s="3"/>
      <x:c r="G3" s="3"/>
      <x:c r="H3" s="3"/>
    </x:row>
    <x:row r="4" ht="16.399999618530273" hidden="0">
      <x:c r="A4" s="4" t="s">
        <x:v>2</x:v>
      </x:c>
      <x:c r="B4" s="4" t="s">
        <x:v>3</x:v>
      </x:c>
      <x:c r="C4" s="3"/>
      <x:c r="D4" s="4" t="s">
        <x:v>4</x:v>
      </x:c>
      <x:c r="E4" s="4" t="s">
        <x:v>5</x:v>
      </x:c>
      <x:c r="F4" s="4" t="s">
        <x:v>6</x:v>
      </x:c>
      <x:c r="G4" s="3"/>
      <x:c r="H4" s="3"/>
    </x:row>
    <x:row r="5" ht="31.299999237060547" hidden="0">
      <x:c r="A5" s="3" t="s">
        <x:v>7</x:v>
      </x:c>
      <x:c r="B5" s="3" t="s">
        <x:v>8</x:v>
      </x:c>
      <x:c r="C5" s="3"/>
      <x:c r="D5" s="3" t="s">
        <x:v>9</x:v>
      </x:c>
      <x:c r="E5" s="3" t="s">
        <x:v>10</x:v>
      </x:c>
      <x:c r="F5" s="3" t="s">
        <x:v>11</x:v>
      </x:c>
      <x:c r="G5" s="3"/>
      <x:c r="H5" s="3"/>
    </x:row>
    <x:row r="6" ht="31.299999237060547" hidden="0">
      <x:c r="A6" s="3" t="s">
        <x:v>12</x:v>
      </x:c>
      <x:c r="B6" s="3" t="s">
        <x:v>13</x:v>
      </x:c>
      <x:c r="C6" s="3"/>
      <x:c r="D6" s="3" t="s">
        <x:v>14</x:v>
      </x:c>
      <x:c r="E6" s="3" t="s">
        <x:v>15</x:v>
      </x:c>
      <x:c r="F6" s="3" t="s">
        <x:v>16</x:v>
      </x:c>
      <x:c r="G6" s="3"/>
      <x:c r="H6" s="3"/>
    </x:row>
    <x:row r="7" ht="16.399999618530273" hidden="0">
      <x:c r="A7" s="3" t="s">
        <x:v>17</x:v>
      </x:c>
      <x:c r="B7" s="3" t="s">
        <x:v>18</x:v>
      </x:c>
      <x:c r="C7" s="3"/>
      <x:c r="D7" s="3" t="s">
        <x:v>19</x:v>
      </x:c>
      <x:c r="E7" s="3" t="s">
        <x:v>20</x:v>
      </x:c>
      <x:c r="F7" s="3" t="s">
        <x:v>21</x:v>
      </x:c>
      <x:c r="G7" s="3"/>
      <x:c r="H7" s="3"/>
    </x:row>
    <x:row r="8" ht="16.399999618530273" hidden="0">
      <x:c r="A8" s="3" t="s">
        <x:v>22</x:v>
      </x:c>
      <x:c r="B8" s="3" t="s">
        <x:v>23</x:v>
      </x:c>
      <x:c r="C8" s="3"/>
      <x:c r="D8" s="3" t="s">
        <x:v>24</x:v>
      </x:c>
      <x:c r="E8" s="3" t="s">
        <x:v>25</x:v>
      </x:c>
      <x:c r="F8" s="3" t="s">
        <x:v>26</x:v>
      </x:c>
      <x:c r="G8" s="3"/>
      <x:c r="H8" s="3"/>
    </x:row>
    <x:row r="9" ht="31.299999237060547" hidden="0">
      <x:c r="A9" s="3" t="s">
        <x:v>27</x:v>
      </x:c>
      <x:c r="B9" s="3" t="s">
        <x:v>28</x:v>
      </x:c>
      <x:c r="C9" s="3"/>
      <x:c r="D9" s="3" t="s">
        <x:v>29</x:v>
      </x:c>
      <x:c r="E9" s="3" t="s">
        <x:v>30</x:v>
      </x:c>
      <x:c r="F9" s="3" t="s">
        <x:v>31</x:v>
      </x:c>
      <x:c r="G9" s="3"/>
      <x:c r="H9" s="3"/>
    </x:row>
    <x:row r="10" ht="31.299999237060547" hidden="0">
      <x:c r="A10" s="3" t="s">
        <x:v>32</x:v>
      </x:c>
      <x:c r="B10" s="3" t="s">
        <x:v>33</x:v>
      </x:c>
      <x:c r="C10" s="3"/>
      <x:c r="D10" s="3"/>
      <x:c r="E10" s="3"/>
      <x:c r="F10" s="3"/>
      <x:c r="G10" s="3"/>
      <x:c r="H10" s="3"/>
    </x:row>
    <x:row r="11" ht="15" hidden="0">
      <x:c r="A11" s="3"/>
      <x:c r="B11" s="3"/>
      <x:c r="C11" s="3"/>
      <x:c r="D11" s="3"/>
      <x:c r="E11" s="3"/>
      <x:c r="F11" s="3"/>
      <x:c r="G11" s="3"/>
      <x:c r="H11" s="3"/>
    </x:row>
    <x:row r="12" ht="15" hidden="0">
      <x:c r="A12" s="3"/>
      <x:c r="B12" s="3"/>
      <x:c r="C12" s="3"/>
      <x:c r="D12" s="3"/>
      <x:c r="E12" s="3"/>
      <x:c r="F12" s="3"/>
      <x:c r="G12" s="3"/>
      <x:c r="H12" s="3"/>
    </x:row>
    <x:row r="13" ht="16.399999618530273" hidden="0">
      <x:c r="A13" s="4" t="s">
        <x:v>34</x:v>
      </x:c>
      <x:c r="B13" s="4" t="s">
        <x:v>35</x:v>
      </x:c>
      <x:c r="C13" s="4" t="s">
        <x:v>9</x:v>
      </x:c>
      <x:c r="D13" s="4" t="s">
        <x:v>14</x:v>
      </x:c>
      <x:c r="E13" s="4" t="s">
        <x:v>36</x:v>
      </x:c>
      <x:c r="F13" s="3"/>
      <x:c r="G13" s="3"/>
      <x:c r="H13" s="3"/>
    </x:row>
    <x:row r="14" ht="16.399999618530273" hidden="0">
      <x:c r="A14" s="3" t="s">
        <x:v>17</x:v>
      </x:c>
      <x:c r="B14" s="3" t="n">
        <x:v>10</x:v>
      </x:c>
      <x:c r="C14" s="3" t="n">
        <x:v>3</x:v>
      </x:c>
      <x:c r="D14" s="3" t="n">
        <x:v>7</x:v>
      </x:c>
      <x:c r="E14" s="3" t="n">
        <x:v>0</x:v>
      </x:c>
      <x:c r="F14" s="3"/>
      <x:c r="G14" s="3"/>
      <x:c r="H14" s="3"/>
    </x:row>
    <x:row r="15" ht="16.399999618530273" hidden="0">
      <x:c r="A15" s="3" t="s">
        <x:v>22</x:v>
      </x:c>
      <x:c r="B15" s="3" t="n">
        <x:v>16</x:v>
      </x:c>
      <x:c r="C15" s="3" t="n">
        <x:v>3</x:v>
      </x:c>
      <x:c r="D15" s="3" t="n">
        <x:v>12</x:v>
      </x:c>
      <x:c r="E15" s="3" t="n">
        <x:v>1</x:v>
      </x:c>
      <x:c r="F15" s="3"/>
      <x:c r="G15" s="3"/>
      <x:c r="H15" s="3"/>
    </x:row>
    <x:row r="16" ht="16.399999618530273" hidden="0">
      <x:c r="A16" s="3" t="s">
        <x:v>27</x:v>
      </x:c>
      <x:c r="B16" s="3" t="n">
        <x:v>24</x:v>
      </x:c>
      <x:c r="C16" s="3" t="n">
        <x:v>7</x:v>
      </x:c>
      <x:c r="D16" s="3" t="n">
        <x:v>9</x:v>
      </x:c>
      <x:c r="E16" s="3" t="n">
        <x:v>8</x:v>
      </x:c>
      <x:c r="F16" s="3"/>
      <x:c r="G16" s="3"/>
      <x:c r="H16" s="3"/>
    </x:row>
    <x:row r="17" ht="31.299999237060547" hidden="0">
      <x:c r="A17" s="3" t="s">
        <x:v>37</x:v>
      </x:c>
      <x:c r="B17" s="3"/>
      <x:c r="C17" s="3"/>
      <x:c r="D17" s="3"/>
      <x:c r="E17" s="3" t="s">
        <x:v>38</x:v>
      </x:c>
      <x:c r="F17" s="3"/>
      <x:c r="G17" s="3"/>
      <x:c r="H17" s="3"/>
    </x:row>
    <x:row r="19" ht="31.299999237060547" hidden="0">
      <x:c r="A19" s="5" t="s">
        <x:v>39</x:v>
      </x:c>
      <x:c r="B19" s="5"/>
      <x:c r="C19" s="5"/>
      <x:c r="D19" s="5"/>
      <x:c r="E19" s="5"/>
      <x:c r="F19" s="5"/>
    </x:row>
    <x:row r="20" ht="120.8499984741211" hidden="0">
      <x:c r="A20" s="3" t="s">
        <x:v>40</x:v>
      </x:c>
      <x:c r="B20" s="3" t="s">
        <x:v>41</x:v>
      </x:c>
      <x:c r="C20" s="3" t="s">
        <x:v>42</x:v>
      </x:c>
      <x:c r="D20" s="3"/>
      <x:c r="E20" s="3"/>
      <x:c r="F20" s="3"/>
    </x:row>
    <x:row r="21" ht="31.299999237060547" hidden="0">
      <x:c r="A21" s="3" t="s">
        <x:v>7</x:v>
      </x:c>
      <x:c r="B21" s="3" t="s">
        <x:v>43</x:v>
      </x:c>
      <x:c r="C21" s="3"/>
      <x:c r="D21" s="3"/>
      <x:c r="E21" s="3"/>
      <x:c r="F21" s="3"/>
    </x:row>
    <x:row r="22" ht="91" hidden="0">
      <x:c r="A22" s="3" t="s">
        <x:v>44</x:v>
      </x:c>
      <x:c r="B22" s="3" t="s">
        <x:v>45</x:v>
      </x:c>
      <x:c r="C22" s="3" t="s">
        <x:v>46</x:v>
      </x:c>
      <x:c r="D22" s="3"/>
      <x:c r="E22" s="3"/>
      <x:c r="F22" s="3"/>
    </x:row>
    <x:row r="23" ht="31.299999237060547" hidden="0">
      <x:c r="A23" s="3" t="s">
        <x:v>47</x:v>
      </x:c>
      <x:c r="B23" s="3" t="s">
        <x:v>48</x:v>
      </x:c>
      <x:c r="C23" s="3"/>
      <x:c r="D23" s="3"/>
      <x:c r="E23" s="3"/>
      <x:c r="F23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0.43000030517578" hidden="0" customWidth="1"/>
    <x:col min="2" max="2" width="24.979999542236328" hidden="0" customWidth="1"/>
    <x:col min="3" max="3" width="27.239999771118164" hidden="0" customWidth="1"/>
    <x:col min="4" max="4" width="43.13999938964844" hidden="0" customWidth="1"/>
    <x:col min="5" max="5" width="20.43000030517578" hidden="0" customWidth="1"/>
    <x:col min="6" max="6" width="24.979999542236328" hidden="0" customWidth="1"/>
    <x:col min="7" max="7" width="13.619999885559082" hidden="0" customWidth="1"/>
    <x:col min="8" max="9" width="20.43000030517578" hidden="0" customWidth="1"/>
    <x:col min="10" max="10" width="18.15999984741211" hidden="0" customWidth="1"/>
    <x:col min="11" max="11" width="15.890000343322754" hidden="0" customWidth="1"/>
    <x:col min="12" max="12" width="13.619999885559082" hidden="0" customWidth="1"/>
    <x:col min="13" max="13" width="24.979999542236328" hidden="0" customWidth="1"/>
    <x:col min="14" max="15" width="20.43000030517578" hidden="0" customWidth="1"/>
    <x:col min="16" max="16" width="22.700000762939453" hidden="0" customWidth="1"/>
    <x:col min="17" max="17" width="38.599998474121094" hidden="0" customWidth="1"/>
    <x:col min="18" max="18" width="27.239999771118164" hidden="0" customWidth="1"/>
    <x:col min="19" max="19" width="11.350000381469727" hidden="0" customWidth="1"/>
    <x:col min="20" max="20" width="13.619999885559082" hidden="0" customWidth="1"/>
    <x:col min="21" max="21" width="18.15999984741211" hidden="0" customWidth="1"/>
    <x:col min="22" max="22" width="15.890000343322754" hidden="0" customWidth="1"/>
    <x:col min="23" max="25" width="20.43000030517578" hidden="0" customWidth="1"/>
    <x:col min="26" max="26" width="38.599998474121094" hidden="0" customWidth="1"/>
    <x:col min="27" max="30" width="20.43000030517578" hidden="0" customWidth="1"/>
    <x:col min="31" max="31" width="22.700000762939453" hidden="0" customWidth="1"/>
    <x:col min="32" max="32" width="20.43000030517578" hidden="0" customWidth="1"/>
    <x:col min="33" max="34" width="9.079999923706055" hidden="0" customWidth="1"/>
    <x:col min="35" max="35" width="18.15999984741211" hidden="0" customWidth="1"/>
    <x:col min="36" max="36" width="15.890000343322754" hidden="0" customWidth="1"/>
    <x:col min="37" max="38" width="11.350000381469727" hidden="0" customWidth="1"/>
    <x:col min="39" max="40" width="15.890000343322754" hidden="0" customWidth="1"/>
    <x:col min="41" max="41" width="22.700000762939453" hidden="0" customWidth="1"/>
    <x:col min="42" max="42" width="43.13999938964844" hidden="0" customWidth="1"/>
    <x:col min="43" max="43" width="47.68000030517578" hidden="0" customWidth="1"/>
    <x:col min="44" max="44" width="20.43000030517578" hidden="0" customWidth="1"/>
    <x:col min="45" max="45" width="18.15999984741211" hidden="0" customWidth="1"/>
    <x:col min="46" max="46" width="20.43000030517578" hidden="0" customWidth="1"/>
  </x:cols>
  <x:sheetData>
    <x:row r="1" ht="15" hidden="0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  <x:c r="G1" s="6" t="s">
        <x:v>55</x:v>
      </x:c>
      <x:c r="H1" s="6" t="s">
        <x:v>56</x:v>
      </x:c>
      <x:c r="I1" s="6" t="s">
        <x:v>57</x:v>
      </x:c>
      <x:c r="J1" s="6" t="s">
        <x:v>58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  <x:c r="Q1" s="6" t="s">
        <x:v>65</x:v>
      </x:c>
      <x:c r="R1" s="6" t="s">
        <x:v>66</x:v>
      </x:c>
      <x:c r="S1" s="6" t="s">
        <x:v>67</x:v>
      </x:c>
      <x:c r="T1" s="6" t="s">
        <x:v>68</x:v>
      </x:c>
      <x:c r="U1" s="6" t="s">
        <x:v>69</x:v>
      </x:c>
      <x:c r="V1" s="6" t="s">
        <x:v>70</x:v>
      </x:c>
      <x:c r="W1" s="6" t="s">
        <x:v>71</x:v>
      </x:c>
      <x:c r="X1" s="6" t="s">
        <x:v>72</x:v>
      </x:c>
      <x:c r="Y1" s="6" t="s">
        <x:v>73</x:v>
      </x:c>
      <x:c r="Z1" s="6" t="s">
        <x:v>74</x:v>
      </x:c>
      <x:c r="AA1" s="6" t="s">
        <x:v>75</x:v>
      </x:c>
      <x:c r="AB1" s="6" t="s">
        <x:v>76</x:v>
      </x:c>
      <x:c r="AC1" s="6" t="s">
        <x:v>77</x:v>
      </x:c>
      <x:c r="AD1" s="6" t="s">
        <x:v>78</x:v>
      </x:c>
      <x:c r="AE1" s="6" t="s">
        <x:v>79</x:v>
      </x:c>
      <x:c r="AF1" s="6" t="s">
        <x:v>80</x:v>
      </x:c>
      <x:c r="AG1" s="6" t="s">
        <x:v>81</x:v>
      </x:c>
      <x:c r="AH1" s="6" t="s">
        <x:v>82</x:v>
      </x:c>
      <x:c r="AI1" s="6" t="s">
        <x:v>83</x:v>
      </x:c>
      <x:c r="AJ1" s="6" t="s">
        <x:v>84</x:v>
      </x:c>
      <x:c r="AK1" s="6" t="s">
        <x:v>85</x:v>
      </x:c>
      <x:c r="AL1" s="6" t="s">
        <x:v>86</x:v>
      </x:c>
      <x:c r="AM1" s="6" t="s">
        <x:v>87</x:v>
      </x:c>
      <x:c r="AN1" s="6" t="s">
        <x:v>88</x:v>
      </x:c>
      <x:c r="AO1" s="6" t="s">
        <x:v>89</x:v>
      </x:c>
      <x:c r="AP1" s="6" t="s">
        <x:v>90</x:v>
      </x:c>
      <x:c r="AQ1" s="6" t="s">
        <x:v>91</x:v>
      </x:c>
      <x:c r="AR1" s="6" t="s">
        <x:v>92</x:v>
      </x:c>
      <x:c r="AS1" s="6" t="s">
        <x:v>93</x:v>
      </x:c>
      <x:c r="AT1" s="6" t="s">
        <x:v>94</x:v>
      </x:c>
    </x:row>
    <x:row r="2" ht="31.299999237060547" hidden="0">
      <x:c r="A2" s="3" t="s">
        <x:v>95</x:v>
      </x:c>
      <x:c r="B2" s="3" t="s">
        <x:v>83</x:v>
      </x:c>
      <x:c r="C2" s="3" t="s">
        <x:v>96</x:v>
      </x:c>
      <x:c r="D2" s="3" t="s">
        <x:v>97</x:v>
      </x:c>
      <x:c r="E2" s="3" t="s">
        <x:v>98</x:v>
      </x:c>
      <x:c r="F2" s="3" t="s">
        <x:v>99</x:v>
      </x:c>
      <x:c r="G2" s="3" t="s">
        <x:v>100</x:v>
      </x:c>
      <x:c r="H2" s="3" t="s">
        <x:v>101</x:v>
      </x:c>
      <x:c r="I2" s="3" t="s">
        <x:v>102</x:v>
      </x:c>
      <x:c r="J2" s="3" t="s">
        <x:v>103</x:v>
      </x:c>
      <x:c r="K2" s="3" t="s">
        <x:v>104</x:v>
      </x:c>
      <x:c r="L2" s="3" t="s">
        <x:v>105</x:v>
      </x:c>
      <x:c r="M2" s="3" t="s">
        <x:v>106</x:v>
      </x:c>
      <x:c r="N2" s="3" t="s">
        <x:v>107</x:v>
      </x:c>
      <x:c r="O2" s="3" t="s">
        <x:v>108</x:v>
      </x:c>
      <x:c r="P2" s="3" t="s">
        <x:v>109</x:v>
      </x:c>
      <x:c r="Q2" s="3"/>
      <x:c r="R2" s="3" t="s">
        <x:v>110</x:v>
      </x:c>
      <x:c r="S2" s="3" t="s">
        <x:v>111</x:v>
      </x:c>
      <x:c r="T2" s="3" t="s">
        <x:v>111</x:v>
      </x:c>
      <x:c r="U2" s="3" t="s">
        <x:v>112</x:v>
      </x:c>
      <x:c r="V2" s="3" t="s">
        <x:v>113</x:v>
      </x:c>
      <x:c r="W2" s="3" t="s">
        <x:v>114</x:v>
      </x:c>
      <x:c r="X2" s="3" t="s">
        <x:v>115</x:v>
      </x:c>
      <x:c r="Y2" s="3" t="s">
        <x:v>116</x:v>
      </x:c>
      <x:c r="Z2" s="3" t="s">
        <x:v>117</x:v>
      </x:c>
      <x:c r="AA2" s="3" t="s">
        <x:v>118</x:v>
      </x:c>
      <x:c r="AB2" s="7" t="n">
        <x:v>46273.3055555556</x:v>
      </x:c>
      <x:c r="AC2" s="7" t="n">
        <x:v>46273.3076388889</x:v>
      </x:c>
      <x:c r="AD2" s="7" t="n">
        <x:v>46273.3104166667</x:v>
      </x:c>
      <x:c r="AE2" s="7" t="n">
        <x:v>46273.3201388889</x:v>
      </x:c>
      <x:c r="AF2" s="7"/>
      <x:c r="AG2" s="3" t="n">
        <x:v>21</x:v>
      </x:c>
      <x:c r="AH2" s="3"/>
      <x:c r="AI2" s="3" t="s">
        <x:v>111</x:v>
      </x:c>
      <x:c r="AJ2" s="3" t="s">
        <x:v>111</x:v>
      </x:c>
      <x:c r="AK2" s="3" t="n">
        <x:v>60</x:v>
      </x:c>
      <x:c r="AL2" s="3" t="n">
        <x:v>0</x:v>
      </x:c>
      <x:c r="AM2" s="8" t="n">
        <x:v>0.6667</x:v>
      </x:c>
      <x:c r="AN2" s="3" t="n">
        <x:v>0</x:v>
      </x:c>
      <x:c r="AO2" s="3" t="s">
        <x:v>14</x:v>
      </x:c>
      <x:c r="AP2" s="3" t="s">
        <x:v>119</x:v>
      </x:c>
      <x:c r="AQ2" s="3" t="s">
        <x:v>120</x:v>
      </x:c>
      <x:c r="AR2" s="9" t="n">
        <x:v>882</x:v>
      </x:c>
      <x:c r="AS2" s="3" t="s">
        <x:v>121</x:v>
      </x:c>
      <x:c r="AT2" s="7" t="n">
        <x:v>46273.3333333333</x:v>
      </x:c>
    </x:row>
    <x:row r="3" ht="31.299999237060547" hidden="0">
      <x:c r="A3" s="3" t="s">
        <x:v>122</x:v>
      </x:c>
      <x:c r="B3" s="3" t="s">
        <x:v>123</x:v>
      </x:c>
      <x:c r="C3" s="3" t="s">
        <x:v>124</x:v>
      </x:c>
      <x:c r="D3" s="3" t="s">
        <x:v>125</x:v>
      </x:c>
      <x:c r="E3" s="3" t="s">
        <x:v>126</x:v>
      </x:c>
      <x:c r="F3" s="3" t="s">
        <x:v>127</x:v>
      </x:c>
      <x:c r="G3" s="3" t="s">
        <x:v>128</x:v>
      </x:c>
      <x:c r="H3" s="3" t="s">
        <x:v>101</x:v>
      </x:c>
      <x:c r="I3" s="3" t="s">
        <x:v>102</x:v>
      </x:c>
      <x:c r="J3" s="3" t="s">
        <x:v>103</x:v>
      </x:c>
      <x:c r="K3" s="3" t="s">
        <x:v>104</x:v>
      </x:c>
      <x:c r="L3" s="3" t="s">
        <x:v>129</x:v>
      </x:c>
      <x:c r="M3" s="3" t="s">
        <x:v>130</x:v>
      </x:c>
      <x:c r="N3" s="3" t="s">
        <x:v>131</x:v>
      </x:c>
      <x:c r="O3" s="3" t="s">
        <x:v>132</x:v>
      </x:c>
      <x:c r="P3" s="3" t="s">
        <x:v>133</x:v>
      </x:c>
      <x:c r="Q3" s="3"/>
      <x:c r="R3" s="3" t="s">
        <x:v>134</x:v>
      </x:c>
      <x:c r="S3" s="3" t="s">
        <x:v>135</x:v>
      </x:c>
      <x:c r="T3" s="3" t="s">
        <x:v>111</x:v>
      </x:c>
      <x:c r="U3" s="3" t="s">
        <x:v>136</x:v>
      </x:c>
      <x:c r="V3" s="3" t="s">
        <x:v>137</x:v>
      </x:c>
      <x:c r="W3" s="3" t="s">
        <x:v>138</x:v>
      </x:c>
      <x:c r="X3" s="3" t="s">
        <x:v>139</x:v>
      </x:c>
      <x:c r="Y3" s="3" t="s">
        <x:v>140</x:v>
      </x:c>
      <x:c r="Z3" s="3" t="s">
        <x:v>141</x:v>
      </x:c>
      <x:c r="AA3" s="3" t="s">
        <x:v>118</x:v>
      </x:c>
      <x:c r="AB3" s="7" t="n">
        <x:v>46273.3090277778</x:v>
      </x:c>
      <x:c r="AC3" s="7" t="n">
        <x:v>46273.3118055556</x:v>
      </x:c>
      <x:c r="AD3" s="7" t="n">
        <x:v>46273.3159722222</x:v>
      </x:c>
      <x:c r="AE3" s="7"/>
      <x:c r="AF3" s="7"/>
      <x:c r="AG3" s="3"/>
      <x:c r="AH3" s="3"/>
      <x:c r="AI3" s="3" t="s">
        <x:v>135</x:v>
      </x:c>
      <x:c r="AJ3" s="3" t="s">
        <x:v>135</x:v>
      </x:c>
      <x:c r="AK3" s="3" t="n">
        <x:v>90</x:v>
      </x:c>
      <x:c r="AL3" s="3" t="n">
        <x:v>1</x:v>
      </x:c>
      <x:c r="AM3" s="8" t="n">
        <x:v>0.3889</x:v>
      </x:c>
      <x:c r="AN3" s="3" t="n">
        <x:v>1</x:v>
      </x:c>
      <x:c r="AO3" s="3" t="s">
        <x:v>9</x:v>
      </x:c>
      <x:c r="AP3" s="3" t="s">
        <x:v>142</x:v>
      </x:c>
      <x:c r="AQ3" s="3" t="s">
        <x:v>143</x:v>
      </x:c>
      <x:c r="AR3" s="9" t="n">
        <x:v>664</x:v>
      </x:c>
      <x:c r="AS3" s="3" t="s">
        <x:v>144</x:v>
      </x:c>
      <x:c r="AT3" s="7" t="n">
        <x:v>46273.3333333333</x:v>
      </x:c>
    </x:row>
    <x:row r="4" ht="31.299999237060547" hidden="0">
      <x:c r="A4" s="3" t="s">
        <x:v>145</x:v>
      </x:c>
      <x:c r="B4" s="3" t="s">
        <x:v>146</x:v>
      </x:c>
      <x:c r="C4" s="3" t="s">
        <x:v>147</x:v>
      </x:c>
      <x:c r="D4" s="3" t="s">
        <x:v>148</x:v>
      </x:c>
      <x:c r="E4" s="3" t="s">
        <x:v>126</x:v>
      </x:c>
      <x:c r="F4" s="3" t="s">
        <x:v>149</x:v>
      </x:c>
      <x:c r="G4" s="3" t="s">
        <x:v>150</x:v>
      </x:c>
      <x:c r="H4" s="3" t="s">
        <x:v>101</x:v>
      </x:c>
      <x:c r="I4" s="3" t="s">
        <x:v>102</x:v>
      </x:c>
      <x:c r="J4" s="3" t="s">
        <x:v>103</x:v>
      </x:c>
      <x:c r="K4" s="3" t="s">
        <x:v>104</x:v>
      </x:c>
      <x:c r="L4" s="3" t="s">
        <x:v>151</x:v>
      </x:c>
      <x:c r="M4" s="3" t="s">
        <x:v>152</x:v>
      </x:c>
      <x:c r="N4" s="3" t="s">
        <x:v>153</x:v>
      </x:c>
      <x:c r="O4" s="3" t="s">
        <x:v>154</x:v>
      </x:c>
      <x:c r="P4" s="3" t="s">
        <x:v>155</x:v>
      </x:c>
      <x:c r="Q4" s="3"/>
      <x:c r="R4" s="3" t="s">
        <x:v>156</x:v>
      </x:c>
      <x:c r="S4" s="3" t="s">
        <x:v>135</x:v>
      </x:c>
      <x:c r="T4" s="3" t="s">
        <x:v>111</x:v>
      </x:c>
      <x:c r="U4" s="3" t="s">
        <x:v>157</x:v>
      </x:c>
      <x:c r="V4" s="3" t="s">
        <x:v>158</x:v>
      </x:c>
      <x:c r="W4" s="3" t="s">
        <x:v>159</x:v>
      </x:c>
      <x:c r="X4" s="3" t="s">
        <x:v>160</x:v>
      </x:c>
      <x:c r="Y4" s="3" t="s">
        <x:v>161</x:v>
      </x:c>
      <x:c r="Z4" s="3" t="s">
        <x:v>162</x:v>
      </x:c>
      <x:c r="AA4" s="3" t="s">
        <x:v>118</x:v>
      </x:c>
      <x:c r="AB4" s="7" t="n">
        <x:v>46273.3118055556</x:v>
      </x:c>
      <x:c r="AC4" s="7" t="n">
        <x:v>46273.3152777778</x:v>
      </x:c>
      <x:c r="AD4" s="7" t="n">
        <x:v>46273.3166666667</x:v>
      </x:c>
      <x:c r="AE4" s="7"/>
      <x:c r="AF4" s="7"/>
      <x:c r="AG4" s="3"/>
      <x:c r="AH4" s="3"/>
      <x:c r="AI4" s="3" t="s">
        <x:v>135</x:v>
      </x:c>
      <x:c r="AJ4" s="3" t="s">
        <x:v>135</x:v>
      </x:c>
      <x:c r="AK4" s="3" t="n">
        <x:v>120</x:v>
      </x:c>
      <x:c r="AL4" s="3" t="n">
        <x:v>9</x:v>
      </x:c>
      <x:c r="AM4" s="8" t="n">
        <x:v>0.2583</x:v>
      </x:c>
      <x:c r="AN4" s="3" t="n">
        <x:v>2</x:v>
      </x:c>
      <x:c r="AO4" s="3" t="s">
        <x:v>14</x:v>
      </x:c>
      <x:c r="AP4" s="3" t="s">
        <x:v>163</x:v>
      </x:c>
      <x:c r="AQ4" s="3" t="s">
        <x:v>164</x:v>
      </x:c>
      <x:c r="AR4" s="9" t="n">
        <x:v>769</x:v>
      </x:c>
      <x:c r="AS4" s="3" t="s">
        <x:v>121</x:v>
      </x:c>
      <x:c r="AT4" s="7" t="n">
        <x:v>46273.3333333333</x:v>
      </x:c>
    </x:row>
    <x:row r="5" ht="31.299999237060547" hidden="0">
      <x:c r="A5" s="3" t="s">
        <x:v>165</x:v>
      </x:c>
      <x:c r="B5" s="3" t="s">
        <x:v>166</x:v>
      </x:c>
      <x:c r="C5" s="3" t="s">
        <x:v>167</x:v>
      </x:c>
      <x:c r="D5" s="3" t="s">
        <x:v>168</x:v>
      </x:c>
      <x:c r="E5" s="3" t="s">
        <x:v>126</x:v>
      </x:c>
      <x:c r="F5" s="3" t="s">
        <x:v>169</x:v>
      </x:c>
      <x:c r="G5" s="3" t="s">
        <x:v>170</x:v>
      </x:c>
      <x:c r="H5" s="3" t="s">
        <x:v>101</x:v>
      </x:c>
      <x:c r="I5" s="3" t="s">
        <x:v>102</x:v>
      </x:c>
      <x:c r="J5" s="3" t="s">
        <x:v>103</x:v>
      </x:c>
      <x:c r="K5" s="3" t="s">
        <x:v>104</x:v>
      </x:c>
      <x:c r="L5" s="3" t="s">
        <x:v>171</x:v>
      </x:c>
      <x:c r="M5" s="3" t="s">
        <x:v>172</x:v>
      </x:c>
      <x:c r="N5" s="3" t="s">
        <x:v>173</x:v>
      </x:c>
      <x:c r="O5" s="3" t="s">
        <x:v>174</x:v>
      </x:c>
      <x:c r="P5" s="3" t="s">
        <x:v>175</x:v>
      </x:c>
      <x:c r="Q5" s="3"/>
      <x:c r="R5" s="3" t="s">
        <x:v>176</x:v>
      </x:c>
      <x:c r="S5" s="3" t="s">
        <x:v>135</x:v>
      </x:c>
      <x:c r="T5" s="3" t="s">
        <x:v>135</x:v>
      </x:c>
      <x:c r="U5" s="3" t="s">
        <x:v>177</x:v>
      </x:c>
      <x:c r="V5" s="3" t="s">
        <x:v>178</x:v>
      </x:c>
      <x:c r="W5" s="3" t="s">
        <x:v>179</x:v>
      </x:c>
      <x:c r="X5" s="3" t="s">
        <x:v>180</x:v>
      </x:c>
      <x:c r="Y5" s="3" t="s">
        <x:v>181</x:v>
      </x:c>
      <x:c r="Z5" s="3" t="s">
        <x:v>182</x:v>
      </x:c>
      <x:c r="AA5" s="3" t="s">
        <x:v>118</x:v>
      </x:c>
      <x:c r="AB5" s="7" t="n">
        <x:v>46273.3145833333</x:v>
      </x:c>
      <x:c r="AC5" s="7" t="n">
        <x:v>46273.31875</x:v>
      </x:c>
      <x:c r="AD5" s="7" t="n">
        <x:v>46273.3215277778</x:v>
      </x:c>
      <x:c r="AE5" s="7"/>
      <x:c r="AF5" s="7"/>
      <x:c r="AG5" s="3"/>
      <x:c r="AH5" s="3"/>
      <x:c r="AI5" s="3" t="s">
        <x:v>135</x:v>
      </x:c>
      <x:c r="AJ5" s="3" t="s">
        <x:v>135</x:v>
      </x:c>
      <x:c r="AK5" s="3" t="n">
        <x:v>180</x:v>
      </x:c>
      <x:c r="AL5" s="3" t="n">
        <x:v>23</x:v>
      </x:c>
      <x:c r="AM5" s="8" t="n">
        <x:v>0.15</x:v>
      </x:c>
      <x:c r="AN5" s="3" t="n">
        <x:v>3</x:v>
      </x:c>
      <x:c r="AO5" s="3" t="s">
        <x:v>14</x:v>
      </x:c>
      <x:c r="AP5" s="3" t="s">
        <x:v>183</x:v>
      </x:c>
      <x:c r="AQ5" s="3" t="s">
        <x:v>184</x:v>
      </x:c>
      <x:c r="AR5" s="9" t="n">
        <x:v>1594</x:v>
      </x:c>
      <x:c r="AS5" s="3" t="s">
        <x:v>185</x:v>
      </x:c>
      <x:c r="AT5" s="7" t="n">
        <x:v>46273.3333333333</x:v>
      </x:c>
    </x:row>
    <x:row r="6" ht="31.299999237060547" hidden="0">
      <x:c r="A6" s="3" t="s">
        <x:v>186</x:v>
      </x:c>
      <x:c r="B6" s="3" t="s">
        <x:v>187</x:v>
      </x:c>
      <x:c r="C6" s="3" t="s">
        <x:v>188</x:v>
      </x:c>
      <x:c r="D6" s="3" t="s">
        <x:v>189</x:v>
      </x:c>
      <x:c r="E6" s="3" t="s">
        <x:v>98</x:v>
      </x:c>
      <x:c r="F6" s="3" t="s">
        <x:v>99</x:v>
      </x:c>
      <x:c r="G6" s="3" t="s">
        <x:v>190</x:v>
      </x:c>
      <x:c r="H6" s="3" t="s">
        <x:v>101</x:v>
      </x:c>
      <x:c r="I6" s="3" t="s">
        <x:v>102</x:v>
      </x:c>
      <x:c r="J6" s="3" t="s">
        <x:v>103</x:v>
      </x:c>
      <x:c r="K6" s="3" t="s">
        <x:v>104</x:v>
      </x:c>
      <x:c r="L6" s="3" t="s">
        <x:v>191</x:v>
      </x:c>
      <x:c r="M6" s="3" t="s">
        <x:v>192</x:v>
      </x:c>
      <x:c r="N6" s="3" t="s">
        <x:v>193</x:v>
      </x:c>
      <x:c r="O6" s="3" t="s">
        <x:v>194</x:v>
      </x:c>
      <x:c r="P6" s="3" t="s">
        <x:v>195</x:v>
      </x:c>
      <x:c r="Q6" s="3"/>
      <x:c r="R6" s="3" t="s">
        <x:v>196</x:v>
      </x:c>
      <x:c r="S6" s="3" t="s">
        <x:v>111</x:v>
      </x:c>
      <x:c r="T6" s="3" t="s">
        <x:v>111</x:v>
      </x:c>
      <x:c r="U6" s="3" t="s">
        <x:v>197</x:v>
      </x:c>
      <x:c r="V6" s="3" t="s">
        <x:v>198</x:v>
      </x:c>
      <x:c r="W6" s="3" t="s">
        <x:v>199</x:v>
      </x:c>
      <x:c r="X6" s="3" t="s">
        <x:v>115</x:v>
      </x:c>
      <x:c r="Y6" s="3" t="s">
        <x:v>200</x:v>
      </x:c>
      <x:c r="Z6" s="3" t="s">
        <x:v>201</x:v>
      </x:c>
      <x:c r="AA6" s="3" t="s">
        <x:v>118</x:v>
      </x:c>
      <x:c r="AB6" s="7" t="n">
        <x:v>46273.3180555556</x:v>
      </x:c>
      <x:c r="AC6" s="7" t="n">
        <x:v>46273.3194444444</x:v>
      </x:c>
      <x:c r="AD6" s="7" t="n">
        <x:v>46273.3236111111</x:v>
      </x:c>
      <x:c r="AE6" s="7" t="n">
        <x:v>46273.3319444444</x:v>
      </x:c>
      <x:c r="AF6" s="7"/>
      <x:c r="AG6" s="3" t="n">
        <x:v>20</x:v>
      </x:c>
      <x:c r="AH6" s="3"/>
      <x:c r="AI6" s="3" t="s">
        <x:v>135</x:v>
      </x:c>
      <x:c r="AJ6" s="3" t="s">
        <x:v>111</x:v>
      </x:c>
      <x:c r="AK6" s="3" t="n">
        <x:v>45</x:v>
      </x:c>
      <x:c r="AL6" s="3" t="n">
        <x:v>0</x:v>
      </x:c>
      <x:c r="AM6" s="8" t="n">
        <x:v>0.4889</x:v>
      </x:c>
      <x:c r="AN6" s="3" t="n">
        <x:v>1</x:v>
      </x:c>
      <x:c r="AO6" s="3" t="s">
        <x:v>14</x:v>
      </x:c>
      <x:c r="AP6" s="3" t="s">
        <x:v>202</x:v>
      </x:c>
      <x:c r="AQ6" s="3" t="s">
        <x:v>203</x:v>
      </x:c>
      <x:c r="AR6" s="9" t="n">
        <x:v>1259</x:v>
      </x:c>
      <x:c r="AS6" s="3" t="s">
        <x:v>185</x:v>
      </x:c>
      <x:c r="AT6" s="7" t="n">
        <x:v>46273.3333333333</x:v>
      </x:c>
    </x:row>
    <x:row r="7" ht="31.299999237060547" hidden="0">
      <x:c r="A7" s="3" t="s">
        <x:v>204</x:v>
      </x:c>
      <x:c r="B7" s="3" t="s">
        <x:v>205</x:v>
      </x:c>
      <x:c r="C7" s="3" t="s">
        <x:v>206</x:v>
      </x:c>
      <x:c r="D7" s="3" t="s">
        <x:v>207</x:v>
      </x:c>
      <x:c r="E7" s="3" t="s">
        <x:v>126</x:v>
      </x:c>
      <x:c r="F7" s="3" t="s">
        <x:v>127</x:v>
      </x:c>
      <x:c r="G7" s="3" t="s">
        <x:v>208</x:v>
      </x:c>
      <x:c r="H7" s="3" t="s">
        <x:v>101</x:v>
      </x:c>
      <x:c r="I7" s="3" t="s">
        <x:v>102</x:v>
      </x:c>
      <x:c r="J7" s="3" t="s">
        <x:v>103</x:v>
      </x:c>
      <x:c r="K7" s="3" t="s">
        <x:v>104</x:v>
      </x:c>
      <x:c r="L7" s="3" t="s">
        <x:v>209</x:v>
      </x:c>
      <x:c r="M7" s="3" t="s">
        <x:v>210</x:v>
      </x:c>
      <x:c r="N7" s="3" t="s">
        <x:v>211</x:v>
      </x:c>
      <x:c r="O7" s="3" t="s">
        <x:v>212</x:v>
      </x:c>
      <x:c r="P7" s="3" t="s">
        <x:v>213</x:v>
      </x:c>
      <x:c r="Q7" s="3"/>
      <x:c r="R7" s="3" t="s">
        <x:v>214</x:v>
      </x:c>
      <x:c r="S7" s="3" t="s">
        <x:v>135</x:v>
      </x:c>
      <x:c r="T7" s="3" t="s">
        <x:v>111</x:v>
      </x:c>
      <x:c r="U7" s="3" t="s">
        <x:v>215</x:v>
      </x:c>
      <x:c r="V7" s="3" t="s">
        <x:v>216</x:v>
      </x:c>
      <x:c r="W7" s="3" t="s">
        <x:v>217</x:v>
      </x:c>
      <x:c r="X7" s="3" t="s">
        <x:v>139</x:v>
      </x:c>
      <x:c r="Y7" s="3" t="s">
        <x:v>218</x:v>
      </x:c>
      <x:c r="Z7" s="3" t="s">
        <x:v>219</x:v>
      </x:c>
      <x:c r="AA7" s="3" t="s">
        <x:v>118</x:v>
      </x:c>
      <x:c r="AB7" s="7" t="n">
        <x:v>46273.3215277778</x:v>
      </x:c>
      <x:c r="AC7" s="7" t="n">
        <x:v>46273.3236111111</x:v>
      </x:c>
      <x:c r="AD7" s="7" t="n">
        <x:v>46273.325</x:v>
      </x:c>
      <x:c r="AE7" s="7"/>
      <x:c r="AF7" s="7"/>
      <x:c r="AG7" s="3"/>
      <x:c r="AH7" s="3"/>
      <x:c r="AI7" s="3" t="s">
        <x:v>135</x:v>
      </x:c>
      <x:c r="AJ7" s="3" t="s">
        <x:v>135</x:v>
      </x:c>
      <x:c r="AK7" s="3" t="n">
        <x:v>120</x:v>
      </x:c>
      <x:c r="AL7" s="3" t="n">
        <x:v>8</x:v>
      </x:c>
      <x:c r="AM7" s="8" t="n">
        <x:v>0.1417</x:v>
      </x:c>
      <x:c r="AN7" s="3" t="n">
        <x:v>0</x:v>
      </x:c>
      <x:c r="AO7" s="3" t="s">
        <x:v>9</x:v>
      </x:c>
      <x:c r="AP7" s="3" t="s">
        <x:v>142</x:v>
      </x:c>
      <x:c r="AQ7" s="3" t="s">
        <x:v>220</x:v>
      </x:c>
      <x:c r="AR7" s="9" t="n">
        <x:v>507</x:v>
      </x:c>
      <x:c r="AS7" s="3" t="s">
        <x:v>144</x:v>
      </x:c>
      <x:c r="AT7" s="7" t="n">
        <x:v>46273.3333333333</x:v>
      </x:c>
    </x:row>
    <x:row r="8" ht="31.299999237060547" hidden="0">
      <x:c r="A8" s="3" t="s">
        <x:v>221</x:v>
      </x:c>
      <x:c r="B8" s="3" t="s">
        <x:v>222</x:v>
      </x:c>
      <x:c r="C8" s="3" t="s">
        <x:v>223</x:v>
      </x:c>
      <x:c r="D8" s="3" t="s">
        <x:v>224</x:v>
      </x:c>
      <x:c r="E8" s="3" t="s">
        <x:v>126</x:v>
      </x:c>
      <x:c r="F8" s="3" t="s">
        <x:v>149</x:v>
      </x:c>
      <x:c r="G8" s="3" t="s">
        <x:v>225</x:v>
      </x:c>
      <x:c r="H8" s="3" t="s">
        <x:v>101</x:v>
      </x:c>
      <x:c r="I8" s="3" t="s">
        <x:v>102</x:v>
      </x:c>
      <x:c r="J8" s="3" t="s">
        <x:v>103</x:v>
      </x:c>
      <x:c r="K8" s="3" t="s">
        <x:v>104</x:v>
      </x:c>
      <x:c r="L8" s="3" t="s">
        <x:v>226</x:v>
      </x:c>
      <x:c r="M8" s="3" t="s">
        <x:v>227</x:v>
      </x:c>
      <x:c r="N8" s="3" t="s">
        <x:v>228</x:v>
      </x:c>
      <x:c r="O8" s="3" t="s">
        <x:v>229</x:v>
      </x:c>
      <x:c r="P8" s="3" t="s">
        <x:v>230</x:v>
      </x:c>
      <x:c r="Q8" s="3"/>
      <x:c r="R8" s="3" t="s">
        <x:v>110</x:v>
      </x:c>
      <x:c r="S8" s="3" t="s">
        <x:v>111</x:v>
      </x:c>
      <x:c r="T8" s="3" t="s">
        <x:v>111</x:v>
      </x:c>
      <x:c r="U8" s="3" t="s">
        <x:v>112</x:v>
      </x:c>
      <x:c r="V8" s="3" t="s">
        <x:v>113</x:v>
      </x:c>
      <x:c r="W8" s="3" t="s">
        <x:v>114</x:v>
      </x:c>
      <x:c r="X8" s="3" t="s">
        <x:v>160</x:v>
      </x:c>
      <x:c r="Y8" s="3" t="s">
        <x:v>116</x:v>
      </x:c>
      <x:c r="Z8" s="3" t="s">
        <x:v>117</x:v>
      </x:c>
      <x:c r="AA8" s="3" t="s">
        <x:v>118</x:v>
      </x:c>
      <x:c r="AB8" s="7" t="n">
        <x:v>46273.3243055556</x:v>
      </x:c>
      <x:c r="AC8" s="7" t="n">
        <x:v>46273.3270833333</x:v>
      </x:c>
      <x:c r="AD8" s="7" t="n">
        <x:v>46273.3298611111</x:v>
      </x:c>
      <x:c r="AE8" s="7"/>
      <x:c r="AF8" s="7"/>
      <x:c r="AG8" s="3"/>
      <x:c r="AH8" s="3"/>
      <x:c r="AI8" s="3" t="s">
        <x:v>135</x:v>
      </x:c>
      <x:c r="AJ8" s="3" t="s">
        <x:v>135</x:v>
      </x:c>
      <x:c r="AK8" s="3" t="n">
        <x:v>60</x:v>
      </x:c>
      <x:c r="AL8" s="3" t="n">
        <x:v>22</x:v>
      </x:c>
      <x:c r="AM8" s="8" t="n">
        <x:v>0.2167</x:v>
      </x:c>
      <x:c r="AN8" s="3" t="n">
        <x:v>2</x:v>
      </x:c>
      <x:c r="AO8" s="3" t="s">
        <x:v>14</x:v>
      </x:c>
      <x:c r="AP8" s="3" t="s">
        <x:v>163</x:v>
      </x:c>
      <x:c r="AQ8" s="3" t="s">
        <x:v>231</x:v>
      </x:c>
      <x:c r="AR8" s="9" t="n">
        <x:v>612</x:v>
      </x:c>
      <x:c r="AS8" s="3" t="s">
        <x:v>144</x:v>
      </x:c>
      <x:c r="AT8" s="7" t="n">
        <x:v>46273.3333333333</x:v>
      </x:c>
    </x:row>
    <x:row r="9" ht="31.299999237060547" hidden="0">
      <x:c r="A9" s="3" t="s">
        <x:v>232</x:v>
      </x:c>
      <x:c r="B9" s="3" t="s">
        <x:v>233</x:v>
      </x:c>
      <x:c r="C9" s="3" t="s">
        <x:v>234</x:v>
      </x:c>
      <x:c r="D9" s="3" t="s">
        <x:v>235</x:v>
      </x:c>
      <x:c r="E9" s="3" t="s">
        <x:v>77</x:v>
      </x:c>
      <x:c r="F9" s="3" t="s">
        <x:v>169</x:v>
      </x:c>
      <x:c r="G9" s="3" t="s">
        <x:v>236</x:v>
      </x:c>
      <x:c r="H9" s="3" t="s">
        <x:v>101</x:v>
      </x:c>
      <x:c r="I9" s="3" t="s">
        <x:v>102</x:v>
      </x:c>
      <x:c r="J9" s="3" t="s">
        <x:v>103</x:v>
      </x:c>
      <x:c r="K9" s="3" t="s">
        <x:v>104</x:v>
      </x:c>
      <x:c r="L9" s="3" t="s">
        <x:v>237</x:v>
      </x:c>
      <x:c r="M9" s="3" t="s">
        <x:v>172</x:v>
      </x:c>
      <x:c r="N9" s="3" t="s">
        <x:v>238</x:v>
      </x:c>
      <x:c r="O9" s="3" t="s">
        <x:v>239</x:v>
      </x:c>
      <x:c r="P9" s="3" t="s">
        <x:v>240</x:v>
      </x:c>
      <x:c r="Q9" s="3"/>
      <x:c r="R9" s="3" t="s">
        <x:v>134</x:v>
      </x:c>
      <x:c r="S9" s="3" t="s">
        <x:v>135</x:v>
      </x:c>
      <x:c r="T9" s="3" t="s">
        <x:v>111</x:v>
      </x:c>
      <x:c r="U9" s="3" t="s">
        <x:v>136</x:v>
      </x:c>
      <x:c r="V9" s="3" t="s">
        <x:v>137</x:v>
      </x:c>
      <x:c r="W9" s="3" t="s">
        <x:v>138</x:v>
      </x:c>
      <x:c r="X9" s="3" t="s">
        <x:v>180</x:v>
      </x:c>
      <x:c r="Y9" s="3" t="s">
        <x:v>140</x:v>
      </x:c>
      <x:c r="Z9" s="3" t="s">
        <x:v>141</x:v>
      </x:c>
      <x:c r="AA9" s="3" t="s">
        <x:v>118</x:v>
      </x:c>
      <x:c r="AB9" s="7" t="n">
        <x:v>46273.3270833333</x:v>
      </x:c>
      <x:c r="AC9" s="7" t="n">
        <x:v>46273.3305555556</x:v>
      </x:c>
      <x:c r="AD9" s="7"/>
      <x:c r="AE9" s="7"/>
      <x:c r="AF9" s="7"/>
      <x:c r="AG9" s="3"/>
      <x:c r="AH9" s="3"/>
      <x:c r="AI9" s="3" t="s">
        <x:v>135</x:v>
      </x:c>
      <x:c r="AJ9" s="3" t="s">
        <x:v>111</x:v>
      </x:c>
      <x:c r="AK9" s="3" t="n">
        <x:v>90</x:v>
      </x:c>
      <x:c r="AL9" s="3" t="n">
        <x:v>34</x:v>
      </x:c>
      <x:c r="AM9" s="8" t="n">
        <x:v>0.1</x:v>
      </x:c>
      <x:c r="AN9" s="3" t="n">
        <x:v>4</x:v>
      </x:c>
      <x:c r="AO9" s="3" t="s">
        <x:v>14</x:v>
      </x:c>
      <x:c r="AP9" s="3" t="s">
        <x:v>241</x:v>
      </x:c>
      <x:c r="AQ9" s="3" t="s">
        <x:v>242</x:v>
      </x:c>
      <x:c r="AR9" s="9" t="n">
        <x:v>1437</x:v>
      </x:c>
      <x:c r="AS9" s="3" t="s">
        <x:v>185</x:v>
      </x:c>
      <x:c r="AT9" s="7" t="n">
        <x:v>46273.3333333333</x:v>
      </x:c>
    </x:row>
    <x:row r="10" ht="31.299999237060547" hidden="0">
      <x:c r="A10" s="3" t="s">
        <x:v>243</x:v>
      </x:c>
      <x:c r="B10" s="3" t="s">
        <x:v>83</x:v>
      </x:c>
      <x:c r="C10" s="3" t="s">
        <x:v>96</x:v>
      </x:c>
      <x:c r="D10" s="3" t="s">
        <x:v>97</x:v>
      </x:c>
      <x:c r="E10" s="3" t="s">
        <x:v>244</x:v>
      </x:c>
      <x:c r="F10" s="3" t="s">
        <x:v>99</x:v>
      </x:c>
      <x:c r="G10" s="3" t="s">
        <x:v>245</x:v>
      </x:c>
      <x:c r="H10" s="3" t="s">
        <x:v>101</x:v>
      </x:c>
      <x:c r="I10" s="3" t="s">
        <x:v>102</x:v>
      </x:c>
      <x:c r="J10" s="3" t="s">
        <x:v>103</x:v>
      </x:c>
      <x:c r="K10" s="3" t="s">
        <x:v>104</x:v>
      </x:c>
      <x:c r="L10" s="3" t="s">
        <x:v>105</x:v>
      </x:c>
      <x:c r="M10" s="3" t="s">
        <x:v>106</x:v>
      </x:c>
      <x:c r="N10" s="3" t="s">
        <x:v>107</x:v>
      </x:c>
      <x:c r="O10" s="3" t="s">
        <x:v>108</x:v>
      </x:c>
      <x:c r="P10" s="3" t="s">
        <x:v>109</x:v>
      </x:c>
      <x:c r="Q10" s="3"/>
      <x:c r="R10" s="3" t="s">
        <x:v>156</x:v>
      </x:c>
      <x:c r="S10" s="3" t="s">
        <x:v>135</x:v>
      </x:c>
      <x:c r="T10" s="3" t="s">
        <x:v>111</x:v>
      </x:c>
      <x:c r="U10" s="3" t="s">
        <x:v>157</x:v>
      </x:c>
      <x:c r="V10" s="3" t="s">
        <x:v>158</x:v>
      </x:c>
      <x:c r="W10" s="3" t="s">
        <x:v>159</x:v>
      </x:c>
      <x:c r="X10" s="3" t="s">
        <x:v>115</x:v>
      </x:c>
      <x:c r="Y10" s="3" t="s">
        <x:v>161</x:v>
      </x:c>
      <x:c r="Z10" s="3" t="s">
        <x:v>162</x:v>
      </x:c>
      <x:c r="AA10" s="3" t="s">
        <x:v>118</x:v>
      </x:c>
      <x:c r="AB10" s="7" t="n">
        <x:v>46273.3298611111</x:v>
      </x:c>
      <x:c r="AC10" s="7"/>
      <x:c r="AD10" s="7"/>
      <x:c r="AE10" s="7"/>
      <x:c r="AF10" s="7"/>
      <x:c r="AG10" s="3"/>
      <x:c r="AH10" s="3"/>
      <x:c r="AI10" s="3" t="s">
        <x:v>111</x:v>
      </x:c>
      <x:c r="AJ10" s="3" t="s">
        <x:v>111</x:v>
      </x:c>
      <x:c r="AK10" s="3" t="n">
        <x:v>120</x:v>
      </x:c>
      <x:c r="AL10" s="3" t="n">
        <x:v>36</x:v>
      </x:c>
      <x:c r="AM10" s="8" t="n">
        <x:v>0.0417</x:v>
      </x:c>
      <x:c r="AN10" s="3" t="n">
        <x:v>0</x:v>
      </x:c>
      <x:c r="AO10" s="3" t="s">
        <x:v>14</x:v>
      </x:c>
      <x:c r="AP10" s="3" t="s">
        <x:v>246</x:v>
      </x:c>
      <x:c r="AQ10" s="3" t="s">
        <x:v>120</x:v>
      </x:c>
      <x:c r="AR10" s="9" t="n">
        <x:v>970</x:v>
      </x:c>
      <x:c r="AS10" s="3" t="s">
        <x:v>121</x:v>
      </x:c>
      <x:c r="AT10" s="7" t="n">
        <x:v>46273.3333333333</x:v>
      </x:c>
    </x:row>
    <x:row r="11" ht="31.299999237060547" hidden="0">
      <x:c r="A11" s="3" t="s">
        <x:v>247</x:v>
      </x:c>
      <x:c r="B11" s="3" t="s">
        <x:v>123</x:v>
      </x:c>
      <x:c r="C11" s="3" t="s">
        <x:v>124</x:v>
      </x:c>
      <x:c r="D11" s="3" t="s">
        <x:v>125</x:v>
      </x:c>
      <x:c r="E11" s="3" t="s">
        <x:v>244</x:v>
      </x:c>
      <x:c r="F11" s="3" t="s">
        <x:v>127</x:v>
      </x:c>
      <x:c r="G11" s="3" t="s">
        <x:v>248</x:v>
      </x:c>
      <x:c r="H11" s="3" t="s">
        <x:v>101</x:v>
      </x:c>
      <x:c r="I11" s="3" t="s">
        <x:v>102</x:v>
      </x:c>
      <x:c r="J11" s="3" t="s">
        <x:v>103</x:v>
      </x:c>
      <x:c r="K11" s="3" t="s">
        <x:v>104</x:v>
      </x:c>
      <x:c r="L11" s="3" t="s">
        <x:v>129</x:v>
      </x:c>
      <x:c r="M11" s="3" t="s">
        <x:v>130</x:v>
      </x:c>
      <x:c r="N11" s="3" t="s">
        <x:v>131</x:v>
      </x:c>
      <x:c r="O11" s="3" t="s">
        <x:v>132</x:v>
      </x:c>
      <x:c r="P11" s="3" t="s">
        <x:v>133</x:v>
      </x:c>
      <x:c r="Q11" s="3"/>
      <x:c r="R11" s="3" t="s">
        <x:v>176</x:v>
      </x:c>
      <x:c r="S11" s="3" t="s">
        <x:v>135</x:v>
      </x:c>
      <x:c r="T11" s="3" t="s">
        <x:v>135</x:v>
      </x:c>
      <x:c r="U11" s="3" t="s">
        <x:v>177</x:v>
      </x:c>
      <x:c r="V11" s="3" t="s">
        <x:v>178</x:v>
      </x:c>
      <x:c r="W11" s="3" t="s">
        <x:v>179</x:v>
      </x:c>
      <x:c r="X11" s="3" t="s">
        <x:v>139</x:v>
      </x:c>
      <x:c r="Y11" s="3" t="s">
        <x:v>181</x:v>
      </x:c>
      <x:c r="Z11" s="3" t="s">
        <x:v>182</x:v>
      </x:c>
      <x:c r="AA11" s="3" t="s">
        <x:v>118</x:v>
      </x:c>
      <x:c r="AB11" s="7" t="n">
        <x:v>46273.3326388889</x:v>
      </x:c>
      <x:c r="AC11" s="7"/>
      <x:c r="AD11" s="7"/>
      <x:c r="AE11" s="7"/>
      <x:c r="AF11" s="7"/>
      <x:c r="AG11" s="3"/>
      <x:c r="AH11" s="3"/>
      <x:c r="AI11" s="3" t="s">
        <x:v>135</x:v>
      </x:c>
      <x:c r="AJ11" s="3" t="s">
        <x:v>135</x:v>
      </x:c>
      <x:c r="AK11" s="3" t="n">
        <x:v>180</x:v>
      </x:c>
      <x:c r="AL11" s="3" t="n">
        <x:v>14</x:v>
      </x:c>
      <x:c r="AM11" s="8" t="n">
        <x:v>0.0056</x:v>
      </x:c>
      <x:c r="AN11" s="3" t="n">
        <x:v>1</x:v>
      </x:c>
      <x:c r="AO11" s="3" t="s">
        <x:v>9</x:v>
      </x:c>
      <x:c r="AP11" s="3" t="s">
        <x:v>142</x:v>
      </x:c>
      <x:c r="AQ11" s="3" t="s">
        <x:v>143</x:v>
      </x:c>
      <x:c r="AR11" s="9" t="n">
        <x:v>791</x:v>
      </x:c>
      <x:c r="AS11" s="3" t="s">
        <x:v>121</x:v>
      </x:c>
      <x:c r="AT11" s="7" t="n">
        <x:v>46273.3333333333</x:v>
      </x:c>
    </x:row>
  </x:sheetData>
  <x:conditionalFormatting sqref="AO2:AO11">
    <x:cfRule type="expression" dxfId="5" priority="2" aboveAverage="0" percent="0" bottom="0" rank="0" equalAverage="0">
      <x:formula>AO2="Verde"</x:formula>
    </x:cfRule>
    <x:cfRule type="expression" dxfId="6" priority="3" aboveAverage="0" percent="0" bottom="0" rank="0" equalAverage="0">
      <x:formula>AO2="Amarelo"</x:formula>
    </x:cfRule>
    <x:cfRule type="expression" dxfId="7" priority="4" aboveAverage="0" percent="0" bottom="0" rank="0" equalAverage="0">
      <x:formula>AO2="Laranja"</x:formula>
    </x:cfRule>
    <x:cfRule type="expression" dxfId="8" priority="5" aboveAverage="0" percent="0" bottom="0" rank="0" equalAverage="0">
      <x:formula>AO2="Vermelho"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e4c5ef9c9f4765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0.43000030517578" hidden="0" customWidth="1"/>
    <x:col min="2" max="2" width="24.979999542236328" hidden="0" customWidth="1"/>
    <x:col min="3" max="3" width="27.239999771118164" hidden="0" customWidth="1"/>
    <x:col min="4" max="4" width="43.13999938964844" hidden="0" customWidth="1"/>
    <x:col min="5" max="5" width="20.43000030517578" hidden="0" customWidth="1"/>
    <x:col min="6" max="6" width="24.979999542236328" hidden="0" customWidth="1"/>
    <x:col min="7" max="7" width="13.619999885559082" hidden="0" customWidth="1"/>
    <x:col min="8" max="9" width="20.43000030517578" hidden="0" customWidth="1"/>
    <x:col min="10" max="10" width="18.15999984741211" hidden="0" customWidth="1"/>
    <x:col min="11" max="11" width="15.890000343322754" hidden="0" customWidth="1"/>
    <x:col min="12" max="12" width="13.619999885559082" hidden="0" customWidth="1"/>
    <x:col min="13" max="13" width="24.979999542236328" hidden="0" customWidth="1"/>
    <x:col min="14" max="15" width="20.43000030517578" hidden="0" customWidth="1"/>
    <x:col min="16" max="16" width="22.700000762939453" hidden="0" customWidth="1"/>
    <x:col min="17" max="17" width="38.599998474121094" hidden="0" customWidth="1"/>
    <x:col min="18" max="18" width="27.239999771118164" hidden="0" customWidth="1"/>
    <x:col min="19" max="19" width="11.350000381469727" hidden="0" customWidth="1"/>
    <x:col min="20" max="20" width="13.619999885559082" hidden="0" customWidth="1"/>
    <x:col min="21" max="21" width="18.15999984741211" hidden="0" customWidth="1"/>
    <x:col min="22" max="22" width="15.890000343322754" hidden="0" customWidth="1"/>
    <x:col min="23" max="25" width="20.43000030517578" hidden="0" customWidth="1"/>
    <x:col min="26" max="26" width="38.599998474121094" hidden="0" customWidth="1"/>
    <x:col min="27" max="30" width="20.43000030517578" hidden="0" customWidth="1"/>
    <x:col min="31" max="31" width="22.700000762939453" hidden="0" customWidth="1"/>
    <x:col min="32" max="32" width="20.43000030517578" hidden="0" customWidth="1"/>
    <x:col min="33" max="34" width="9.079999923706055" hidden="0" customWidth="1"/>
    <x:col min="35" max="35" width="18.15999984741211" hidden="0" customWidth="1"/>
    <x:col min="36" max="36" width="15.890000343322754" hidden="0" customWidth="1"/>
    <x:col min="37" max="38" width="11.350000381469727" hidden="0" customWidth="1"/>
    <x:col min="39" max="40" width="15.890000343322754" hidden="0" customWidth="1"/>
    <x:col min="41" max="41" width="22.700000762939453" hidden="0" customWidth="1"/>
    <x:col min="42" max="42" width="43.13999938964844" hidden="0" customWidth="1"/>
    <x:col min="43" max="43" width="47.68000030517578" hidden="0" customWidth="1"/>
    <x:col min="44" max="44" width="20.43000030517578" hidden="0" customWidth="1"/>
    <x:col min="45" max="45" width="18.15999984741211" hidden="0" customWidth="1"/>
    <x:col min="46" max="46" width="20.43000030517578" hidden="0" customWidth="1"/>
  </x:cols>
  <x:sheetData>
    <x:row r="1" ht="15" hidden="0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  <x:c r="G1" s="6" t="s">
        <x:v>55</x:v>
      </x:c>
      <x:c r="H1" s="6" t="s">
        <x:v>56</x:v>
      </x:c>
      <x:c r="I1" s="6" t="s">
        <x:v>57</x:v>
      </x:c>
      <x:c r="J1" s="6" t="s">
        <x:v>58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  <x:c r="Q1" s="6" t="s">
        <x:v>65</x:v>
      </x:c>
      <x:c r="R1" s="6" t="s">
        <x:v>66</x:v>
      </x:c>
      <x:c r="S1" s="6" t="s">
        <x:v>67</x:v>
      </x:c>
      <x:c r="T1" s="6" t="s">
        <x:v>68</x:v>
      </x:c>
      <x:c r="U1" s="6" t="s">
        <x:v>69</x:v>
      </x:c>
      <x:c r="V1" s="6" t="s">
        <x:v>70</x:v>
      </x:c>
      <x:c r="W1" s="6" t="s">
        <x:v>71</x:v>
      </x:c>
      <x:c r="X1" s="6" t="s">
        <x:v>72</x:v>
      </x:c>
      <x:c r="Y1" s="6" t="s">
        <x:v>73</x:v>
      </x:c>
      <x:c r="Z1" s="6" t="s">
        <x:v>74</x:v>
      </x:c>
      <x:c r="AA1" s="6" t="s">
        <x:v>75</x:v>
      </x:c>
      <x:c r="AB1" s="6" t="s">
        <x:v>76</x:v>
      </x:c>
      <x:c r="AC1" s="6" t="s">
        <x:v>77</x:v>
      </x:c>
      <x:c r="AD1" s="6" t="s">
        <x:v>78</x:v>
      </x:c>
      <x:c r="AE1" s="6" t="s">
        <x:v>79</x:v>
      </x:c>
      <x:c r="AF1" s="6" t="s">
        <x:v>80</x:v>
      </x:c>
      <x:c r="AG1" s="6" t="s">
        <x:v>81</x:v>
      </x:c>
      <x:c r="AH1" s="6" t="s">
        <x:v>82</x:v>
      </x:c>
      <x:c r="AI1" s="6" t="s">
        <x:v>83</x:v>
      </x:c>
      <x:c r="AJ1" s="6" t="s">
        <x:v>84</x:v>
      </x:c>
      <x:c r="AK1" s="6" t="s">
        <x:v>85</x:v>
      </x:c>
      <x:c r="AL1" s="6" t="s">
        <x:v>86</x:v>
      </x:c>
      <x:c r="AM1" s="6" t="s">
        <x:v>87</x:v>
      </x:c>
      <x:c r="AN1" s="6" t="s">
        <x:v>88</x:v>
      </x:c>
      <x:c r="AO1" s="6" t="s">
        <x:v>89</x:v>
      </x:c>
      <x:c r="AP1" s="6" t="s">
        <x:v>90</x:v>
      </x:c>
      <x:c r="AQ1" s="6" t="s">
        <x:v>91</x:v>
      </x:c>
      <x:c r="AR1" s="6" t="s">
        <x:v>92</x:v>
      </x:c>
      <x:c r="AS1" s="6" t="s">
        <x:v>93</x:v>
      </x:c>
      <x:c r="AT1" s="6" t="s">
        <x:v>94</x:v>
      </x:c>
    </x:row>
    <x:row r="2" ht="31.299999237060547" hidden="0">
      <x:c r="A2" s="3" t="s">
        <x:v>95</x:v>
      </x:c>
      <x:c r="B2" s="3" t="s">
        <x:v>83</x:v>
      </x:c>
      <x:c r="C2" s="3" t="s">
        <x:v>96</x:v>
      </x:c>
      <x:c r="D2" s="3" t="s">
        <x:v>97</x:v>
      </x:c>
      <x:c r="E2" s="3" t="s">
        <x:v>249</x:v>
      </x:c>
      <x:c r="F2" s="3" t="s">
        <x:v>99</x:v>
      </x:c>
      <x:c r="G2" s="3" t="s">
        <x:v>100</x:v>
      </x:c>
      <x:c r="H2" s="3" t="s">
        <x:v>101</x:v>
      </x:c>
      <x:c r="I2" s="3" t="s">
        <x:v>102</x:v>
      </x:c>
      <x:c r="J2" s="3" t="s">
        <x:v>103</x:v>
      </x:c>
      <x:c r="K2" s="3" t="s">
        <x:v>104</x:v>
      </x:c>
      <x:c r="L2" s="3" t="s">
        <x:v>105</x:v>
      </x:c>
      <x:c r="M2" s="3" t="s">
        <x:v>106</x:v>
      </x:c>
      <x:c r="N2" s="3" t="s">
        <x:v>107</x:v>
      </x:c>
      <x:c r="O2" s="3" t="s">
        <x:v>108</x:v>
      </x:c>
      <x:c r="P2" s="3" t="s">
        <x:v>109</x:v>
      </x:c>
      <x:c r="Q2" s="3" t="s">
        <x:v>250</x:v>
      </x:c>
      <x:c r="R2" s="3" t="s">
        <x:v>110</x:v>
      </x:c>
      <x:c r="S2" s="3" t="s">
        <x:v>111</x:v>
      </x:c>
      <x:c r="T2" s="3" t="s">
        <x:v>111</x:v>
      </x:c>
      <x:c r="U2" s="3" t="s">
        <x:v>112</x:v>
      </x:c>
      <x:c r="V2" s="3" t="s">
        <x:v>113</x:v>
      </x:c>
      <x:c r="W2" s="3" t="s">
        <x:v>114</x:v>
      </x:c>
      <x:c r="X2" s="3" t="s">
        <x:v>115</x:v>
      </x:c>
      <x:c r="Y2" s="3" t="s">
        <x:v>116</x:v>
      </x:c>
      <x:c r="Z2" s="3" t="s">
        <x:v>117</x:v>
      </x:c>
      <x:c r="AA2" s="3" t="s">
        <x:v>118</x:v>
      </x:c>
      <x:c r="AB2" s="7" t="n">
        <x:v>46273.3055555556</x:v>
      </x:c>
      <x:c r="AC2" s="7" t="n">
        <x:v>46273.3076388889</x:v>
      </x:c>
      <x:c r="AD2" s="7" t="n">
        <x:v>46273.3104166667</x:v>
      </x:c>
      <x:c r="AE2" s="7" t="n">
        <x:v>46273.3201388889</x:v>
      </x:c>
      <x:c r="AF2" s="7" t="n">
        <x:v>46273.3430555556</x:v>
      </x:c>
      <x:c r="AG2" s="3" t="n">
        <x:v>21</x:v>
      </x:c>
      <x:c r="AH2" s="3" t="n">
        <x:v>28</x:v>
      </x:c>
      <x:c r="AI2" s="3" t="s">
        <x:v>111</x:v>
      </x:c>
      <x:c r="AJ2" s="3" t="s">
        <x:v>111</x:v>
      </x:c>
      <x:c r="AK2" s="3" t="n">
        <x:v>60</x:v>
      </x:c>
      <x:c r="AL2" s="3" t="n">
        <x:v>0</x:v>
      </x:c>
      <x:c r="AM2" s="8" t="n">
        <x:v>0.8167</x:v>
      </x:c>
      <x:c r="AN2" s="3" t="n">
        <x:v>0</x:v>
      </x:c>
      <x:c r="AO2" s="3" t="s">
        <x:v>14</x:v>
      </x:c>
      <x:c r="AP2" s="3" t="s">
        <x:v>251</x:v>
      </x:c>
      <x:c r="AQ2" s="3" t="s">
        <x:v>120</x:v>
      </x:c>
      <x:c r="AR2" s="9" t="n">
        <x:v>882</x:v>
      </x:c>
      <x:c r="AS2" s="3" t="s">
        <x:v>121</x:v>
      </x:c>
      <x:c r="AT2" s="7" t="n">
        <x:v>46273.3541666667</x:v>
      </x:c>
    </x:row>
    <x:row r="3" ht="31.299999237060547" hidden="0">
      <x:c r="A3" s="3" t="s">
        <x:v>122</x:v>
      </x:c>
      <x:c r="B3" s="3" t="s">
        <x:v>123</x:v>
      </x:c>
      <x:c r="C3" s="3" t="s">
        <x:v>124</x:v>
      </x:c>
      <x:c r="D3" s="3" t="s">
        <x:v>125</x:v>
      </x:c>
      <x:c r="E3" s="3" t="s">
        <x:v>98</x:v>
      </x:c>
      <x:c r="F3" s="3" t="s">
        <x:v>127</x:v>
      </x:c>
      <x:c r="G3" s="3" t="s">
        <x:v>128</x:v>
      </x:c>
      <x:c r="H3" s="3" t="s">
        <x:v>101</x:v>
      </x:c>
      <x:c r="I3" s="3" t="s">
        <x:v>102</x:v>
      </x:c>
      <x:c r="J3" s="3" t="s">
        <x:v>103</x:v>
      </x:c>
      <x:c r="K3" s="3" t="s">
        <x:v>104</x:v>
      </x:c>
      <x:c r="L3" s="3" t="s">
        <x:v>129</x:v>
      </x:c>
      <x:c r="M3" s="3" t="s">
        <x:v>130</x:v>
      </x:c>
      <x:c r="N3" s="3" t="s">
        <x:v>131</x:v>
      </x:c>
      <x:c r="O3" s="3" t="s">
        <x:v>132</x:v>
      </x:c>
      <x:c r="P3" s="3" t="s">
        <x:v>133</x:v>
      </x:c>
      <x:c r="Q3" s="3"/>
      <x:c r="R3" s="3" t="s">
        <x:v>134</x:v>
      </x:c>
      <x:c r="S3" s="3" t="s">
        <x:v>135</x:v>
      </x:c>
      <x:c r="T3" s="3" t="s">
        <x:v>111</x:v>
      </x:c>
      <x:c r="U3" s="3" t="s">
        <x:v>136</x:v>
      </x:c>
      <x:c r="V3" s="3" t="s">
        <x:v>137</x:v>
      </x:c>
      <x:c r="W3" s="3" t="s">
        <x:v>138</x:v>
      </x:c>
      <x:c r="X3" s="3" t="s">
        <x:v>139</x:v>
      </x:c>
      <x:c r="Y3" s="3" t="s">
        <x:v>140</x:v>
      </x:c>
      <x:c r="Z3" s="3" t="s">
        <x:v>141</x:v>
      </x:c>
      <x:c r="AA3" s="3" t="s">
        <x:v>118</x:v>
      </x:c>
      <x:c r="AB3" s="7" t="n">
        <x:v>46273.3090277778</x:v>
      </x:c>
      <x:c r="AC3" s="7" t="n">
        <x:v>46273.3118055556</x:v>
      </x:c>
      <x:c r="AD3" s="7" t="n">
        <x:v>46273.3159722222</x:v>
      </x:c>
      <x:c r="AE3" s="7" t="n">
        <x:v>46273.3340277778</x:v>
      </x:c>
      <x:c r="AF3" s="7"/>
      <x:c r="AG3" s="3" t="n">
        <x:v>36</x:v>
      </x:c>
      <x:c r="AH3" s="3"/>
      <x:c r="AI3" s="3" t="s">
        <x:v>135</x:v>
      </x:c>
      <x:c r="AJ3" s="3" t="s">
        <x:v>135</x:v>
      </x:c>
      <x:c r="AK3" s="3" t="n">
        <x:v>90</x:v>
      </x:c>
      <x:c r="AL3" s="3" t="n">
        <x:v>0</x:v>
      </x:c>
      <x:c r="AM3" s="8" t="n">
        <x:v>0.7222</x:v>
      </x:c>
      <x:c r="AN3" s="3" t="n">
        <x:v>1</x:v>
      </x:c>
      <x:c r="AO3" s="3" t="s">
        <x:v>14</x:v>
      </x:c>
      <x:c r="AP3" s="3" t="s">
        <x:v>252</x:v>
      </x:c>
      <x:c r="AQ3" s="3" t="s">
        <x:v>143</x:v>
      </x:c>
      <x:c r="AR3" s="9" t="n">
        <x:v>664</x:v>
      </x:c>
      <x:c r="AS3" s="3" t="s">
        <x:v>144</x:v>
      </x:c>
      <x:c r="AT3" s="7" t="n">
        <x:v>46273.3541666667</x:v>
      </x:c>
    </x:row>
    <x:row r="4" ht="31.299999237060547" hidden="0">
      <x:c r="A4" s="3" t="s">
        <x:v>145</x:v>
      </x:c>
      <x:c r="B4" s="3" t="s">
        <x:v>146</x:v>
      </x:c>
      <x:c r="C4" s="3" t="s">
        <x:v>147</x:v>
      </x:c>
      <x:c r="D4" s="3" t="s">
        <x:v>148</x:v>
      </x:c>
      <x:c r="E4" s="3" t="s">
        <x:v>98</x:v>
      </x:c>
      <x:c r="F4" s="3" t="s">
        <x:v>149</x:v>
      </x:c>
      <x:c r="G4" s="3" t="s">
        <x:v>150</x:v>
      </x:c>
      <x:c r="H4" s="3" t="s">
        <x:v>101</x:v>
      </x:c>
      <x:c r="I4" s="3" t="s">
        <x:v>102</x:v>
      </x:c>
      <x:c r="J4" s="3" t="s">
        <x:v>103</x:v>
      </x:c>
      <x:c r="K4" s="3" t="s">
        <x:v>104</x:v>
      </x:c>
      <x:c r="L4" s="3" t="s">
        <x:v>151</x:v>
      </x:c>
      <x:c r="M4" s="3" t="s">
        <x:v>152</x:v>
      </x:c>
      <x:c r="N4" s="3" t="s">
        <x:v>153</x:v>
      </x:c>
      <x:c r="O4" s="3" t="s">
        <x:v>154</x:v>
      </x:c>
      <x:c r="P4" s="3" t="s">
        <x:v>155</x:v>
      </x:c>
      <x:c r="Q4" s="3"/>
      <x:c r="R4" s="3" t="s">
        <x:v>156</x:v>
      </x:c>
      <x:c r="S4" s="3" t="s">
        <x:v>135</x:v>
      </x:c>
      <x:c r="T4" s="3" t="s">
        <x:v>111</x:v>
      </x:c>
      <x:c r="U4" s="3" t="s">
        <x:v>157</x:v>
      </x:c>
      <x:c r="V4" s="3" t="s">
        <x:v>158</x:v>
      </x:c>
      <x:c r="W4" s="3" t="s">
        <x:v>159</x:v>
      </x:c>
      <x:c r="X4" s="3" t="s">
        <x:v>160</x:v>
      </x:c>
      <x:c r="Y4" s="3" t="s">
        <x:v>161</x:v>
      </x:c>
      <x:c r="Z4" s="3" t="s">
        <x:v>162</x:v>
      </x:c>
      <x:c r="AA4" s="3" t="s">
        <x:v>118</x:v>
      </x:c>
      <x:c r="AB4" s="7" t="n">
        <x:v>46273.3118055556</x:v>
      </x:c>
      <x:c r="AC4" s="7" t="n">
        <x:v>46273.3152777778</x:v>
      </x:c>
      <x:c r="AD4" s="7" t="n">
        <x:v>46273.3166666667</x:v>
      </x:c>
      <x:c r="AE4" s="7" t="n">
        <x:v>46273.3395833333</x:v>
      </x:c>
      <x:c r="AF4" s="7"/>
      <x:c r="AG4" s="3" t="n">
        <x:v>40</x:v>
      </x:c>
      <x:c r="AH4" s="3"/>
      <x:c r="AI4" s="3" t="s">
        <x:v>135</x:v>
      </x:c>
      <x:c r="AJ4" s="3" t="s">
        <x:v>135</x:v>
      </x:c>
      <x:c r="AK4" s="3" t="n">
        <x:v>120</x:v>
      </x:c>
      <x:c r="AL4" s="3" t="n">
        <x:v>0</x:v>
      </x:c>
      <x:c r="AM4" s="8" t="n">
        <x:v>0.5083</x:v>
      </x:c>
      <x:c r="AN4" s="3" t="n">
        <x:v>2</x:v>
      </x:c>
      <x:c r="AO4" s="3" t="s">
        <x:v>14</x:v>
      </x:c>
      <x:c r="AP4" s="3" t="s">
        <x:v>163</x:v>
      </x:c>
      <x:c r="AQ4" s="3" t="s">
        <x:v>164</x:v>
      </x:c>
      <x:c r="AR4" s="9" t="n">
        <x:v>769</x:v>
      </x:c>
      <x:c r="AS4" s="3" t="s">
        <x:v>121</x:v>
      </x:c>
      <x:c r="AT4" s="7" t="n">
        <x:v>46273.3541666667</x:v>
      </x:c>
    </x:row>
    <x:row r="5" ht="31.299999237060547" hidden="0">
      <x:c r="A5" s="3" t="s">
        <x:v>165</x:v>
      </x:c>
      <x:c r="B5" s="3" t="s">
        <x:v>166</x:v>
      </x:c>
      <x:c r="C5" s="3" t="s">
        <x:v>167</x:v>
      </x:c>
      <x:c r="D5" s="3" t="s">
        <x:v>168</x:v>
      </x:c>
      <x:c r="E5" s="3" t="s">
        <x:v>98</x:v>
      </x:c>
      <x:c r="F5" s="3" t="s">
        <x:v>169</x:v>
      </x:c>
      <x:c r="G5" s="3" t="s">
        <x:v>170</x:v>
      </x:c>
      <x:c r="H5" s="3" t="s">
        <x:v>101</x:v>
      </x:c>
      <x:c r="I5" s="3" t="s">
        <x:v>102</x:v>
      </x:c>
      <x:c r="J5" s="3" t="s">
        <x:v>103</x:v>
      </x:c>
      <x:c r="K5" s="3" t="s">
        <x:v>104</x:v>
      </x:c>
      <x:c r="L5" s="3" t="s">
        <x:v>171</x:v>
      </x:c>
      <x:c r="M5" s="3" t="s">
        <x:v>172</x:v>
      </x:c>
      <x:c r="N5" s="3" t="s">
        <x:v>173</x:v>
      </x:c>
      <x:c r="O5" s="3" t="s">
        <x:v>174</x:v>
      </x:c>
      <x:c r="P5" s="3" t="s">
        <x:v>175</x:v>
      </x:c>
      <x:c r="Q5" s="3"/>
      <x:c r="R5" s="3" t="s">
        <x:v>176</x:v>
      </x:c>
      <x:c r="S5" s="3" t="s">
        <x:v>135</x:v>
      </x:c>
      <x:c r="T5" s="3" t="s">
        <x:v>135</x:v>
      </x:c>
      <x:c r="U5" s="3" t="s">
        <x:v>177</x:v>
      </x:c>
      <x:c r="V5" s="3" t="s">
        <x:v>178</x:v>
      </x:c>
      <x:c r="W5" s="3" t="s">
        <x:v>179</x:v>
      </x:c>
      <x:c r="X5" s="3" t="s">
        <x:v>180</x:v>
      </x:c>
      <x:c r="Y5" s="3" t="s">
        <x:v>181</x:v>
      </x:c>
      <x:c r="Z5" s="3" t="s">
        <x:v>182</x:v>
      </x:c>
      <x:c r="AA5" s="3" t="s">
        <x:v>118</x:v>
      </x:c>
      <x:c r="AB5" s="7" t="n">
        <x:v>46273.3145833333</x:v>
      </x:c>
      <x:c r="AC5" s="7" t="n">
        <x:v>46273.31875</x:v>
      </x:c>
      <x:c r="AD5" s="7" t="n">
        <x:v>46273.3215277778</x:v>
      </x:c>
      <x:c r="AE5" s="7" t="n">
        <x:v>46273.3493055556</x:v>
      </x:c>
      <x:c r="AF5" s="7"/>
      <x:c r="AG5" s="3" t="n">
        <x:v>50</x:v>
      </x:c>
      <x:c r="AH5" s="3"/>
      <x:c r="AI5" s="3" t="s">
        <x:v>135</x:v>
      </x:c>
      <x:c r="AJ5" s="3" t="s">
        <x:v>135</x:v>
      </x:c>
      <x:c r="AK5" s="3" t="n">
        <x:v>180</x:v>
      </x:c>
      <x:c r="AL5" s="3" t="n">
        <x:v>0</x:v>
      </x:c>
      <x:c r="AM5" s="8" t="n">
        <x:v>0.3167</x:v>
      </x:c>
      <x:c r="AN5" s="3" t="n">
        <x:v>3</x:v>
      </x:c>
      <x:c r="AO5" s="3" t="s">
        <x:v>14</x:v>
      </x:c>
      <x:c r="AP5" s="3" t="s">
        <x:v>183</x:v>
      </x:c>
      <x:c r="AQ5" s="3" t="s">
        <x:v>184</x:v>
      </x:c>
      <x:c r="AR5" s="9" t="n">
        <x:v>1594</x:v>
      </x:c>
      <x:c r="AS5" s="3" t="s">
        <x:v>185</x:v>
      </x:c>
      <x:c r="AT5" s="7" t="n">
        <x:v>46273.3541666667</x:v>
      </x:c>
    </x:row>
    <x:row r="6" ht="31.299999237060547" hidden="0">
      <x:c r="A6" s="3" t="s">
        <x:v>186</x:v>
      </x:c>
      <x:c r="B6" s="3" t="s">
        <x:v>187</x:v>
      </x:c>
      <x:c r="C6" s="3" t="s">
        <x:v>188</x:v>
      </x:c>
      <x:c r="D6" s="3" t="s">
        <x:v>189</x:v>
      </x:c>
      <x:c r="E6" s="3" t="s">
        <x:v>98</x:v>
      </x:c>
      <x:c r="F6" s="3" t="s">
        <x:v>99</x:v>
      </x:c>
      <x:c r="G6" s="3" t="s">
        <x:v>190</x:v>
      </x:c>
      <x:c r="H6" s="3" t="s">
        <x:v>101</x:v>
      </x:c>
      <x:c r="I6" s="3" t="s">
        <x:v>102</x:v>
      </x:c>
      <x:c r="J6" s="3" t="s">
        <x:v>103</x:v>
      </x:c>
      <x:c r="K6" s="3" t="s">
        <x:v>104</x:v>
      </x:c>
      <x:c r="L6" s="3" t="s">
        <x:v>191</x:v>
      </x:c>
      <x:c r="M6" s="3" t="s">
        <x:v>192</x:v>
      </x:c>
      <x:c r="N6" s="3" t="s">
        <x:v>193</x:v>
      </x:c>
      <x:c r="O6" s="3" t="s">
        <x:v>194</x:v>
      </x:c>
      <x:c r="P6" s="3" t="s">
        <x:v>195</x:v>
      </x:c>
      <x:c r="Q6" s="3"/>
      <x:c r="R6" s="3" t="s">
        <x:v>196</x:v>
      </x:c>
      <x:c r="S6" s="3" t="s">
        <x:v>111</x:v>
      </x:c>
      <x:c r="T6" s="3" t="s">
        <x:v>111</x:v>
      </x:c>
      <x:c r="U6" s="3" t="s">
        <x:v>197</x:v>
      </x:c>
      <x:c r="V6" s="3" t="s">
        <x:v>198</x:v>
      </x:c>
      <x:c r="W6" s="3" t="s">
        <x:v>199</x:v>
      </x:c>
      <x:c r="X6" s="3" t="s">
        <x:v>115</x:v>
      </x:c>
      <x:c r="Y6" s="3" t="s">
        <x:v>200</x:v>
      </x:c>
      <x:c r="Z6" s="3" t="s">
        <x:v>201</x:v>
      </x:c>
      <x:c r="AA6" s="3" t="s">
        <x:v>118</x:v>
      </x:c>
      <x:c r="AB6" s="7" t="n">
        <x:v>46273.3180555556</x:v>
      </x:c>
      <x:c r="AC6" s="7" t="n">
        <x:v>46273.3194444444</x:v>
      </x:c>
      <x:c r="AD6" s="7" t="n">
        <x:v>46273.3236111111</x:v>
      </x:c>
      <x:c r="AE6" s="7" t="n">
        <x:v>46273.3319444444</x:v>
      </x:c>
      <x:c r="AF6" s="7"/>
      <x:c r="AG6" s="3" t="n">
        <x:v>20</x:v>
      </x:c>
      <x:c r="AH6" s="3"/>
      <x:c r="AI6" s="3" t="s">
        <x:v>135</x:v>
      </x:c>
      <x:c r="AJ6" s="3" t="s">
        <x:v>111</x:v>
      </x:c>
      <x:c r="AK6" s="3" t="n">
        <x:v>45</x:v>
      </x:c>
      <x:c r="AL6" s="3" t="n">
        <x:v>0</x:v>
      </x:c>
      <x:c r="AM6" s="8" t="n">
        <x:v>1.1556</x:v>
      </x:c>
      <x:c r="AN6" s="3" t="n">
        <x:v>1</x:v>
      </x:c>
      <x:c r="AO6" s="3" t="s">
        <x:v>24</x:v>
      </x:c>
      <x:c r="AP6" s="3" t="s">
        <x:v>253</x:v>
      </x:c>
      <x:c r="AQ6" s="3" t="s">
        <x:v>203</x:v>
      </x:c>
      <x:c r="AR6" s="9" t="n">
        <x:v>1259</x:v>
      </x:c>
      <x:c r="AS6" s="3" t="s">
        <x:v>185</x:v>
      </x:c>
      <x:c r="AT6" s="7" t="n">
        <x:v>46273.3541666667</x:v>
      </x:c>
    </x:row>
    <x:row r="7" ht="31.299999237060547" hidden="0">
      <x:c r="A7" s="3" t="s">
        <x:v>204</x:v>
      </x:c>
      <x:c r="B7" s="3" t="s">
        <x:v>205</x:v>
      </x:c>
      <x:c r="C7" s="3" t="s">
        <x:v>206</x:v>
      </x:c>
      <x:c r="D7" s="3" t="s">
        <x:v>207</x:v>
      </x:c>
      <x:c r="E7" s="3" t="s">
        <x:v>249</x:v>
      </x:c>
      <x:c r="F7" s="3" t="s">
        <x:v>127</x:v>
      </x:c>
      <x:c r="G7" s="3" t="s">
        <x:v>208</x:v>
      </x:c>
      <x:c r="H7" s="3" t="s">
        <x:v>101</x:v>
      </x:c>
      <x:c r="I7" s="3" t="s">
        <x:v>102</x:v>
      </x:c>
      <x:c r="J7" s="3" t="s">
        <x:v>103</x:v>
      </x:c>
      <x:c r="K7" s="3" t="s">
        <x:v>104</x:v>
      </x:c>
      <x:c r="L7" s="3" t="s">
        <x:v>209</x:v>
      </x:c>
      <x:c r="M7" s="3" t="s">
        <x:v>210</x:v>
      </x:c>
      <x:c r="N7" s="3" t="s">
        <x:v>211</x:v>
      </x:c>
      <x:c r="O7" s="3" t="s">
        <x:v>212</x:v>
      </x:c>
      <x:c r="P7" s="3" t="s">
        <x:v>213</x:v>
      </x:c>
      <x:c r="Q7" s="3" t="s">
        <x:v>254</x:v>
      </x:c>
      <x:c r="R7" s="3" t="s">
        <x:v>214</x:v>
      </x:c>
      <x:c r="S7" s="3" t="s">
        <x:v>135</x:v>
      </x:c>
      <x:c r="T7" s="3" t="s">
        <x:v>111</x:v>
      </x:c>
      <x:c r="U7" s="3" t="s">
        <x:v>215</x:v>
      </x:c>
      <x:c r="V7" s="3" t="s">
        <x:v>216</x:v>
      </x:c>
      <x:c r="W7" s="3" t="s">
        <x:v>217</x:v>
      </x:c>
      <x:c r="X7" s="3" t="s">
        <x:v>139</x:v>
      </x:c>
      <x:c r="Y7" s="3" t="s">
        <x:v>218</x:v>
      </x:c>
      <x:c r="Z7" s="3" t="s">
        <x:v>219</x:v>
      </x:c>
      <x:c r="AA7" s="3" t="s">
        <x:v>118</x:v>
      </x:c>
      <x:c r="AB7" s="7" t="n">
        <x:v>46273.3215277778</x:v>
      </x:c>
      <x:c r="AC7" s="7" t="n">
        <x:v>46273.3236111111</x:v>
      </x:c>
      <x:c r="AD7" s="7" t="n">
        <x:v>46273.325</x:v>
      </x:c>
      <x:c r="AE7" s="7" t="n">
        <x:v>46273.3388888889</x:v>
      </x:c>
      <x:c r="AF7" s="7" t="n">
        <x:v>46273.3569444444</x:v>
      </x:c>
      <x:c r="AG7" s="3" t="n">
        <x:v>25</x:v>
      </x:c>
      <x:c r="AH7" s="3" t="n">
        <x:v>21</x:v>
      </x:c>
      <x:c r="AI7" s="3" t="s">
        <x:v>135</x:v>
      </x:c>
      <x:c r="AJ7" s="3" t="s">
        <x:v>135</x:v>
      </x:c>
      <x:c r="AK7" s="3" t="n">
        <x:v>120</x:v>
      </x:c>
      <x:c r="AL7" s="3" t="n">
        <x:v>0</x:v>
      </x:c>
      <x:c r="AM7" s="8" t="n">
        <x:v>0.3833</x:v>
      </x:c>
      <x:c r="AN7" s="3" t="n">
        <x:v>0</x:v>
      </x:c>
      <x:c r="AO7" s="3" t="s">
        <x:v>9</x:v>
      </x:c>
      <x:c r="AP7" s="3" t="s">
        <x:v>142</x:v>
      </x:c>
      <x:c r="AQ7" s="3" t="s">
        <x:v>220</x:v>
      </x:c>
      <x:c r="AR7" s="9" t="n">
        <x:v>507</x:v>
      </x:c>
      <x:c r="AS7" s="3" t="s">
        <x:v>144</x:v>
      </x:c>
      <x:c r="AT7" s="7" t="n">
        <x:v>46273.3541666667</x:v>
      </x:c>
    </x:row>
    <x:row r="8" ht="31.299999237060547" hidden="0">
      <x:c r="A8" s="3" t="s">
        <x:v>221</x:v>
      </x:c>
      <x:c r="B8" s="3" t="s">
        <x:v>222</x:v>
      </x:c>
      <x:c r="C8" s="3" t="s">
        <x:v>223</x:v>
      </x:c>
      <x:c r="D8" s="3" t="s">
        <x:v>224</x:v>
      </x:c>
      <x:c r="E8" s="3" t="s">
        <x:v>98</x:v>
      </x:c>
      <x:c r="F8" s="3" t="s">
        <x:v>149</x:v>
      </x:c>
      <x:c r="G8" s="3" t="s">
        <x:v>225</x:v>
      </x:c>
      <x:c r="H8" s="3" t="s">
        <x:v>101</x:v>
      </x:c>
      <x:c r="I8" s="3" t="s">
        <x:v>102</x:v>
      </x:c>
      <x:c r="J8" s="3" t="s">
        <x:v>103</x:v>
      </x:c>
      <x:c r="K8" s="3" t="s">
        <x:v>104</x:v>
      </x:c>
      <x:c r="L8" s="3" t="s">
        <x:v>226</x:v>
      </x:c>
      <x:c r="M8" s="3" t="s">
        <x:v>227</x:v>
      </x:c>
      <x:c r="N8" s="3" t="s">
        <x:v>228</x:v>
      </x:c>
      <x:c r="O8" s="3" t="s">
        <x:v>229</x:v>
      </x:c>
      <x:c r="P8" s="3" t="s">
        <x:v>230</x:v>
      </x:c>
      <x:c r="Q8" s="3"/>
      <x:c r="R8" s="3" t="s">
        <x:v>110</x:v>
      </x:c>
      <x:c r="S8" s="3" t="s">
        <x:v>111</x:v>
      </x:c>
      <x:c r="T8" s="3" t="s">
        <x:v>111</x:v>
      </x:c>
      <x:c r="U8" s="3" t="s">
        <x:v>112</x:v>
      </x:c>
      <x:c r="V8" s="3" t="s">
        <x:v>113</x:v>
      </x:c>
      <x:c r="W8" s="3" t="s">
        <x:v>114</x:v>
      </x:c>
      <x:c r="X8" s="3" t="s">
        <x:v>160</x:v>
      </x:c>
      <x:c r="Y8" s="3" t="s">
        <x:v>116</x:v>
      </x:c>
      <x:c r="Z8" s="3" t="s">
        <x:v>117</x:v>
      </x:c>
      <x:c r="AA8" s="3" t="s">
        <x:v>118</x:v>
      </x:c>
      <x:c r="AB8" s="7" t="n">
        <x:v>46273.3243055556</x:v>
      </x:c>
      <x:c r="AC8" s="7" t="n">
        <x:v>46273.3270833333</x:v>
      </x:c>
      <x:c r="AD8" s="7" t="n">
        <x:v>46273.3298611111</x:v>
      </x:c>
      <x:c r="AE8" s="7" t="n">
        <x:v>46273.3486111111</x:v>
      </x:c>
      <x:c r="AF8" s="7"/>
      <x:c r="AG8" s="3" t="n">
        <x:v>35</x:v>
      </x:c>
      <x:c r="AH8" s="3"/>
      <x:c r="AI8" s="3" t="s">
        <x:v>135</x:v>
      </x:c>
      <x:c r="AJ8" s="3" t="s">
        <x:v>135</x:v>
      </x:c>
      <x:c r="AK8" s="3" t="n">
        <x:v>60</x:v>
      </x:c>
      <x:c r="AL8" s="3" t="n">
        <x:v>0</x:v>
      </x:c>
      <x:c r="AM8" s="8" t="n">
        <x:v>0.7167</x:v>
      </x:c>
      <x:c r="AN8" s="3" t="n">
        <x:v>2</x:v>
      </x:c>
      <x:c r="AO8" s="3" t="s">
        <x:v>14</x:v>
      </x:c>
      <x:c r="AP8" s="3" t="s">
        <x:v>255</x:v>
      </x:c>
      <x:c r="AQ8" s="3" t="s">
        <x:v>231</x:v>
      </x:c>
      <x:c r="AR8" s="9" t="n">
        <x:v>612</x:v>
      </x:c>
      <x:c r="AS8" s="3" t="s">
        <x:v>144</x:v>
      </x:c>
      <x:c r="AT8" s="7" t="n">
        <x:v>46273.3541666667</x:v>
      </x:c>
    </x:row>
    <x:row r="9" ht="31.299999237060547" hidden="0">
      <x:c r="A9" s="3" t="s">
        <x:v>232</x:v>
      </x:c>
      <x:c r="B9" s="3" t="s">
        <x:v>233</x:v>
      </x:c>
      <x:c r="C9" s="3" t="s">
        <x:v>234</x:v>
      </x:c>
      <x:c r="D9" s="3" t="s">
        <x:v>235</x:v>
      </x:c>
      <x:c r="E9" s="3" t="s">
        <x:v>126</x:v>
      </x:c>
      <x:c r="F9" s="3" t="s">
        <x:v>169</x:v>
      </x:c>
      <x:c r="G9" s="3" t="s">
        <x:v>236</x:v>
      </x:c>
      <x:c r="H9" s="3" t="s">
        <x:v>101</x:v>
      </x:c>
      <x:c r="I9" s="3" t="s">
        <x:v>102</x:v>
      </x:c>
      <x:c r="J9" s="3" t="s">
        <x:v>103</x:v>
      </x:c>
      <x:c r="K9" s="3" t="s">
        <x:v>104</x:v>
      </x:c>
      <x:c r="L9" s="3" t="s">
        <x:v>237</x:v>
      </x:c>
      <x:c r="M9" s="3" t="s">
        <x:v>172</x:v>
      </x:c>
      <x:c r="N9" s="3" t="s">
        <x:v>238</x:v>
      </x:c>
      <x:c r="O9" s="3" t="s">
        <x:v>239</x:v>
      </x:c>
      <x:c r="P9" s="3" t="s">
        <x:v>240</x:v>
      </x:c>
      <x:c r="Q9" s="3"/>
      <x:c r="R9" s="3" t="s">
        <x:v>134</x:v>
      </x:c>
      <x:c r="S9" s="3" t="s">
        <x:v>135</x:v>
      </x:c>
      <x:c r="T9" s="3" t="s">
        <x:v>111</x:v>
      </x:c>
      <x:c r="U9" s="3" t="s">
        <x:v>136</x:v>
      </x:c>
      <x:c r="V9" s="3" t="s">
        <x:v>137</x:v>
      </x:c>
      <x:c r="W9" s="3" t="s">
        <x:v>138</x:v>
      </x:c>
      <x:c r="X9" s="3" t="s">
        <x:v>180</x:v>
      </x:c>
      <x:c r="Y9" s="3" t="s">
        <x:v>140</x:v>
      </x:c>
      <x:c r="Z9" s="3" t="s">
        <x:v>141</x:v>
      </x:c>
      <x:c r="AA9" s="3" t="s">
        <x:v>118</x:v>
      </x:c>
      <x:c r="AB9" s="7" t="n">
        <x:v>46273.3270833333</x:v>
      </x:c>
      <x:c r="AC9" s="7" t="n">
        <x:v>46273.3305555556</x:v>
      </x:c>
      <x:c r="AD9" s="7" t="n">
        <x:v>46273.3347222222</x:v>
      </x:c>
      <x:c r="AE9" s="7"/>
      <x:c r="AF9" s="7"/>
      <x:c r="AG9" s="3"/>
      <x:c r="AH9" s="3"/>
      <x:c r="AI9" s="3" t="s">
        <x:v>135</x:v>
      </x:c>
      <x:c r="AJ9" s="3" t="s">
        <x:v>111</x:v>
      </x:c>
      <x:c r="AK9" s="3" t="n">
        <x:v>90</x:v>
      </x:c>
      <x:c r="AL9" s="3" t="n">
        <x:v>6</x:v>
      </x:c>
      <x:c r="AM9" s="8" t="n">
        <x:v>0.4333</x:v>
      </x:c>
      <x:c r="AN9" s="3" t="n">
        <x:v>4</x:v>
      </x:c>
      <x:c r="AO9" s="3" t="s">
        <x:v>14</x:v>
      </x:c>
      <x:c r="AP9" s="3" t="s">
        <x:v>241</x:v>
      </x:c>
      <x:c r="AQ9" s="3" t="s">
        <x:v>242</x:v>
      </x:c>
      <x:c r="AR9" s="9" t="n">
        <x:v>1437</x:v>
      </x:c>
      <x:c r="AS9" s="3" t="s">
        <x:v>185</x:v>
      </x:c>
      <x:c r="AT9" s="7" t="n">
        <x:v>46273.3541666667</x:v>
      </x:c>
    </x:row>
    <x:row r="10" ht="31.299999237060547" hidden="0">
      <x:c r="A10" s="3" t="s">
        <x:v>243</x:v>
      </x:c>
      <x:c r="B10" s="3" t="s">
        <x:v>83</x:v>
      </x:c>
      <x:c r="C10" s="3" t="s">
        <x:v>96</x:v>
      </x:c>
      <x:c r="D10" s="3" t="s">
        <x:v>97</x:v>
      </x:c>
      <x:c r="E10" s="3" t="s">
        <x:v>126</x:v>
      </x:c>
      <x:c r="F10" s="3" t="s">
        <x:v>99</x:v>
      </x:c>
      <x:c r="G10" s="3" t="s">
        <x:v>245</x:v>
      </x:c>
      <x:c r="H10" s="3" t="s">
        <x:v>101</x:v>
      </x:c>
      <x:c r="I10" s="3" t="s">
        <x:v>102</x:v>
      </x:c>
      <x:c r="J10" s="3" t="s">
        <x:v>103</x:v>
      </x:c>
      <x:c r="K10" s="3" t="s">
        <x:v>104</x:v>
      </x:c>
      <x:c r="L10" s="3" t="s">
        <x:v>105</x:v>
      </x:c>
      <x:c r="M10" s="3" t="s">
        <x:v>106</x:v>
      </x:c>
      <x:c r="N10" s="3" t="s">
        <x:v>107</x:v>
      </x:c>
      <x:c r="O10" s="3" t="s">
        <x:v>108</x:v>
      </x:c>
      <x:c r="P10" s="3" t="s">
        <x:v>109</x:v>
      </x:c>
      <x:c r="Q10" s="3"/>
      <x:c r="R10" s="3" t="s">
        <x:v>156</x:v>
      </x:c>
      <x:c r="S10" s="3" t="s">
        <x:v>135</x:v>
      </x:c>
      <x:c r="T10" s="3" t="s">
        <x:v>111</x:v>
      </x:c>
      <x:c r="U10" s="3" t="s">
        <x:v>157</x:v>
      </x:c>
      <x:c r="V10" s="3" t="s">
        <x:v>158</x:v>
      </x:c>
      <x:c r="W10" s="3" t="s">
        <x:v>159</x:v>
      </x:c>
      <x:c r="X10" s="3" t="s">
        <x:v>115</x:v>
      </x:c>
      <x:c r="Y10" s="3" t="s">
        <x:v>161</x:v>
      </x:c>
      <x:c r="Z10" s="3" t="s">
        <x:v>162</x:v>
      </x:c>
      <x:c r="AA10" s="3" t="s">
        <x:v>118</x:v>
      </x:c>
      <x:c r="AB10" s="7" t="n">
        <x:v>46273.3298611111</x:v>
      </x:c>
      <x:c r="AC10" s="7" t="n">
        <x:v>46273.3340277778</x:v>
      </x:c>
      <x:c r="AD10" s="7" t="n">
        <x:v>46273.3354166667</x:v>
      </x:c>
      <x:c r="AE10" s="7"/>
      <x:c r="AF10" s="7"/>
      <x:c r="AG10" s="3"/>
      <x:c r="AH10" s="3"/>
      <x:c r="AI10" s="3" t="s">
        <x:v>111</x:v>
      </x:c>
      <x:c r="AJ10" s="3" t="s">
        <x:v>111</x:v>
      </x:c>
      <x:c r="AK10" s="3" t="n">
        <x:v>120</x:v>
      </x:c>
      <x:c r="AL10" s="3" t="n">
        <x:v>9</x:v>
      </x:c>
      <x:c r="AM10" s="8" t="n">
        <x:v>0.2917</x:v>
      </x:c>
      <x:c r="AN10" s="3" t="n">
        <x:v>0</x:v>
      </x:c>
      <x:c r="AO10" s="3" t="s">
        <x:v>14</x:v>
      </x:c>
      <x:c r="AP10" s="3" t="s">
        <x:v>246</x:v>
      </x:c>
      <x:c r="AQ10" s="3" t="s">
        <x:v>120</x:v>
      </x:c>
      <x:c r="AR10" s="9" t="n">
        <x:v>970</x:v>
      </x:c>
      <x:c r="AS10" s="3" t="s">
        <x:v>121</x:v>
      </x:c>
      <x:c r="AT10" s="7" t="n">
        <x:v>46273.3541666667</x:v>
      </x:c>
    </x:row>
    <x:row r="11" ht="31.299999237060547" hidden="0">
      <x:c r="A11" s="3" t="s">
        <x:v>247</x:v>
      </x:c>
      <x:c r="B11" s="3" t="s">
        <x:v>123</x:v>
      </x:c>
      <x:c r="C11" s="3" t="s">
        <x:v>124</x:v>
      </x:c>
      <x:c r="D11" s="3" t="s">
        <x:v>125</x:v>
      </x:c>
      <x:c r="E11" s="3" t="s">
        <x:v>98</x:v>
      </x:c>
      <x:c r="F11" s="3" t="s">
        <x:v>127</x:v>
      </x:c>
      <x:c r="G11" s="3" t="s">
        <x:v>248</x:v>
      </x:c>
      <x:c r="H11" s="3" t="s">
        <x:v>101</x:v>
      </x:c>
      <x:c r="I11" s="3" t="s">
        <x:v>102</x:v>
      </x:c>
      <x:c r="J11" s="3" t="s">
        <x:v>103</x:v>
      </x:c>
      <x:c r="K11" s="3" t="s">
        <x:v>104</x:v>
      </x:c>
      <x:c r="L11" s="3" t="s">
        <x:v>129</x:v>
      </x:c>
      <x:c r="M11" s="3" t="s">
        <x:v>130</x:v>
      </x:c>
      <x:c r="N11" s="3" t="s">
        <x:v>131</x:v>
      </x:c>
      <x:c r="O11" s="3" t="s">
        <x:v>132</x:v>
      </x:c>
      <x:c r="P11" s="3" t="s">
        <x:v>133</x:v>
      </x:c>
      <x:c r="Q11" s="3"/>
      <x:c r="R11" s="3" t="s">
        <x:v>176</x:v>
      </x:c>
      <x:c r="S11" s="3" t="s">
        <x:v>135</x:v>
      </x:c>
      <x:c r="T11" s="3" t="s">
        <x:v>135</x:v>
      </x:c>
      <x:c r="U11" s="3" t="s">
        <x:v>177</x:v>
      </x:c>
      <x:c r="V11" s="3" t="s">
        <x:v>178</x:v>
      </x:c>
      <x:c r="W11" s="3" t="s">
        <x:v>179</x:v>
      </x:c>
      <x:c r="X11" s="3" t="s">
        <x:v>139</x:v>
      </x:c>
      <x:c r="Y11" s="3" t="s">
        <x:v>181</x:v>
      </x:c>
      <x:c r="Z11" s="3" t="s">
        <x:v>182</x:v>
      </x:c>
      <x:c r="AA11" s="3" t="s">
        <x:v>118</x:v>
      </x:c>
      <x:c r="AB11" s="7" t="n">
        <x:v>46273.3326388889</x:v>
      </x:c>
      <x:c r="AC11" s="7" t="n">
        <x:v>46273.3340277778</x:v>
      </x:c>
      <x:c r="AD11" s="7" t="n">
        <x:v>46273.3368055556</x:v>
      </x:c>
      <x:c r="AE11" s="7" t="n">
        <x:v>46273.3465277778</x:v>
      </x:c>
      <x:c r="AF11" s="7"/>
      <x:c r="AG11" s="3" t="n">
        <x:v>20</x:v>
      </x:c>
      <x:c r="AH11" s="3"/>
      <x:c r="AI11" s="3" t="s">
        <x:v>135</x:v>
      </x:c>
      <x:c r="AJ11" s="3" t="s">
        <x:v>135</x:v>
      </x:c>
      <x:c r="AK11" s="3" t="n">
        <x:v>180</x:v>
      </x:c>
      <x:c r="AL11" s="3" t="n">
        <x:v>0</x:v>
      </x:c>
      <x:c r="AM11" s="8" t="n">
        <x:v>0.1722</x:v>
      </x:c>
      <x:c r="AN11" s="3" t="n">
        <x:v>1</x:v>
      </x:c>
      <x:c r="AO11" s="3" t="s">
        <x:v>9</x:v>
      </x:c>
      <x:c r="AP11" s="3" t="s">
        <x:v>142</x:v>
      </x:c>
      <x:c r="AQ11" s="3" t="s">
        <x:v>143</x:v>
      </x:c>
      <x:c r="AR11" s="9" t="n">
        <x:v>791</x:v>
      </x:c>
      <x:c r="AS11" s="3" t="s">
        <x:v>121</x:v>
      </x:c>
      <x:c r="AT11" s="7" t="n">
        <x:v>46273.3541666667</x:v>
      </x:c>
    </x:row>
    <x:row r="12" ht="31.299999237060547" hidden="0">
      <x:c r="A12" s="3" t="s">
        <x:v>256</x:v>
      </x:c>
      <x:c r="B12" s="3" t="s">
        <x:v>146</x:v>
      </x:c>
      <x:c r="C12" s="3" t="s">
        <x:v>147</x:v>
      </x:c>
      <x:c r="D12" s="3" t="s">
        <x:v>148</x:v>
      </x:c>
      <x:c r="E12" s="3" t="s">
        <x:v>98</x:v>
      </x:c>
      <x:c r="F12" s="3" t="s">
        <x:v>149</x:v>
      </x:c>
      <x:c r="G12" s="3" t="s">
        <x:v>257</x:v>
      </x:c>
      <x:c r="H12" s="3" t="s">
        <x:v>101</x:v>
      </x:c>
      <x:c r="I12" s="3" t="s">
        <x:v>102</x:v>
      </x:c>
      <x:c r="J12" s="3" t="s">
        <x:v>103</x:v>
      </x:c>
      <x:c r="K12" s="3" t="s">
        <x:v>104</x:v>
      </x:c>
      <x:c r="L12" s="3" t="s">
        <x:v>151</x:v>
      </x:c>
      <x:c r="M12" s="3" t="s">
        <x:v>152</x:v>
      </x:c>
      <x:c r="N12" s="3" t="s">
        <x:v>153</x:v>
      </x:c>
      <x:c r="O12" s="3" t="s">
        <x:v>154</x:v>
      </x:c>
      <x:c r="P12" s="3" t="s">
        <x:v>155</x:v>
      </x:c>
      <x:c r="Q12" s="3"/>
      <x:c r="R12" s="3" t="s">
        <x:v>196</x:v>
      </x:c>
      <x:c r="S12" s="3" t="s">
        <x:v>111</x:v>
      </x:c>
      <x:c r="T12" s="3" t="s">
        <x:v>111</x:v>
      </x:c>
      <x:c r="U12" s="3" t="s">
        <x:v>197</x:v>
      </x:c>
      <x:c r="V12" s="3" t="s">
        <x:v>198</x:v>
      </x:c>
      <x:c r="W12" s="3" t="s">
        <x:v>199</x:v>
      </x:c>
      <x:c r="X12" s="3" t="s">
        <x:v>160</x:v>
      </x:c>
      <x:c r="Y12" s="3" t="s">
        <x:v>200</x:v>
      </x:c>
      <x:c r="Z12" s="3" t="s">
        <x:v>201</x:v>
      </x:c>
      <x:c r="AA12" s="3" t="s">
        <x:v>118</x:v>
      </x:c>
      <x:c r="AB12" s="7" t="n">
        <x:v>46273.3354166667</x:v>
      </x:c>
      <x:c r="AC12" s="7" t="n">
        <x:v>46273.3375</x:v>
      </x:c>
      <x:c r="AD12" s="7" t="n">
        <x:v>46273.3416666667</x:v>
      </x:c>
      <x:c r="AE12" s="7" t="n">
        <x:v>46273.3534722222</x:v>
      </x:c>
      <x:c r="AF12" s="7"/>
      <x:c r="AG12" s="3" t="n">
        <x:v>26</x:v>
      </x:c>
      <x:c r="AH12" s="3"/>
      <x:c r="AI12" s="3" t="s">
        <x:v>135</x:v>
      </x:c>
      <x:c r="AJ12" s="3" t="s">
        <x:v>135</x:v>
      </x:c>
      <x:c r="AK12" s="3" t="n">
        <x:v>45</x:v>
      </x:c>
      <x:c r="AL12" s="3" t="n">
        <x:v>0</x:v>
      </x:c>
      <x:c r="AM12" s="8" t="n">
        <x:v>0.6</x:v>
      </x:c>
      <x:c r="AN12" s="3" t="n">
        <x:v>2</x:v>
      </x:c>
      <x:c r="AO12" s="3" t="s">
        <x:v>14</x:v>
      </x:c>
      <x:c r="AP12" s="3" t="s">
        <x:v>255</x:v>
      </x:c>
      <x:c r="AQ12" s="3" t="s">
        <x:v>164</x:v>
      </x:c>
      <x:c r="AR12" s="9" t="n">
        <x:v>880</x:v>
      </x:c>
      <x:c r="AS12" s="3" t="s">
        <x:v>121</x:v>
      </x:c>
      <x:c r="AT12" s="7" t="n">
        <x:v>46273.3541666667</x:v>
      </x:c>
    </x:row>
    <x:row r="13" ht="31.299999237060547" hidden="0">
      <x:c r="A13" s="3" t="s">
        <x:v>258</x:v>
      </x:c>
      <x:c r="B13" s="3" t="s">
        <x:v>166</x:v>
      </x:c>
      <x:c r="C13" s="3" t="s">
        <x:v>167</x:v>
      </x:c>
      <x:c r="D13" s="3" t="s">
        <x:v>168</x:v>
      </x:c>
      <x:c r="E13" s="3" t="s">
        <x:v>126</x:v>
      </x:c>
      <x:c r="F13" s="3" t="s">
        <x:v>169</x:v>
      </x:c>
      <x:c r="G13" s="3" t="s">
        <x:v>259</x:v>
      </x:c>
      <x:c r="H13" s="3" t="s">
        <x:v>101</x:v>
      </x:c>
      <x:c r="I13" s="3" t="s">
        <x:v>102</x:v>
      </x:c>
      <x:c r="J13" s="3" t="s">
        <x:v>103</x:v>
      </x:c>
      <x:c r="K13" s="3" t="s">
        <x:v>104</x:v>
      </x:c>
      <x:c r="L13" s="3" t="s">
        <x:v>171</x:v>
      </x:c>
      <x:c r="M13" s="3" t="s">
        <x:v>172</x:v>
      </x:c>
      <x:c r="N13" s="3" t="s">
        <x:v>173</x:v>
      </x:c>
      <x:c r="O13" s="3" t="s">
        <x:v>174</x:v>
      </x:c>
      <x:c r="P13" s="3" t="s">
        <x:v>175</x:v>
      </x:c>
      <x:c r="Q13" s="3"/>
      <x:c r="R13" s="3" t="s">
        <x:v>214</x:v>
      </x:c>
      <x:c r="S13" s="3" t="s">
        <x:v>135</x:v>
      </x:c>
      <x:c r="T13" s="3" t="s">
        <x:v>111</x:v>
      </x:c>
      <x:c r="U13" s="3" t="s">
        <x:v>215</x:v>
      </x:c>
      <x:c r="V13" s="3" t="s">
        <x:v>216</x:v>
      </x:c>
      <x:c r="W13" s="3" t="s">
        <x:v>217</x:v>
      </x:c>
      <x:c r="X13" s="3" t="s">
        <x:v>180</x:v>
      </x:c>
      <x:c r="Y13" s="3" t="s">
        <x:v>218</x:v>
      </x:c>
      <x:c r="Z13" s="3" t="s">
        <x:v>219</x:v>
      </x:c>
      <x:c r="AA13" s="3" t="s">
        <x:v>118</x:v>
      </x:c>
      <x:c r="AB13" s="7" t="n">
        <x:v>46273.3381944444</x:v>
      </x:c>
      <x:c r="AC13" s="7" t="n">
        <x:v>46273.3409722222</x:v>
      </x:c>
      <x:c r="AD13" s="7" t="n">
        <x:v>46273.3423611111</x:v>
      </x:c>
      <x:c r="AE13" s="7"/>
      <x:c r="AF13" s="7"/>
      <x:c r="AG13" s="3"/>
      <x:c r="AH13" s="3"/>
      <x:c r="AI13" s="3" t="s">
        <x:v>135</x:v>
      </x:c>
      <x:c r="AJ13" s="3" t="s">
        <x:v>135</x:v>
      </x:c>
      <x:c r="AK13" s="3" t="n">
        <x:v>120</x:v>
      </x:c>
      <x:c r="AL13" s="3" t="n">
        <x:v>11</x:v>
      </x:c>
      <x:c r="AM13" s="8" t="n">
        <x:v>0.1917</x:v>
      </x:c>
      <x:c r="AN13" s="3" t="n">
        <x:v>3</x:v>
      </x:c>
      <x:c r="AO13" s="3" t="s">
        <x:v>14</x:v>
      </x:c>
      <x:c r="AP13" s="3" t="s">
        <x:v>183</x:v>
      </x:c>
      <x:c r="AQ13" s="3" t="s">
        <x:v>184</x:v>
      </x:c>
      <x:c r="AR13" s="9" t="n">
        <x:v>1280</x:v>
      </x:c>
      <x:c r="AS13" s="3" t="s">
        <x:v>185</x:v>
      </x:c>
      <x:c r="AT13" s="7" t="n">
        <x:v>46273.3541666667</x:v>
      </x:c>
    </x:row>
    <x:row r="14" ht="31.299999237060547" hidden="0">
      <x:c r="A14" s="3" t="s">
        <x:v>260</x:v>
      </x:c>
      <x:c r="B14" s="3" t="s">
        <x:v>187</x:v>
      </x:c>
      <x:c r="C14" s="3" t="s">
        <x:v>188</x:v>
      </x:c>
      <x:c r="D14" s="3" t="s">
        <x:v>189</x:v>
      </x:c>
      <x:c r="E14" s="3" t="s">
        <x:v>126</x:v>
      </x:c>
      <x:c r="F14" s="3" t="s">
        <x:v>99</x:v>
      </x:c>
      <x:c r="G14" s="3" t="s">
        <x:v>261</x:v>
      </x:c>
      <x:c r="H14" s="3" t="s">
        <x:v>101</x:v>
      </x:c>
      <x:c r="I14" s="3" t="s">
        <x:v>102</x:v>
      </x:c>
      <x:c r="J14" s="3" t="s">
        <x:v>103</x:v>
      </x:c>
      <x:c r="K14" s="3" t="s">
        <x:v>104</x:v>
      </x:c>
      <x:c r="L14" s="3" t="s">
        <x:v>191</x:v>
      </x:c>
      <x:c r="M14" s="3" t="s">
        <x:v>192</x:v>
      </x:c>
      <x:c r="N14" s="3" t="s">
        <x:v>193</x:v>
      </x:c>
      <x:c r="O14" s="3" t="s">
        <x:v>194</x:v>
      </x:c>
      <x:c r="P14" s="3" t="s">
        <x:v>195</x:v>
      </x:c>
      <x:c r="Q14" s="3"/>
      <x:c r="R14" s="3" t="s">
        <x:v>110</x:v>
      </x:c>
      <x:c r="S14" s="3" t="s">
        <x:v>111</x:v>
      </x:c>
      <x:c r="T14" s="3" t="s">
        <x:v>111</x:v>
      </x:c>
      <x:c r="U14" s="3" t="s">
        <x:v>112</x:v>
      </x:c>
      <x:c r="V14" s="3" t="s">
        <x:v>113</x:v>
      </x:c>
      <x:c r="W14" s="3" t="s">
        <x:v>114</x:v>
      </x:c>
      <x:c r="X14" s="3" t="s">
        <x:v>115</x:v>
      </x:c>
      <x:c r="Y14" s="3" t="s">
        <x:v>116</x:v>
      </x:c>
      <x:c r="Z14" s="3" t="s">
        <x:v>117</x:v>
      </x:c>
      <x:c r="AA14" s="3" t="s">
        <x:v>118</x:v>
      </x:c>
      <x:c r="AB14" s="7" t="n">
        <x:v>46273.3416666667</x:v>
      </x:c>
      <x:c r="AC14" s="7" t="n">
        <x:v>46273.3451388889</x:v>
      </x:c>
      <x:c r="AD14" s="7" t="n">
        <x:v>46273.3479166667</x:v>
      </x:c>
      <x:c r="AE14" s="7"/>
      <x:c r="AF14" s="7"/>
      <x:c r="AG14" s="3"/>
      <x:c r="AH14" s="3"/>
      <x:c r="AI14" s="3" t="s">
        <x:v>135</x:v>
      </x:c>
      <x:c r="AJ14" s="3" t="s">
        <x:v>111</x:v>
      </x:c>
      <x:c r="AK14" s="3" t="n">
        <x:v>60</x:v>
      </x:c>
      <x:c r="AL14" s="3" t="n">
        <x:v>26</x:v>
      </x:c>
      <x:c r="AM14" s="8" t="n">
        <x:v>0.3</x:v>
      </x:c>
      <x:c r="AN14" s="3" t="n">
        <x:v>1</x:v>
      </x:c>
      <x:c r="AO14" s="3" t="s">
        <x:v>14</x:v>
      </x:c>
      <x:c r="AP14" s="3" t="s">
        <x:v>202</x:v>
      </x:c>
      <x:c r="AQ14" s="3" t="s">
        <x:v>203</x:v>
      </x:c>
      <x:c r="AR14" s="9" t="n">
        <x:v>1085</x:v>
      </x:c>
      <x:c r="AS14" s="3" t="s">
        <x:v>121</x:v>
      </x:c>
      <x:c r="AT14" s="7" t="n">
        <x:v>46273.3541666667</x:v>
      </x:c>
    </x:row>
    <x:row r="15" ht="31.299999237060547" hidden="0">
      <x:c r="A15" s="3" t="s">
        <x:v>262</x:v>
      </x:c>
      <x:c r="B15" s="3" t="s">
        <x:v>205</x:v>
      </x:c>
      <x:c r="C15" s="3" t="s">
        <x:v>206</x:v>
      </x:c>
      <x:c r="D15" s="3" t="s">
        <x:v>207</x:v>
      </x:c>
      <x:c r="E15" s="3" t="s">
        <x:v>126</x:v>
      </x:c>
      <x:c r="F15" s="3" t="s">
        <x:v>127</x:v>
      </x:c>
      <x:c r="G15" s="3" t="s">
        <x:v>263</x:v>
      </x:c>
      <x:c r="H15" s="3" t="s">
        <x:v>101</x:v>
      </x:c>
      <x:c r="I15" s="3" t="s">
        <x:v>102</x:v>
      </x:c>
      <x:c r="J15" s="3" t="s">
        <x:v>103</x:v>
      </x:c>
      <x:c r="K15" s="3" t="s">
        <x:v>104</x:v>
      </x:c>
      <x:c r="L15" s="3" t="s">
        <x:v>209</x:v>
      </x:c>
      <x:c r="M15" s="3" t="s">
        <x:v>210</x:v>
      </x:c>
      <x:c r="N15" s="3" t="s">
        <x:v>211</x:v>
      </x:c>
      <x:c r="O15" s="3" t="s">
        <x:v>212</x:v>
      </x:c>
      <x:c r="P15" s="3" t="s">
        <x:v>213</x:v>
      </x:c>
      <x:c r="Q15" s="3"/>
      <x:c r="R15" s="3" t="s">
        <x:v>134</x:v>
      </x:c>
      <x:c r="S15" s="3" t="s">
        <x:v>135</x:v>
      </x:c>
      <x:c r="T15" s="3" t="s">
        <x:v>111</x:v>
      </x:c>
      <x:c r="U15" s="3" t="s">
        <x:v>136</x:v>
      </x:c>
      <x:c r="V15" s="3" t="s">
        <x:v>137</x:v>
      </x:c>
      <x:c r="W15" s="3" t="s">
        <x:v>138</x:v>
      </x:c>
      <x:c r="X15" s="3" t="s">
        <x:v>139</x:v>
      </x:c>
      <x:c r="Y15" s="3" t="s">
        <x:v>140</x:v>
      </x:c>
      <x:c r="Z15" s="3" t="s">
        <x:v>141</x:v>
      </x:c>
      <x:c r="AA15" s="3" t="s">
        <x:v>118</x:v>
      </x:c>
      <x:c r="AB15" s="7" t="n">
        <x:v>46273.3451388889</x:v>
      </x:c>
      <x:c r="AC15" s="7" t="n">
        <x:v>46273.3493055556</x:v>
      </x:c>
      <x:c r="AD15" s="7" t="n">
        <x:v>46273.3534722222</x:v>
      </x:c>
      <x:c r="AE15" s="7"/>
      <x:c r="AF15" s="7"/>
      <x:c r="AG15" s="3"/>
      <x:c r="AH15" s="3"/>
      <x:c r="AI15" s="3" t="s">
        <x:v>135</x:v>
      </x:c>
      <x:c r="AJ15" s="3" t="s">
        <x:v>135</x:v>
      </x:c>
      <x:c r="AK15" s="3" t="n">
        <x:v>90</x:v>
      </x:c>
      <x:c r="AL15" s="3" t="n">
        <x:v>41</x:v>
      </x:c>
      <x:c r="AM15" s="8" t="n">
        <x:v>0.1444</x:v>
      </x:c>
      <x:c r="AN15" s="3" t="n">
        <x:v>0</x:v>
      </x:c>
      <x:c r="AO15" s="3" t="s">
        <x:v>9</x:v>
      </x:c>
      <x:c r="AP15" s="3" t="s">
        <x:v>142</x:v>
      </x:c>
      <x:c r="AQ15" s="3" t="s">
        <x:v>220</x:v>
      </x:c>
      <x:c r="AR15" s="9" t="n">
        <x:v>770</x:v>
      </x:c>
      <x:c r="AS15" s="3" t="s">
        <x:v>121</x:v>
      </x:c>
      <x:c r="AT15" s="7" t="n">
        <x:v>46273.3541666667</x:v>
      </x:c>
    </x:row>
    <x:row r="16" ht="31.299999237060547" hidden="0">
      <x:c r="A16" s="3" t="s">
        <x:v>264</x:v>
      </x:c>
      <x:c r="B16" s="3" t="s">
        <x:v>222</x:v>
      </x:c>
      <x:c r="C16" s="3" t="s">
        <x:v>223</x:v>
      </x:c>
      <x:c r="D16" s="3" t="s">
        <x:v>224</x:v>
      </x:c>
      <x:c r="E16" s="3" t="s">
        <x:v>126</x:v>
      </x:c>
      <x:c r="F16" s="3" t="s">
        <x:v>149</x:v>
      </x:c>
      <x:c r="G16" s="3" t="s">
        <x:v>265</x:v>
      </x:c>
      <x:c r="H16" s="3" t="s">
        <x:v>101</x:v>
      </x:c>
      <x:c r="I16" s="3" t="s">
        <x:v>102</x:v>
      </x:c>
      <x:c r="J16" s="3" t="s">
        <x:v>103</x:v>
      </x:c>
      <x:c r="K16" s="3" t="s">
        <x:v>104</x:v>
      </x:c>
      <x:c r="L16" s="3" t="s">
        <x:v>226</x:v>
      </x:c>
      <x:c r="M16" s="3" t="s">
        <x:v>227</x:v>
      </x:c>
      <x:c r="N16" s="3" t="s">
        <x:v>228</x:v>
      </x:c>
      <x:c r="O16" s="3" t="s">
        <x:v>229</x:v>
      </x:c>
      <x:c r="P16" s="3" t="s">
        <x:v>230</x:v>
      </x:c>
      <x:c r="Q16" s="3"/>
      <x:c r="R16" s="3" t="s">
        <x:v>156</x:v>
      </x:c>
      <x:c r="S16" s="3" t="s">
        <x:v>135</x:v>
      </x:c>
      <x:c r="T16" s="3" t="s">
        <x:v>111</x:v>
      </x:c>
      <x:c r="U16" s="3" t="s">
        <x:v>157</x:v>
      </x:c>
      <x:c r="V16" s="3" t="s">
        <x:v>158</x:v>
      </x:c>
      <x:c r="W16" s="3" t="s">
        <x:v>159</x:v>
      </x:c>
      <x:c r="X16" s="3" t="s">
        <x:v>160</x:v>
      </x:c>
      <x:c r="Y16" s="3" t="s">
        <x:v>161</x:v>
      </x:c>
      <x:c r="Z16" s="3" t="s">
        <x:v>162</x:v>
      </x:c>
      <x:c r="AA16" s="3" t="s">
        <x:v>118</x:v>
      </x:c>
      <x:c r="AB16" s="7" t="n">
        <x:v>46273.3486111111</x:v>
      </x:c>
      <x:c r="AC16" s="7" t="n">
        <x:v>46273.35</x:v>
      </x:c>
      <x:c r="AD16" s="7" t="n">
        <x:v>46273.3513888889</x:v>
      </x:c>
      <x:c r="AE16" s="7"/>
      <x:c r="AF16" s="7"/>
      <x:c r="AG16" s="3"/>
      <x:c r="AH16" s="3"/>
      <x:c r="AI16" s="3" t="s">
        <x:v>135</x:v>
      </x:c>
      <x:c r="AJ16" s="3" t="s">
        <x:v>135</x:v>
      </x:c>
      <x:c r="AK16" s="3" t="n">
        <x:v>120</x:v>
      </x:c>
      <x:c r="AL16" s="3" t="n">
        <x:v>11</x:v>
      </x:c>
      <x:c r="AM16" s="8" t="n">
        <x:v>0.0667</x:v>
      </x:c>
      <x:c r="AN16" s="3" t="n">
        <x:v>2</x:v>
      </x:c>
      <x:c r="AO16" s="3" t="s">
        <x:v>14</x:v>
      </x:c>
      <x:c r="AP16" s="3" t="s">
        <x:v>163</x:v>
      </x:c>
      <x:c r="AQ16" s="3" t="s">
        <x:v>231</x:v>
      </x:c>
      <x:c r="AR16" s="9" t="n">
        <x:v>739</x:v>
      </x:c>
      <x:c r="AS16" s="3" t="s">
        <x:v>144</x:v>
      </x:c>
      <x:c r="AT16" s="7" t="n">
        <x:v>46273.3541666667</x:v>
      </x:c>
    </x:row>
    <x:row r="17" ht="31.299999237060547" hidden="0">
      <x:c r="A17" s="3" t="s">
        <x:v>266</x:v>
      </x:c>
      <x:c r="B17" s="3" t="s">
        <x:v>233</x:v>
      </x:c>
      <x:c r="C17" s="3" t="s">
        <x:v>234</x:v>
      </x:c>
      <x:c r="D17" s="3" t="s">
        <x:v>235</x:v>
      </x:c>
      <x:c r="E17" s="3" t="s">
        <x:v>77</x:v>
      </x:c>
      <x:c r="F17" s="3" t="s">
        <x:v>169</x:v>
      </x:c>
      <x:c r="G17" s="3" t="s">
        <x:v>267</x:v>
      </x:c>
      <x:c r="H17" s="3" t="s">
        <x:v>101</x:v>
      </x:c>
      <x:c r="I17" s="3" t="s">
        <x:v>102</x:v>
      </x:c>
      <x:c r="J17" s="3" t="s">
        <x:v>103</x:v>
      </x:c>
      <x:c r="K17" s="3" t="s">
        <x:v>104</x:v>
      </x:c>
      <x:c r="L17" s="3" t="s">
        <x:v>237</x:v>
      </x:c>
      <x:c r="M17" s="3" t="s">
        <x:v>172</x:v>
      </x:c>
      <x:c r="N17" s="3" t="s">
        <x:v>238</x:v>
      </x:c>
      <x:c r="O17" s="3" t="s">
        <x:v>239</x:v>
      </x:c>
      <x:c r="P17" s="3" t="s">
        <x:v>240</x:v>
      </x:c>
      <x:c r="Q17" s="3"/>
      <x:c r="R17" s="3" t="s">
        <x:v>176</x:v>
      </x:c>
      <x:c r="S17" s="3" t="s">
        <x:v>135</x:v>
      </x:c>
      <x:c r="T17" s="3" t="s">
        <x:v>135</x:v>
      </x:c>
      <x:c r="U17" s="3" t="s">
        <x:v>177</x:v>
      </x:c>
      <x:c r="V17" s="3" t="s">
        <x:v>178</x:v>
      </x:c>
      <x:c r="W17" s="3" t="s">
        <x:v>179</x:v>
      </x:c>
      <x:c r="X17" s="3" t="s">
        <x:v>180</x:v>
      </x:c>
      <x:c r="Y17" s="3" t="s">
        <x:v>181</x:v>
      </x:c>
      <x:c r="Z17" s="3" t="s">
        <x:v>182</x:v>
      </x:c>
      <x:c r="AA17" s="3" t="s">
        <x:v>118</x:v>
      </x:c>
      <x:c r="AB17" s="7" t="n">
        <x:v>46273.3520833333</x:v>
      </x:c>
      <x:c r="AC17" s="7" t="n">
        <x:v>46273.3541666667</x:v>
      </x:c>
      <x:c r="AD17" s="7"/>
      <x:c r="AE17" s="7"/>
      <x:c r="AF17" s="7"/>
      <x:c r="AG17" s="3"/>
      <x:c r="AH17" s="3"/>
      <x:c r="AI17" s="3" t="s">
        <x:v>135</x:v>
      </x:c>
      <x:c r="AJ17" s="3" t="s">
        <x:v>111</x:v>
      </x:c>
      <x:c r="AK17" s="3" t="n">
        <x:v>180</x:v>
      </x:c>
      <x:c r="AL17" s="3" t="n">
        <x:v>22</x:v>
      </x:c>
      <x:c r="AM17" s="8" t="n">
        <x:v>0.0167</x:v>
      </x:c>
      <x:c r="AN17" s="3" t="n">
        <x:v>4</x:v>
      </x:c>
      <x:c r="AO17" s="3" t="s">
        <x:v>14</x:v>
      </x:c>
      <x:c r="AP17" s="3" t="s">
        <x:v>241</x:v>
      </x:c>
      <x:c r="AQ17" s="3" t="s">
        <x:v>242</x:v>
      </x:c>
      <x:c r="AR17" s="9" t="n">
        <x:v>1564</x:v>
      </x:c>
      <x:c r="AS17" s="3" t="s">
        <x:v>185</x:v>
      </x:c>
      <x:c r="AT17" s="7" t="n">
        <x:v>46273.3541666667</x:v>
      </x:c>
    </x:row>
  </x:sheetData>
  <x:conditionalFormatting sqref="AO2:AO17">
    <x:cfRule type="expression" dxfId="10" priority="2" aboveAverage="0" percent="0" bottom="0" rank="0" equalAverage="0">
      <x:formula>AO2="Verde"</x:formula>
    </x:cfRule>
    <x:cfRule type="expression" dxfId="11" priority="3" aboveAverage="0" percent="0" bottom="0" rank="0" equalAverage="0">
      <x:formula>AO2="Amarelo"</x:formula>
    </x:cfRule>
    <x:cfRule type="expression" dxfId="12" priority="4" aboveAverage="0" percent="0" bottom="0" rank="0" equalAverage="0">
      <x:formula>AO2="Laranja"</x:formula>
    </x:cfRule>
    <x:cfRule type="expression" dxfId="13" priority="5" aboveAverage="0" percent="0" bottom="0" rank="0" equalAverage="0">
      <x:formula>AO2="Vermelho"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066a2300434a4e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0.43000030517578" hidden="0" customWidth="1"/>
    <x:col min="2" max="2" width="24.979999542236328" hidden="0" customWidth="1"/>
    <x:col min="3" max="3" width="27.239999771118164" hidden="0" customWidth="1"/>
    <x:col min="4" max="4" width="43.13999938964844" hidden="0" customWidth="1"/>
    <x:col min="5" max="5" width="20.43000030517578" hidden="0" customWidth="1"/>
    <x:col min="6" max="6" width="24.979999542236328" hidden="0" customWidth="1"/>
    <x:col min="7" max="7" width="13.619999885559082" hidden="0" customWidth="1"/>
    <x:col min="8" max="9" width="20.43000030517578" hidden="0" customWidth="1"/>
    <x:col min="10" max="10" width="18.15999984741211" hidden="0" customWidth="1"/>
    <x:col min="11" max="11" width="15.890000343322754" hidden="0" customWidth="1"/>
    <x:col min="12" max="12" width="13.619999885559082" hidden="0" customWidth="1"/>
    <x:col min="13" max="13" width="24.979999542236328" hidden="0" customWidth="1"/>
    <x:col min="14" max="15" width="20.43000030517578" hidden="0" customWidth="1"/>
    <x:col min="16" max="16" width="22.700000762939453" hidden="0" customWidth="1"/>
    <x:col min="17" max="17" width="38.599998474121094" hidden="0" customWidth="1"/>
    <x:col min="18" max="18" width="27.239999771118164" hidden="0" customWidth="1"/>
    <x:col min="19" max="19" width="11.350000381469727" hidden="0" customWidth="1"/>
    <x:col min="20" max="20" width="13.619999885559082" hidden="0" customWidth="1"/>
    <x:col min="21" max="21" width="18.15999984741211" hidden="0" customWidth="1"/>
    <x:col min="22" max="22" width="15.890000343322754" hidden="0" customWidth="1"/>
    <x:col min="23" max="25" width="20.43000030517578" hidden="0" customWidth="1"/>
    <x:col min="26" max="26" width="38.599998474121094" hidden="0" customWidth="1"/>
    <x:col min="27" max="30" width="20.43000030517578" hidden="0" customWidth="1"/>
    <x:col min="31" max="31" width="22.700000762939453" hidden="0" customWidth="1"/>
    <x:col min="32" max="32" width="20.43000030517578" hidden="0" customWidth="1"/>
    <x:col min="33" max="34" width="9.079999923706055" hidden="0" customWidth="1"/>
    <x:col min="35" max="35" width="18.15999984741211" hidden="0" customWidth="1"/>
    <x:col min="36" max="36" width="15.890000343322754" hidden="0" customWidth="1"/>
    <x:col min="37" max="38" width="11.350000381469727" hidden="0" customWidth="1"/>
    <x:col min="39" max="40" width="15.890000343322754" hidden="0" customWidth="1"/>
    <x:col min="41" max="41" width="22.700000762939453" hidden="0" customWidth="1"/>
    <x:col min="42" max="42" width="43.13999938964844" hidden="0" customWidth="1"/>
    <x:col min="43" max="43" width="47.68000030517578" hidden="0" customWidth="1"/>
    <x:col min="44" max="44" width="20.43000030517578" hidden="0" customWidth="1"/>
    <x:col min="45" max="45" width="18.15999984741211" hidden="0" customWidth="1"/>
    <x:col min="46" max="46" width="20.43000030517578" hidden="0" customWidth="1"/>
  </x:cols>
  <x:sheetData>
    <x:row r="1" ht="15" hidden="0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  <x:c r="G1" s="6" t="s">
        <x:v>55</x:v>
      </x:c>
      <x:c r="H1" s="6" t="s">
        <x:v>56</x:v>
      </x:c>
      <x:c r="I1" s="6" t="s">
        <x:v>57</x:v>
      </x:c>
      <x:c r="J1" s="6" t="s">
        <x:v>58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  <x:c r="Q1" s="6" t="s">
        <x:v>65</x:v>
      </x:c>
      <x:c r="R1" s="6" t="s">
        <x:v>66</x:v>
      </x:c>
      <x:c r="S1" s="6" t="s">
        <x:v>67</x:v>
      </x:c>
      <x:c r="T1" s="6" t="s">
        <x:v>68</x:v>
      </x:c>
      <x:c r="U1" s="6" t="s">
        <x:v>69</x:v>
      </x:c>
      <x:c r="V1" s="6" t="s">
        <x:v>70</x:v>
      </x:c>
      <x:c r="W1" s="6" t="s">
        <x:v>71</x:v>
      </x:c>
      <x:c r="X1" s="6" t="s">
        <x:v>72</x:v>
      </x:c>
      <x:c r="Y1" s="6" t="s">
        <x:v>73</x:v>
      </x:c>
      <x:c r="Z1" s="6" t="s">
        <x:v>74</x:v>
      </x:c>
      <x:c r="AA1" s="6" t="s">
        <x:v>75</x:v>
      </x:c>
      <x:c r="AB1" s="6" t="s">
        <x:v>76</x:v>
      </x:c>
      <x:c r="AC1" s="6" t="s">
        <x:v>77</x:v>
      </x:c>
      <x:c r="AD1" s="6" t="s">
        <x:v>78</x:v>
      </x:c>
      <x:c r="AE1" s="6" t="s">
        <x:v>79</x:v>
      </x:c>
      <x:c r="AF1" s="6" t="s">
        <x:v>80</x:v>
      </x:c>
      <x:c r="AG1" s="6" t="s">
        <x:v>81</x:v>
      </x:c>
      <x:c r="AH1" s="6" t="s">
        <x:v>82</x:v>
      </x:c>
      <x:c r="AI1" s="6" t="s">
        <x:v>83</x:v>
      </x:c>
      <x:c r="AJ1" s="6" t="s">
        <x:v>84</x:v>
      </x:c>
      <x:c r="AK1" s="6" t="s">
        <x:v>85</x:v>
      </x:c>
      <x:c r="AL1" s="6" t="s">
        <x:v>86</x:v>
      </x:c>
      <x:c r="AM1" s="6" t="s">
        <x:v>87</x:v>
      </x:c>
      <x:c r="AN1" s="6" t="s">
        <x:v>88</x:v>
      </x:c>
      <x:c r="AO1" s="6" t="s">
        <x:v>89</x:v>
      </x:c>
      <x:c r="AP1" s="6" t="s">
        <x:v>90</x:v>
      </x:c>
      <x:c r="AQ1" s="6" t="s">
        <x:v>91</x:v>
      </x:c>
      <x:c r="AR1" s="6" t="s">
        <x:v>92</x:v>
      </x:c>
      <x:c r="AS1" s="6" t="s">
        <x:v>93</x:v>
      </x:c>
      <x:c r="AT1" s="6" t="s">
        <x:v>94</x:v>
      </x:c>
    </x:row>
    <x:row r="2" ht="31.299999237060547" hidden="0">
      <x:c r="A2" s="3" t="s">
        <x:v>95</x:v>
      </x:c>
      <x:c r="B2" s="3" t="s">
        <x:v>83</x:v>
      </x:c>
      <x:c r="C2" s="3" t="s">
        <x:v>96</x:v>
      </x:c>
      <x:c r="D2" s="3" t="s">
        <x:v>97</x:v>
      </x:c>
      <x:c r="E2" s="3" t="s">
        <x:v>249</x:v>
      </x:c>
      <x:c r="F2" s="3" t="s">
        <x:v>99</x:v>
      </x:c>
      <x:c r="G2" s="3" t="s">
        <x:v>100</x:v>
      </x:c>
      <x:c r="H2" s="3" t="s">
        <x:v>101</x:v>
      </x:c>
      <x:c r="I2" s="3" t="s">
        <x:v>102</x:v>
      </x:c>
      <x:c r="J2" s="3" t="s">
        <x:v>103</x:v>
      </x:c>
      <x:c r="K2" s="3" t="s">
        <x:v>104</x:v>
      </x:c>
      <x:c r="L2" s="3" t="s">
        <x:v>105</x:v>
      </x:c>
      <x:c r="M2" s="3" t="s">
        <x:v>106</x:v>
      </x:c>
      <x:c r="N2" s="3" t="s">
        <x:v>107</x:v>
      </x:c>
      <x:c r="O2" s="3" t="s">
        <x:v>108</x:v>
      </x:c>
      <x:c r="P2" s="3" t="s">
        <x:v>109</x:v>
      </x:c>
      <x:c r="Q2" s="3" t="s">
        <x:v>250</x:v>
      </x:c>
      <x:c r="R2" s="3" t="s">
        <x:v>110</x:v>
      </x:c>
      <x:c r="S2" s="3" t="s">
        <x:v>111</x:v>
      </x:c>
      <x:c r="T2" s="3" t="s">
        <x:v>111</x:v>
      </x:c>
      <x:c r="U2" s="3" t="s">
        <x:v>112</x:v>
      </x:c>
      <x:c r="V2" s="3" t="s">
        <x:v>113</x:v>
      </x:c>
      <x:c r="W2" s="3" t="s">
        <x:v>114</x:v>
      </x:c>
      <x:c r="X2" s="3" t="s">
        <x:v>115</x:v>
      </x:c>
      <x:c r="Y2" s="3" t="s">
        <x:v>116</x:v>
      </x:c>
      <x:c r="Z2" s="3" t="s">
        <x:v>117</x:v>
      </x:c>
      <x:c r="AA2" s="3" t="s">
        <x:v>118</x:v>
      </x:c>
      <x:c r="AB2" s="7" t="n">
        <x:v>46273.3055555556</x:v>
      </x:c>
      <x:c r="AC2" s="7" t="n">
        <x:v>46273.3076388889</x:v>
      </x:c>
      <x:c r="AD2" s="7" t="n">
        <x:v>46273.3104166667</x:v>
      </x:c>
      <x:c r="AE2" s="7" t="n">
        <x:v>46273.3201388889</x:v>
      </x:c>
      <x:c r="AF2" s="7" t="n">
        <x:v>46273.3430555556</x:v>
      </x:c>
      <x:c r="AG2" s="3" t="n">
        <x:v>21</x:v>
      </x:c>
      <x:c r="AH2" s="3" t="n">
        <x:v>28</x:v>
      </x:c>
      <x:c r="AI2" s="3" t="s">
        <x:v>111</x:v>
      </x:c>
      <x:c r="AJ2" s="3" t="s">
        <x:v>111</x:v>
      </x:c>
      <x:c r="AK2" s="3" t="n">
        <x:v>60</x:v>
      </x:c>
      <x:c r="AL2" s="3" t="n">
        <x:v>0</x:v>
      </x:c>
      <x:c r="AM2" s="8" t="n">
        <x:v>0.8167</x:v>
      </x:c>
      <x:c r="AN2" s="3" t="n">
        <x:v>0</x:v>
      </x:c>
      <x:c r="AO2" s="3" t="s">
        <x:v>14</x:v>
      </x:c>
      <x:c r="AP2" s="3" t="s">
        <x:v>251</x:v>
      </x:c>
      <x:c r="AQ2" s="3" t="s">
        <x:v>120</x:v>
      </x:c>
      <x:c r="AR2" s="9" t="n">
        <x:v>882</x:v>
      </x:c>
      <x:c r="AS2" s="3" t="s">
        <x:v>121</x:v>
      </x:c>
      <x:c r="AT2" s="7" t="n">
        <x:v>46273.3958333333</x:v>
      </x:c>
    </x:row>
    <x:row r="3" ht="31.299999237060547" hidden="0">
      <x:c r="A3" s="3" t="s">
        <x:v>122</x:v>
      </x:c>
      <x:c r="B3" s="3" t="s">
        <x:v>123</x:v>
      </x:c>
      <x:c r="C3" s="3" t="s">
        <x:v>124</x:v>
      </x:c>
      <x:c r="D3" s="3" t="s">
        <x:v>125</x:v>
      </x:c>
      <x:c r="E3" s="3" t="s">
        <x:v>249</x:v>
      </x:c>
      <x:c r="F3" s="3" t="s">
        <x:v>127</x:v>
      </x:c>
      <x:c r="G3" s="3" t="s">
        <x:v>128</x:v>
      </x:c>
      <x:c r="H3" s="3" t="s">
        <x:v>101</x:v>
      </x:c>
      <x:c r="I3" s="3" t="s">
        <x:v>102</x:v>
      </x:c>
      <x:c r="J3" s="3" t="s">
        <x:v>103</x:v>
      </x:c>
      <x:c r="K3" s="3" t="s">
        <x:v>104</x:v>
      </x:c>
      <x:c r="L3" s="3" t="s">
        <x:v>129</x:v>
      </x:c>
      <x:c r="M3" s="3" t="s">
        <x:v>130</x:v>
      </x:c>
      <x:c r="N3" s="3" t="s">
        <x:v>131</x:v>
      </x:c>
      <x:c r="O3" s="3" t="s">
        <x:v>132</x:v>
      </x:c>
      <x:c r="P3" s="3" t="s">
        <x:v>133</x:v>
      </x:c>
      <x:c r="Q3" s="3" t="s">
        <x:v>268</x:v>
      </x:c>
      <x:c r="R3" s="3" t="s">
        <x:v>134</x:v>
      </x:c>
      <x:c r="S3" s="3" t="s">
        <x:v>135</x:v>
      </x:c>
      <x:c r="T3" s="3" t="s">
        <x:v>111</x:v>
      </x:c>
      <x:c r="U3" s="3" t="s">
        <x:v>136</x:v>
      </x:c>
      <x:c r="V3" s="3" t="s">
        <x:v>137</x:v>
      </x:c>
      <x:c r="W3" s="3" t="s">
        <x:v>138</x:v>
      </x:c>
      <x:c r="X3" s="3" t="s">
        <x:v>139</x:v>
      </x:c>
      <x:c r="Y3" s="3" t="s">
        <x:v>140</x:v>
      </x:c>
      <x:c r="Z3" s="3" t="s">
        <x:v>141</x:v>
      </x:c>
      <x:c r="AA3" s="3" t="s">
        <x:v>118</x:v>
      </x:c>
      <x:c r="AB3" s="7" t="n">
        <x:v>46273.3090277778</x:v>
      </x:c>
      <x:c r="AC3" s="7" t="n">
        <x:v>46273.3118055556</x:v>
      </x:c>
      <x:c r="AD3" s="7" t="n">
        <x:v>46273.3159722222</x:v>
      </x:c>
      <x:c r="AE3" s="7" t="n">
        <x:v>46273.3340277778</x:v>
      </x:c>
      <x:c r="AF3" s="7" t="n">
        <x:v>46273.3652777778</x:v>
      </x:c>
      <x:c r="AG3" s="3" t="n">
        <x:v>36</x:v>
      </x:c>
      <x:c r="AH3" s="3" t="n">
        <x:v>40</x:v>
      </x:c>
      <x:c r="AI3" s="3" t="s">
        <x:v>135</x:v>
      </x:c>
      <x:c r="AJ3" s="3" t="s">
        <x:v>135</x:v>
      </x:c>
      <x:c r="AK3" s="3" t="n">
        <x:v>90</x:v>
      </x:c>
      <x:c r="AL3" s="3" t="n">
        <x:v>0</x:v>
      </x:c>
      <x:c r="AM3" s="8" t="n">
        <x:v>0.8444</x:v>
      </x:c>
      <x:c r="AN3" s="3" t="n">
        <x:v>1</x:v>
      </x:c>
      <x:c r="AO3" s="3" t="s">
        <x:v>14</x:v>
      </x:c>
      <x:c r="AP3" s="3" t="s">
        <x:v>269</x:v>
      </x:c>
      <x:c r="AQ3" s="3" t="s">
        <x:v>143</x:v>
      </x:c>
      <x:c r="AR3" s="9" t="n">
        <x:v>664</x:v>
      </x:c>
      <x:c r="AS3" s="3" t="s">
        <x:v>144</x:v>
      </x:c>
      <x:c r="AT3" s="7" t="n">
        <x:v>46273.3958333333</x:v>
      </x:c>
    </x:row>
    <x:row r="4" ht="31.299999237060547" hidden="0">
      <x:c r="A4" s="3" t="s">
        <x:v>145</x:v>
      </x:c>
      <x:c r="B4" s="3" t="s">
        <x:v>146</x:v>
      </x:c>
      <x:c r="C4" s="3" t="s">
        <x:v>147</x:v>
      </x:c>
      <x:c r="D4" s="3" t="s">
        <x:v>148</x:v>
      </x:c>
      <x:c r="E4" s="3" t="s">
        <x:v>249</x:v>
      </x:c>
      <x:c r="F4" s="3" t="s">
        <x:v>149</x:v>
      </x:c>
      <x:c r="G4" s="3" t="s">
        <x:v>150</x:v>
      </x:c>
      <x:c r="H4" s="3" t="s">
        <x:v>101</x:v>
      </x:c>
      <x:c r="I4" s="3" t="s">
        <x:v>102</x:v>
      </x:c>
      <x:c r="J4" s="3" t="s">
        <x:v>103</x:v>
      </x:c>
      <x:c r="K4" s="3" t="s">
        <x:v>104</x:v>
      </x:c>
      <x:c r="L4" s="3" t="s">
        <x:v>151</x:v>
      </x:c>
      <x:c r="M4" s="3" t="s">
        <x:v>152</x:v>
      </x:c>
      <x:c r="N4" s="3" t="s">
        <x:v>153</x:v>
      </x:c>
      <x:c r="O4" s="3" t="s">
        <x:v>154</x:v>
      </x:c>
      <x:c r="P4" s="3" t="s">
        <x:v>155</x:v>
      </x:c>
      <x:c r="Q4" s="3" t="s">
        <x:v>270</x:v>
      </x:c>
      <x:c r="R4" s="3" t="s">
        <x:v>156</x:v>
      </x:c>
      <x:c r="S4" s="3" t="s">
        <x:v>135</x:v>
      </x:c>
      <x:c r="T4" s="3" t="s">
        <x:v>111</x:v>
      </x:c>
      <x:c r="U4" s="3" t="s">
        <x:v>157</x:v>
      </x:c>
      <x:c r="V4" s="3" t="s">
        <x:v>158</x:v>
      </x:c>
      <x:c r="W4" s="3" t="s">
        <x:v>159</x:v>
      </x:c>
      <x:c r="X4" s="3" t="s">
        <x:v>160</x:v>
      </x:c>
      <x:c r="Y4" s="3" t="s">
        <x:v>161</x:v>
      </x:c>
      <x:c r="Z4" s="3" t="s">
        <x:v>162</x:v>
      </x:c>
      <x:c r="AA4" s="3" t="s">
        <x:v>118</x:v>
      </x:c>
      <x:c r="AB4" s="7" t="n">
        <x:v>46273.3118055556</x:v>
      </x:c>
      <x:c r="AC4" s="7" t="n">
        <x:v>46273.3152777778</x:v>
      </x:c>
      <x:c r="AD4" s="7" t="n">
        <x:v>46273.3166666667</x:v>
      </x:c>
      <x:c r="AE4" s="7" t="n">
        <x:v>46273.3395833333</x:v>
      </x:c>
      <x:c r="AF4" s="7" t="n">
        <x:v>46273.3784722222</x:v>
      </x:c>
      <x:c r="AG4" s="3" t="n">
        <x:v>40</x:v>
      </x:c>
      <x:c r="AH4" s="3" t="n">
        <x:v>51</x:v>
      </x:c>
      <x:c r="AI4" s="3" t="s">
        <x:v>135</x:v>
      </x:c>
      <x:c r="AJ4" s="3" t="s">
        <x:v>135</x:v>
      </x:c>
      <x:c r="AK4" s="3" t="n">
        <x:v>120</x:v>
      </x:c>
      <x:c r="AL4" s="3" t="n">
        <x:v>0</x:v>
      </x:c>
      <x:c r="AM4" s="8" t="n">
        <x:v>0.7583</x:v>
      </x:c>
      <x:c r="AN4" s="3" t="n">
        <x:v>2</x:v>
      </x:c>
      <x:c r="AO4" s="3" t="s">
        <x:v>14</x:v>
      </x:c>
      <x:c r="AP4" s="3" t="s">
        <x:v>255</x:v>
      </x:c>
      <x:c r="AQ4" s="3" t="s">
        <x:v>164</x:v>
      </x:c>
      <x:c r="AR4" s="9" t="n">
        <x:v>769</x:v>
      </x:c>
      <x:c r="AS4" s="3" t="s">
        <x:v>121</x:v>
      </x:c>
      <x:c r="AT4" s="7" t="n">
        <x:v>46273.3958333333</x:v>
      </x:c>
    </x:row>
    <x:row r="5" ht="31.299999237060547" hidden="0">
      <x:c r="A5" s="3" t="s">
        <x:v>165</x:v>
      </x:c>
      <x:c r="B5" s="3" t="s">
        <x:v>166</x:v>
      </x:c>
      <x:c r="C5" s="3" t="s">
        <x:v>167</x:v>
      </x:c>
      <x:c r="D5" s="3" t="s">
        <x:v>168</x:v>
      </x:c>
      <x:c r="E5" s="3" t="s">
        <x:v>249</x:v>
      </x:c>
      <x:c r="F5" s="3" t="s">
        <x:v>169</x:v>
      </x:c>
      <x:c r="G5" s="3" t="s">
        <x:v>170</x:v>
      </x:c>
      <x:c r="H5" s="3" t="s">
        <x:v>101</x:v>
      </x:c>
      <x:c r="I5" s="3" t="s">
        <x:v>102</x:v>
      </x:c>
      <x:c r="J5" s="3" t="s">
        <x:v>103</x:v>
      </x:c>
      <x:c r="K5" s="3" t="s">
        <x:v>104</x:v>
      </x:c>
      <x:c r="L5" s="3" t="s">
        <x:v>171</x:v>
      </x:c>
      <x:c r="M5" s="3" t="s">
        <x:v>172</x:v>
      </x:c>
      <x:c r="N5" s="3" t="s">
        <x:v>173</x:v>
      </x:c>
      <x:c r="O5" s="3" t="s">
        <x:v>174</x:v>
      </x:c>
      <x:c r="P5" s="3" t="s">
        <x:v>175</x:v>
      </x:c>
      <x:c r="Q5" s="3" t="s">
        <x:v>271</x:v>
      </x:c>
      <x:c r="R5" s="3" t="s">
        <x:v>176</x:v>
      </x:c>
      <x:c r="S5" s="3" t="s">
        <x:v>135</x:v>
      </x:c>
      <x:c r="T5" s="3" t="s">
        <x:v>135</x:v>
      </x:c>
      <x:c r="U5" s="3" t="s">
        <x:v>177</x:v>
      </x:c>
      <x:c r="V5" s="3" t="s">
        <x:v>178</x:v>
      </x:c>
      <x:c r="W5" s="3" t="s">
        <x:v>179</x:v>
      </x:c>
      <x:c r="X5" s="3" t="s">
        <x:v>180</x:v>
      </x:c>
      <x:c r="Y5" s="3" t="s">
        <x:v>181</x:v>
      </x:c>
      <x:c r="Z5" s="3" t="s">
        <x:v>182</x:v>
      </x:c>
      <x:c r="AA5" s="3" t="s">
        <x:v>118</x:v>
      </x:c>
      <x:c r="AB5" s="7" t="n">
        <x:v>46273.3145833333</x:v>
      </x:c>
      <x:c r="AC5" s="7" t="n">
        <x:v>46273.31875</x:v>
      </x:c>
      <x:c r="AD5" s="7" t="n">
        <x:v>46273.3215277778</x:v>
      </x:c>
      <x:c r="AE5" s="7" t="n">
        <x:v>46273.3493055556</x:v>
      </x:c>
      <x:c r="AF5" s="7" t="n">
        <x:v>46273.3958333333</x:v>
      </x:c>
      <x:c r="AG5" s="3" t="n">
        <x:v>50</x:v>
      </x:c>
      <x:c r="AH5" s="3" t="n">
        <x:v>62</x:v>
      </x:c>
      <x:c r="AI5" s="3" t="s">
        <x:v>135</x:v>
      </x:c>
      <x:c r="AJ5" s="3" t="s">
        <x:v>135</x:v>
      </x:c>
      <x:c r="AK5" s="3" t="n">
        <x:v>180</x:v>
      </x:c>
      <x:c r="AL5" s="3" t="n">
        <x:v>0</x:v>
      </x:c>
      <x:c r="AM5" s="8" t="n">
        <x:v>0.6222</x:v>
      </x:c>
      <x:c r="AN5" s="3" t="n">
        <x:v>3</x:v>
      </x:c>
      <x:c r="AO5" s="3" t="s">
        <x:v>9</x:v>
      </x:c>
      <x:c r="AP5" s="3" t="s">
        <x:v>272</x:v>
      </x:c>
      <x:c r="AQ5" s="3" t="s">
        <x:v>184</x:v>
      </x:c>
      <x:c r="AR5" s="9" t="n">
        <x:v>1594</x:v>
      </x:c>
      <x:c r="AS5" s="3" t="s">
        <x:v>185</x:v>
      </x:c>
      <x:c r="AT5" s="7" t="n">
        <x:v>46273.3958333333</x:v>
      </x:c>
    </x:row>
    <x:row r="6" ht="31.299999237060547" hidden="0">
      <x:c r="A6" s="3" t="s">
        <x:v>186</x:v>
      </x:c>
      <x:c r="B6" s="3" t="s">
        <x:v>187</x:v>
      </x:c>
      <x:c r="C6" s="3" t="s">
        <x:v>188</x:v>
      </x:c>
      <x:c r="D6" s="3" t="s">
        <x:v>189</x:v>
      </x:c>
      <x:c r="E6" s="3" t="s">
        <x:v>249</x:v>
      </x:c>
      <x:c r="F6" s="3" t="s">
        <x:v>99</x:v>
      </x:c>
      <x:c r="G6" s="3" t="s">
        <x:v>190</x:v>
      </x:c>
      <x:c r="H6" s="3" t="s">
        <x:v>101</x:v>
      </x:c>
      <x:c r="I6" s="3" t="s">
        <x:v>102</x:v>
      </x:c>
      <x:c r="J6" s="3" t="s">
        <x:v>103</x:v>
      </x:c>
      <x:c r="K6" s="3" t="s">
        <x:v>104</x:v>
      </x:c>
      <x:c r="L6" s="3" t="s">
        <x:v>191</x:v>
      </x:c>
      <x:c r="M6" s="3" t="s">
        <x:v>192</x:v>
      </x:c>
      <x:c r="N6" s="3" t="s">
        <x:v>193</x:v>
      </x:c>
      <x:c r="O6" s="3" t="s">
        <x:v>194</x:v>
      </x:c>
      <x:c r="P6" s="3" t="s">
        <x:v>195</x:v>
      </x:c>
      <x:c r="Q6" s="3" t="s">
        <x:v>273</x:v>
      </x:c>
      <x:c r="R6" s="3" t="s">
        <x:v>196</x:v>
      </x:c>
      <x:c r="S6" s="3" t="s">
        <x:v>111</x:v>
      </x:c>
      <x:c r="T6" s="3" t="s">
        <x:v>111</x:v>
      </x:c>
      <x:c r="U6" s="3" t="s">
        <x:v>197</x:v>
      </x:c>
      <x:c r="V6" s="3" t="s">
        <x:v>198</x:v>
      </x:c>
      <x:c r="W6" s="3" t="s">
        <x:v>199</x:v>
      </x:c>
      <x:c r="X6" s="3" t="s">
        <x:v>115</x:v>
      </x:c>
      <x:c r="Y6" s="3" t="s">
        <x:v>200</x:v>
      </x:c>
      <x:c r="Z6" s="3" t="s">
        <x:v>201</x:v>
      </x:c>
      <x:c r="AA6" s="3" t="s">
        <x:v>118</x:v>
      </x:c>
      <x:c r="AB6" s="7" t="n">
        <x:v>46273.3180555556</x:v>
      </x:c>
      <x:c r="AC6" s="7" t="n">
        <x:v>46273.3194444444</x:v>
      </x:c>
      <x:c r="AD6" s="7" t="n">
        <x:v>46273.3236111111</x:v>
      </x:c>
      <x:c r="AE6" s="7" t="n">
        <x:v>46273.3319444444</x:v>
      </x:c>
      <x:c r="AF6" s="7" t="n">
        <x:v>46273.3861111111</x:v>
      </x:c>
      <x:c r="AG6" s="3" t="n">
        <x:v>20</x:v>
      </x:c>
      <x:c r="AH6" s="3" t="n">
        <x:v>73</x:v>
      </x:c>
      <x:c r="AI6" s="3" t="s">
        <x:v>135</x:v>
      </x:c>
      <x:c r="AJ6" s="3" t="s">
        <x:v>111</x:v>
      </x:c>
      <x:c r="AK6" s="3" t="n">
        <x:v>45</x:v>
      </x:c>
      <x:c r="AL6" s="3" t="n">
        <x:v>0</x:v>
      </x:c>
      <x:c r="AM6" s="8" t="n">
        <x:v>2.0667</x:v>
      </x:c>
      <x:c r="AN6" s="3" t="n">
        <x:v>1</x:v>
      </x:c>
      <x:c r="AO6" s="3" t="s">
        <x:v>24</x:v>
      </x:c>
      <x:c r="AP6" s="3" t="s">
        <x:v>253</x:v>
      </x:c>
      <x:c r="AQ6" s="3" t="s">
        <x:v>203</x:v>
      </x:c>
      <x:c r="AR6" s="9" t="n">
        <x:v>1259</x:v>
      </x:c>
      <x:c r="AS6" s="3" t="s">
        <x:v>185</x:v>
      </x:c>
      <x:c r="AT6" s="7" t="n">
        <x:v>46273.3958333333</x:v>
      </x:c>
    </x:row>
    <x:row r="7" ht="31.299999237060547" hidden="0">
      <x:c r="A7" s="3" t="s">
        <x:v>204</x:v>
      </x:c>
      <x:c r="B7" s="3" t="s">
        <x:v>205</x:v>
      </x:c>
      <x:c r="C7" s="3" t="s">
        <x:v>206</x:v>
      </x:c>
      <x:c r="D7" s="3" t="s">
        <x:v>207</x:v>
      </x:c>
      <x:c r="E7" s="3" t="s">
        <x:v>249</x:v>
      </x:c>
      <x:c r="F7" s="3" t="s">
        <x:v>127</x:v>
      </x:c>
      <x:c r="G7" s="3" t="s">
        <x:v>208</x:v>
      </x:c>
      <x:c r="H7" s="3" t="s">
        <x:v>101</x:v>
      </x:c>
      <x:c r="I7" s="3" t="s">
        <x:v>102</x:v>
      </x:c>
      <x:c r="J7" s="3" t="s">
        <x:v>103</x:v>
      </x:c>
      <x:c r="K7" s="3" t="s">
        <x:v>104</x:v>
      </x:c>
      <x:c r="L7" s="3" t="s">
        <x:v>209</x:v>
      </x:c>
      <x:c r="M7" s="3" t="s">
        <x:v>210</x:v>
      </x:c>
      <x:c r="N7" s="3" t="s">
        <x:v>211</x:v>
      </x:c>
      <x:c r="O7" s="3" t="s">
        <x:v>212</x:v>
      </x:c>
      <x:c r="P7" s="3" t="s">
        <x:v>213</x:v>
      </x:c>
      <x:c r="Q7" s="3" t="s">
        <x:v>254</x:v>
      </x:c>
      <x:c r="R7" s="3" t="s">
        <x:v>214</x:v>
      </x:c>
      <x:c r="S7" s="3" t="s">
        <x:v>135</x:v>
      </x:c>
      <x:c r="T7" s="3" t="s">
        <x:v>111</x:v>
      </x:c>
      <x:c r="U7" s="3" t="s">
        <x:v>215</x:v>
      </x:c>
      <x:c r="V7" s="3" t="s">
        <x:v>216</x:v>
      </x:c>
      <x:c r="W7" s="3" t="s">
        <x:v>217</x:v>
      </x:c>
      <x:c r="X7" s="3" t="s">
        <x:v>139</x:v>
      </x:c>
      <x:c r="Y7" s="3" t="s">
        <x:v>218</x:v>
      </x:c>
      <x:c r="Z7" s="3" t="s">
        <x:v>219</x:v>
      </x:c>
      <x:c r="AA7" s="3" t="s">
        <x:v>118</x:v>
      </x:c>
      <x:c r="AB7" s="7" t="n">
        <x:v>46273.3215277778</x:v>
      </x:c>
      <x:c r="AC7" s="7" t="n">
        <x:v>46273.3236111111</x:v>
      </x:c>
      <x:c r="AD7" s="7" t="n">
        <x:v>46273.325</x:v>
      </x:c>
      <x:c r="AE7" s="7" t="n">
        <x:v>46273.3388888889</x:v>
      </x:c>
      <x:c r="AF7" s="7" t="n">
        <x:v>46273.3569444444</x:v>
      </x:c>
      <x:c r="AG7" s="3" t="n">
        <x:v>25</x:v>
      </x:c>
      <x:c r="AH7" s="3" t="n">
        <x:v>21</x:v>
      </x:c>
      <x:c r="AI7" s="3" t="s">
        <x:v>135</x:v>
      </x:c>
      <x:c r="AJ7" s="3" t="s">
        <x:v>135</x:v>
      </x:c>
      <x:c r="AK7" s="3" t="n">
        <x:v>120</x:v>
      </x:c>
      <x:c r="AL7" s="3" t="n">
        <x:v>0</x:v>
      </x:c>
      <x:c r="AM7" s="8" t="n">
        <x:v>0.3833</x:v>
      </x:c>
      <x:c r="AN7" s="3" t="n">
        <x:v>0</x:v>
      </x:c>
      <x:c r="AO7" s="3" t="s">
        <x:v>9</x:v>
      </x:c>
      <x:c r="AP7" s="3" t="s">
        <x:v>142</x:v>
      </x:c>
      <x:c r="AQ7" s="3" t="s">
        <x:v>220</x:v>
      </x:c>
      <x:c r="AR7" s="9" t="n">
        <x:v>507</x:v>
      </x:c>
      <x:c r="AS7" s="3" t="s">
        <x:v>144</x:v>
      </x:c>
      <x:c r="AT7" s="7" t="n">
        <x:v>46273.3958333333</x:v>
      </x:c>
    </x:row>
    <x:row r="8" ht="31.299999237060547" hidden="0">
      <x:c r="A8" s="3" t="s">
        <x:v>221</x:v>
      </x:c>
      <x:c r="B8" s="3" t="s">
        <x:v>222</x:v>
      </x:c>
      <x:c r="C8" s="3" t="s">
        <x:v>223</x:v>
      </x:c>
      <x:c r="D8" s="3" t="s">
        <x:v>224</x:v>
      </x:c>
      <x:c r="E8" s="3" t="s">
        <x:v>249</x:v>
      </x:c>
      <x:c r="F8" s="3" t="s">
        <x:v>149</x:v>
      </x:c>
      <x:c r="G8" s="3" t="s">
        <x:v>225</x:v>
      </x:c>
      <x:c r="H8" s="3" t="s">
        <x:v>101</x:v>
      </x:c>
      <x:c r="I8" s="3" t="s">
        <x:v>102</x:v>
      </x:c>
      <x:c r="J8" s="3" t="s">
        <x:v>103</x:v>
      </x:c>
      <x:c r="K8" s="3" t="s">
        <x:v>104</x:v>
      </x:c>
      <x:c r="L8" s="3" t="s">
        <x:v>226</x:v>
      </x:c>
      <x:c r="M8" s="3" t="s">
        <x:v>227</x:v>
      </x:c>
      <x:c r="N8" s="3" t="s">
        <x:v>228</x:v>
      </x:c>
      <x:c r="O8" s="3" t="s">
        <x:v>229</x:v>
      </x:c>
      <x:c r="P8" s="3" t="s">
        <x:v>230</x:v>
      </x:c>
      <x:c r="Q8" s="3" t="s">
        <x:v>274</x:v>
      </x:c>
      <x:c r="R8" s="3" t="s">
        <x:v>110</x:v>
      </x:c>
      <x:c r="S8" s="3" t="s">
        <x:v>111</x:v>
      </x:c>
      <x:c r="T8" s="3" t="s">
        <x:v>111</x:v>
      </x:c>
      <x:c r="U8" s="3" t="s">
        <x:v>112</x:v>
      </x:c>
      <x:c r="V8" s="3" t="s">
        <x:v>113</x:v>
      </x:c>
      <x:c r="W8" s="3" t="s">
        <x:v>114</x:v>
      </x:c>
      <x:c r="X8" s="3" t="s">
        <x:v>160</x:v>
      </x:c>
      <x:c r="Y8" s="3" t="s">
        <x:v>116</x:v>
      </x:c>
      <x:c r="Z8" s="3" t="s">
        <x:v>117</x:v>
      </x:c>
      <x:c r="AA8" s="3" t="s">
        <x:v>118</x:v>
      </x:c>
      <x:c r="AB8" s="7" t="n">
        <x:v>46273.3243055556</x:v>
      </x:c>
      <x:c r="AC8" s="7" t="n">
        <x:v>46273.3270833333</x:v>
      </x:c>
      <x:c r="AD8" s="7" t="n">
        <x:v>46273.3298611111</x:v>
      </x:c>
      <x:c r="AE8" s="7" t="n">
        <x:v>46273.3486111111</x:v>
      </x:c>
      <x:c r="AF8" s="7" t="n">
        <x:v>46273.3743055556</x:v>
      </x:c>
      <x:c r="AG8" s="3" t="n">
        <x:v>35</x:v>
      </x:c>
      <x:c r="AH8" s="3" t="n">
        <x:v>32</x:v>
      </x:c>
      <x:c r="AI8" s="3" t="s">
        <x:v>135</x:v>
      </x:c>
      <x:c r="AJ8" s="3" t="s">
        <x:v>135</x:v>
      </x:c>
      <x:c r="AK8" s="3" t="n">
        <x:v>60</x:v>
      </x:c>
      <x:c r="AL8" s="3" t="n">
        <x:v>0</x:v>
      </x:c>
      <x:c r="AM8" s="8" t="n">
        <x:v>1.1167</x:v>
      </x:c>
      <x:c r="AN8" s="3" t="n">
        <x:v>2</x:v>
      </x:c>
      <x:c r="AO8" s="3" t="s">
        <x:v>24</x:v>
      </x:c>
      <x:c r="AP8" s="3" t="s">
        <x:v>275</x:v>
      </x:c>
      <x:c r="AQ8" s="3" t="s">
        <x:v>231</x:v>
      </x:c>
      <x:c r="AR8" s="9" t="n">
        <x:v>612</x:v>
      </x:c>
      <x:c r="AS8" s="3" t="s">
        <x:v>144</x:v>
      </x:c>
      <x:c r="AT8" s="7" t="n">
        <x:v>46273.3958333333</x:v>
      </x:c>
    </x:row>
    <x:row r="9" ht="31.299999237060547" hidden="0">
      <x:c r="A9" s="3" t="s">
        <x:v>232</x:v>
      </x:c>
      <x:c r="B9" s="3" t="s">
        <x:v>233</x:v>
      </x:c>
      <x:c r="C9" s="3" t="s">
        <x:v>234</x:v>
      </x:c>
      <x:c r="D9" s="3" t="s">
        <x:v>235</x:v>
      </x:c>
      <x:c r="E9" s="3" t="s">
        <x:v>249</x:v>
      </x:c>
      <x:c r="F9" s="3" t="s">
        <x:v>169</x:v>
      </x:c>
      <x:c r="G9" s="3" t="s">
        <x:v>236</x:v>
      </x:c>
      <x:c r="H9" s="3" t="s">
        <x:v>101</x:v>
      </x:c>
      <x:c r="I9" s="3" t="s">
        <x:v>102</x:v>
      </x:c>
      <x:c r="J9" s="3" t="s">
        <x:v>103</x:v>
      </x:c>
      <x:c r="K9" s="3" t="s">
        <x:v>104</x:v>
      </x:c>
      <x:c r="L9" s="3" t="s">
        <x:v>237</x:v>
      </x:c>
      <x:c r="M9" s="3" t="s">
        <x:v>172</x:v>
      </x:c>
      <x:c r="N9" s="3" t="s">
        <x:v>238</x:v>
      </x:c>
      <x:c r="O9" s="3" t="s">
        <x:v>239</x:v>
      </x:c>
      <x:c r="P9" s="3" t="s">
        <x:v>240</x:v>
      </x:c>
      <x:c r="Q9" s="3" t="s">
        <x:v>276</x:v>
      </x:c>
      <x:c r="R9" s="3" t="s">
        <x:v>134</x:v>
      </x:c>
      <x:c r="S9" s="3" t="s">
        <x:v>135</x:v>
      </x:c>
      <x:c r="T9" s="3" t="s">
        <x:v>111</x:v>
      </x:c>
      <x:c r="U9" s="3" t="s">
        <x:v>136</x:v>
      </x:c>
      <x:c r="V9" s="3" t="s">
        <x:v>137</x:v>
      </x:c>
      <x:c r="W9" s="3" t="s">
        <x:v>138</x:v>
      </x:c>
      <x:c r="X9" s="3" t="s">
        <x:v>180</x:v>
      </x:c>
      <x:c r="Y9" s="3" t="s">
        <x:v>140</x:v>
      </x:c>
      <x:c r="Z9" s="3" t="s">
        <x:v>141</x:v>
      </x:c>
      <x:c r="AA9" s="3" t="s">
        <x:v>118</x:v>
      </x:c>
      <x:c r="AB9" s="7" t="n">
        <x:v>46273.3270833333</x:v>
      </x:c>
      <x:c r="AC9" s="7" t="n">
        <x:v>46273.3305555556</x:v>
      </x:c>
      <x:c r="AD9" s="7" t="n">
        <x:v>46273.3347222222</x:v>
      </x:c>
      <x:c r="AE9" s="7" t="n">
        <x:v>46273.3583333333</x:v>
      </x:c>
      <x:c r="AF9" s="7" t="n">
        <x:v>46273.3916666667</x:v>
      </x:c>
      <x:c r="AG9" s="3" t="n">
        <x:v>45</x:v>
      </x:c>
      <x:c r="AH9" s="3" t="n">
        <x:v>43</x:v>
      </x:c>
      <x:c r="AI9" s="3" t="s">
        <x:v>135</x:v>
      </x:c>
      <x:c r="AJ9" s="3" t="s">
        <x:v>111</x:v>
      </x:c>
      <x:c r="AK9" s="3" t="n">
        <x:v>90</x:v>
      </x:c>
      <x:c r="AL9" s="3" t="n">
        <x:v>0</x:v>
      </x:c>
      <x:c r="AM9" s="8" t="n">
        <x:v>0.9778</x:v>
      </x:c>
      <x:c r="AN9" s="3" t="n">
        <x:v>4</x:v>
      </x:c>
      <x:c r="AO9" s="3" t="s">
        <x:v>19</x:v>
      </x:c>
      <x:c r="AP9" s="3" t="s">
        <x:v>277</x:v>
      </x:c>
      <x:c r="AQ9" s="3" t="s">
        <x:v>242</x:v>
      </x:c>
      <x:c r="AR9" s="9" t="n">
        <x:v>1437</x:v>
      </x:c>
      <x:c r="AS9" s="3" t="s">
        <x:v>185</x:v>
      </x:c>
      <x:c r="AT9" s="7" t="n">
        <x:v>46273.3958333333</x:v>
      </x:c>
    </x:row>
    <x:row r="10" ht="31.299999237060547" hidden="0">
      <x:c r="A10" s="3" t="s">
        <x:v>243</x:v>
      </x:c>
      <x:c r="B10" s="3" t="s">
        <x:v>83</x:v>
      </x:c>
      <x:c r="C10" s="3" t="s">
        <x:v>96</x:v>
      </x:c>
      <x:c r="D10" s="3" t="s">
        <x:v>97</x:v>
      </x:c>
      <x:c r="E10" s="3" t="s">
        <x:v>249</x:v>
      </x:c>
      <x:c r="F10" s="3" t="s">
        <x:v>99</x:v>
      </x:c>
      <x:c r="G10" s="3" t="s">
        <x:v>245</x:v>
      </x:c>
      <x:c r="H10" s="3" t="s">
        <x:v>101</x:v>
      </x:c>
      <x:c r="I10" s="3" t="s">
        <x:v>102</x:v>
      </x:c>
      <x:c r="J10" s="3" t="s">
        <x:v>103</x:v>
      </x:c>
      <x:c r="K10" s="3" t="s">
        <x:v>104</x:v>
      </x:c>
      <x:c r="L10" s="3" t="s">
        <x:v>105</x:v>
      </x:c>
      <x:c r="M10" s="3" t="s">
        <x:v>106</x:v>
      </x:c>
      <x:c r="N10" s="3" t="s">
        <x:v>107</x:v>
      </x:c>
      <x:c r="O10" s="3" t="s">
        <x:v>108</x:v>
      </x:c>
      <x:c r="P10" s="3" t="s">
        <x:v>109</x:v>
      </x:c>
      <x:c r="Q10" s="3" t="s">
        <x:v>250</x:v>
      </x:c>
      <x:c r="R10" s="3" t="s">
        <x:v>156</x:v>
      </x:c>
      <x:c r="S10" s="3" t="s">
        <x:v>135</x:v>
      </x:c>
      <x:c r="T10" s="3" t="s">
        <x:v>111</x:v>
      </x:c>
      <x:c r="U10" s="3" t="s">
        <x:v>157</x:v>
      </x:c>
      <x:c r="V10" s="3" t="s">
        <x:v>158</x:v>
      </x:c>
      <x:c r="W10" s="3" t="s">
        <x:v>159</x:v>
      </x:c>
      <x:c r="X10" s="3" t="s">
        <x:v>115</x:v>
      </x:c>
      <x:c r="Y10" s="3" t="s">
        <x:v>161</x:v>
      </x:c>
      <x:c r="Z10" s="3" t="s">
        <x:v>162</x:v>
      </x:c>
      <x:c r="AA10" s="3" t="s">
        <x:v>118</x:v>
      </x:c>
      <x:c r="AB10" s="7" t="n">
        <x:v>46273.3298611111</x:v>
      </x:c>
      <x:c r="AC10" s="7" t="n">
        <x:v>46273.3340277778</x:v>
      </x:c>
      <x:c r="AD10" s="7" t="n">
        <x:v>46273.3354166667</x:v>
      </x:c>
      <x:c r="AE10" s="7" t="n">
        <x:v>46273.3604166667</x:v>
      </x:c>
      <x:c r="AF10" s="7" t="n">
        <x:v>46273.3833333333</x:v>
      </x:c>
      <x:c r="AG10" s="3" t="n">
        <x:v>44</x:v>
      </x:c>
      <x:c r="AH10" s="3" t="n">
        <x:v>28</x:v>
      </x:c>
      <x:c r="AI10" s="3" t="s">
        <x:v>111</x:v>
      </x:c>
      <x:c r="AJ10" s="3" t="s">
        <x:v>111</x:v>
      </x:c>
      <x:c r="AK10" s="3" t="n">
        <x:v>120</x:v>
      </x:c>
      <x:c r="AL10" s="3" t="n">
        <x:v>0</x:v>
      </x:c>
      <x:c r="AM10" s="8" t="n">
        <x:v>0.6</x:v>
      </x:c>
      <x:c r="AN10" s="3" t="n">
        <x:v>0</x:v>
      </x:c>
      <x:c r="AO10" s="3" t="s">
        <x:v>9</x:v>
      </x:c>
      <x:c r="AP10" s="3" t="s">
        <x:v>119</x:v>
      </x:c>
      <x:c r="AQ10" s="3" t="s">
        <x:v>120</x:v>
      </x:c>
      <x:c r="AR10" s="9" t="n">
        <x:v>970</x:v>
      </x:c>
      <x:c r="AS10" s="3" t="s">
        <x:v>121</x:v>
      </x:c>
      <x:c r="AT10" s="7" t="n">
        <x:v>46273.3958333333</x:v>
      </x:c>
    </x:row>
    <x:row r="11" ht="31.299999237060547" hidden="0">
      <x:c r="A11" s="3" t="s">
        <x:v>247</x:v>
      </x:c>
      <x:c r="B11" s="3" t="s">
        <x:v>123</x:v>
      </x:c>
      <x:c r="C11" s="3" t="s">
        <x:v>124</x:v>
      </x:c>
      <x:c r="D11" s="3" t="s">
        <x:v>125</x:v>
      </x:c>
      <x:c r="E11" s="3" t="s">
        <x:v>249</x:v>
      </x:c>
      <x:c r="F11" s="3" t="s">
        <x:v>127</x:v>
      </x:c>
      <x:c r="G11" s="3" t="s">
        <x:v>248</x:v>
      </x:c>
      <x:c r="H11" s="3" t="s">
        <x:v>101</x:v>
      </x:c>
      <x:c r="I11" s="3" t="s">
        <x:v>102</x:v>
      </x:c>
      <x:c r="J11" s="3" t="s">
        <x:v>103</x:v>
      </x:c>
      <x:c r="K11" s="3" t="s">
        <x:v>104</x:v>
      </x:c>
      <x:c r="L11" s="3" t="s">
        <x:v>129</x:v>
      </x:c>
      <x:c r="M11" s="3" t="s">
        <x:v>130</x:v>
      </x:c>
      <x:c r="N11" s="3" t="s">
        <x:v>131</x:v>
      </x:c>
      <x:c r="O11" s="3" t="s">
        <x:v>132</x:v>
      </x:c>
      <x:c r="P11" s="3" t="s">
        <x:v>133</x:v>
      </x:c>
      <x:c r="Q11" s="3" t="s">
        <x:v>268</x:v>
      </x:c>
      <x:c r="R11" s="3" t="s">
        <x:v>176</x:v>
      </x:c>
      <x:c r="S11" s="3" t="s">
        <x:v>135</x:v>
      </x:c>
      <x:c r="T11" s="3" t="s">
        <x:v>135</x:v>
      </x:c>
      <x:c r="U11" s="3" t="s">
        <x:v>177</x:v>
      </x:c>
      <x:c r="V11" s="3" t="s">
        <x:v>178</x:v>
      </x:c>
      <x:c r="W11" s="3" t="s">
        <x:v>179</x:v>
      </x:c>
      <x:c r="X11" s="3" t="s">
        <x:v>139</x:v>
      </x:c>
      <x:c r="Y11" s="3" t="s">
        <x:v>181</x:v>
      </x:c>
      <x:c r="Z11" s="3" t="s">
        <x:v>182</x:v>
      </x:c>
      <x:c r="AA11" s="3" t="s">
        <x:v>118</x:v>
      </x:c>
      <x:c r="AB11" s="7" t="n">
        <x:v>46273.3326388889</x:v>
      </x:c>
      <x:c r="AC11" s="7" t="n">
        <x:v>46273.3340277778</x:v>
      </x:c>
      <x:c r="AD11" s="7" t="n">
        <x:v>46273.3368055556</x:v>
      </x:c>
      <x:c r="AE11" s="7" t="n">
        <x:v>46273.3465277778</x:v>
      </x:c>
      <x:c r="AF11" s="7" t="n">
        <x:v>46273.3951388889</x:v>
      </x:c>
      <x:c r="AG11" s="3" t="n">
        <x:v>20</x:v>
      </x:c>
      <x:c r="AH11" s="3" t="n">
        <x:v>65</x:v>
      </x:c>
      <x:c r="AI11" s="3" t="s">
        <x:v>135</x:v>
      </x:c>
      <x:c r="AJ11" s="3" t="s">
        <x:v>135</x:v>
      </x:c>
      <x:c r="AK11" s="3" t="n">
        <x:v>180</x:v>
      </x:c>
      <x:c r="AL11" s="3" t="n">
        <x:v>0</x:v>
      </x:c>
      <x:c r="AM11" s="8" t="n">
        <x:v>0.4722</x:v>
      </x:c>
      <x:c r="AN11" s="3" t="n">
        <x:v>1</x:v>
      </x:c>
      <x:c r="AO11" s="3" t="s">
        <x:v>9</x:v>
      </x:c>
      <x:c r="AP11" s="3" t="s">
        <x:v>142</x:v>
      </x:c>
      <x:c r="AQ11" s="3" t="s">
        <x:v>143</x:v>
      </x:c>
      <x:c r="AR11" s="9" t="n">
        <x:v>791</x:v>
      </x:c>
      <x:c r="AS11" s="3" t="s">
        <x:v>121</x:v>
      </x:c>
      <x:c r="AT11" s="7" t="n">
        <x:v>46273.3958333333</x:v>
      </x:c>
    </x:row>
    <x:row r="12" ht="31.299999237060547" hidden="0">
      <x:c r="A12" s="3" t="s">
        <x:v>256</x:v>
      </x:c>
      <x:c r="B12" s="3" t="s">
        <x:v>146</x:v>
      </x:c>
      <x:c r="C12" s="3" t="s">
        <x:v>147</x:v>
      </x:c>
      <x:c r="D12" s="3" t="s">
        <x:v>148</x:v>
      </x:c>
      <x:c r="E12" s="3" t="s">
        <x:v>98</x:v>
      </x:c>
      <x:c r="F12" s="3" t="s">
        <x:v>149</x:v>
      </x:c>
      <x:c r="G12" s="3" t="s">
        <x:v>257</x:v>
      </x:c>
      <x:c r="H12" s="3" t="s">
        <x:v>101</x:v>
      </x:c>
      <x:c r="I12" s="3" t="s">
        <x:v>102</x:v>
      </x:c>
      <x:c r="J12" s="3" t="s">
        <x:v>103</x:v>
      </x:c>
      <x:c r="K12" s="3" t="s">
        <x:v>104</x:v>
      </x:c>
      <x:c r="L12" s="3" t="s">
        <x:v>151</x:v>
      </x:c>
      <x:c r="M12" s="3" t="s">
        <x:v>152</x:v>
      </x:c>
      <x:c r="N12" s="3" t="s">
        <x:v>153</x:v>
      </x:c>
      <x:c r="O12" s="3" t="s">
        <x:v>154</x:v>
      </x:c>
      <x:c r="P12" s="3" t="s">
        <x:v>155</x:v>
      </x:c>
      <x:c r="Q12" s="3"/>
      <x:c r="R12" s="3" t="s">
        <x:v>196</x:v>
      </x:c>
      <x:c r="S12" s="3" t="s">
        <x:v>111</x:v>
      </x:c>
      <x:c r="T12" s="3" t="s">
        <x:v>111</x:v>
      </x:c>
      <x:c r="U12" s="3" t="s">
        <x:v>197</x:v>
      </x:c>
      <x:c r="V12" s="3" t="s">
        <x:v>198</x:v>
      </x:c>
      <x:c r="W12" s="3" t="s">
        <x:v>199</x:v>
      </x:c>
      <x:c r="X12" s="3" t="s">
        <x:v>160</x:v>
      </x:c>
      <x:c r="Y12" s="3" t="s">
        <x:v>200</x:v>
      </x:c>
      <x:c r="Z12" s="3" t="s">
        <x:v>201</x:v>
      </x:c>
      <x:c r="AA12" s="3" t="s">
        <x:v>118</x:v>
      </x:c>
      <x:c r="AB12" s="7" t="n">
        <x:v>46273.3354166667</x:v>
      </x:c>
      <x:c r="AC12" s="7" t="n">
        <x:v>46273.3375</x:v>
      </x:c>
      <x:c r="AD12" s="7" t="n">
        <x:v>46273.3416666667</x:v>
      </x:c>
      <x:c r="AE12" s="7" t="n">
        <x:v>46273.3534722222</x:v>
      </x:c>
      <x:c r="AF12" s="7"/>
      <x:c r="AG12" s="3" t="n">
        <x:v>26</x:v>
      </x:c>
      <x:c r="AH12" s="3"/>
      <x:c r="AI12" s="3" t="s">
        <x:v>135</x:v>
      </x:c>
      <x:c r="AJ12" s="3" t="s">
        <x:v>135</x:v>
      </x:c>
      <x:c r="AK12" s="3" t="n">
        <x:v>45</x:v>
      </x:c>
      <x:c r="AL12" s="3" t="n">
        <x:v>0</x:v>
      </x:c>
      <x:c r="AM12" s="8" t="n">
        <x:v>1.9333</x:v>
      </x:c>
      <x:c r="AN12" s="3" t="n">
        <x:v>2</x:v>
      </x:c>
      <x:c r="AO12" s="3" t="s">
        <x:v>24</x:v>
      </x:c>
      <x:c r="AP12" s="3" t="s">
        <x:v>275</x:v>
      </x:c>
      <x:c r="AQ12" s="3" t="s">
        <x:v>164</x:v>
      </x:c>
      <x:c r="AR12" s="9" t="n">
        <x:v>880</x:v>
      </x:c>
      <x:c r="AS12" s="3" t="s">
        <x:v>121</x:v>
      </x:c>
      <x:c r="AT12" s="7" t="n">
        <x:v>46273.3958333333</x:v>
      </x:c>
    </x:row>
    <x:row r="13" ht="31.299999237060547" hidden="0">
      <x:c r="A13" s="3" t="s">
        <x:v>258</x:v>
      </x:c>
      <x:c r="B13" s="3" t="s">
        <x:v>166</x:v>
      </x:c>
      <x:c r="C13" s="3" t="s">
        <x:v>167</x:v>
      </x:c>
      <x:c r="D13" s="3" t="s">
        <x:v>168</x:v>
      </x:c>
      <x:c r="E13" s="3" t="s">
        <x:v>249</x:v>
      </x:c>
      <x:c r="F13" s="3" t="s">
        <x:v>169</x:v>
      </x:c>
      <x:c r="G13" s="3" t="s">
        <x:v>259</x:v>
      </x:c>
      <x:c r="H13" s="3" t="s">
        <x:v>101</x:v>
      </x:c>
      <x:c r="I13" s="3" t="s">
        <x:v>102</x:v>
      </x:c>
      <x:c r="J13" s="3" t="s">
        <x:v>103</x:v>
      </x:c>
      <x:c r="K13" s="3" t="s">
        <x:v>104</x:v>
      </x:c>
      <x:c r="L13" s="3" t="s">
        <x:v>171</x:v>
      </x:c>
      <x:c r="M13" s="3" t="s">
        <x:v>172</x:v>
      </x:c>
      <x:c r="N13" s="3" t="s">
        <x:v>173</x:v>
      </x:c>
      <x:c r="O13" s="3" t="s">
        <x:v>174</x:v>
      </x:c>
      <x:c r="P13" s="3" t="s">
        <x:v>175</x:v>
      </x:c>
      <x:c r="Q13" s="3" t="s">
        <x:v>271</x:v>
      </x:c>
      <x:c r="R13" s="3" t="s">
        <x:v>214</x:v>
      </x:c>
      <x:c r="S13" s="3" t="s">
        <x:v>135</x:v>
      </x:c>
      <x:c r="T13" s="3" t="s">
        <x:v>111</x:v>
      </x:c>
      <x:c r="U13" s="3" t="s">
        <x:v>215</x:v>
      </x:c>
      <x:c r="V13" s="3" t="s">
        <x:v>216</x:v>
      </x:c>
      <x:c r="W13" s="3" t="s">
        <x:v>217</x:v>
      </x:c>
      <x:c r="X13" s="3" t="s">
        <x:v>180</x:v>
      </x:c>
      <x:c r="Y13" s="3" t="s">
        <x:v>218</x:v>
      </x:c>
      <x:c r="Z13" s="3" t="s">
        <x:v>219</x:v>
      </x:c>
      <x:c r="AA13" s="3" t="s">
        <x:v>118</x:v>
      </x:c>
      <x:c r="AB13" s="7" t="n">
        <x:v>46273.3381944444</x:v>
      </x:c>
      <x:c r="AC13" s="7" t="n">
        <x:v>46273.3409722222</x:v>
      </x:c>
      <x:c r="AD13" s="7" t="n">
        <x:v>46273.3423611111</x:v>
      </x:c>
      <x:c r="AE13" s="7" t="n">
        <x:v>46273.3618055556</x:v>
      </x:c>
      <x:c r="AF13" s="7" t="n">
        <x:v>46273.3819444444</x:v>
      </x:c>
      <x:c r="AG13" s="3" t="n">
        <x:v>34</x:v>
      </x:c>
      <x:c r="AH13" s="3" t="n">
        <x:v>24</x:v>
      </x:c>
      <x:c r="AI13" s="3" t="s">
        <x:v>135</x:v>
      </x:c>
      <x:c r="AJ13" s="3" t="s">
        <x:v>135</x:v>
      </x:c>
      <x:c r="AK13" s="3" t="n">
        <x:v>120</x:v>
      </x:c>
      <x:c r="AL13" s="3" t="n">
        <x:v>0</x:v>
      </x:c>
      <x:c r="AM13" s="8" t="n">
        <x:v>0.4833</x:v>
      </x:c>
      <x:c r="AN13" s="3" t="n">
        <x:v>3</x:v>
      </x:c>
      <x:c r="AO13" s="3" t="s">
        <x:v>9</x:v>
      </x:c>
      <x:c r="AP13" s="3" t="s">
        <x:v>183</x:v>
      </x:c>
      <x:c r="AQ13" s="3" t="s">
        <x:v>184</x:v>
      </x:c>
      <x:c r="AR13" s="9" t="n">
        <x:v>1280</x:v>
      </x:c>
      <x:c r="AS13" s="3" t="s">
        <x:v>185</x:v>
      </x:c>
      <x:c r="AT13" s="7" t="n">
        <x:v>46273.3958333333</x:v>
      </x:c>
    </x:row>
    <x:row r="14" ht="31.299999237060547" hidden="0">
      <x:c r="A14" s="3" t="s">
        <x:v>260</x:v>
      </x:c>
      <x:c r="B14" s="3" t="s">
        <x:v>187</x:v>
      </x:c>
      <x:c r="C14" s="3" t="s">
        <x:v>188</x:v>
      </x:c>
      <x:c r="D14" s="3" t="s">
        <x:v>189</x:v>
      </x:c>
      <x:c r="E14" s="3" t="s">
        <x:v>98</x:v>
      </x:c>
      <x:c r="F14" s="3" t="s">
        <x:v>99</x:v>
      </x:c>
      <x:c r="G14" s="3" t="s">
        <x:v>261</x:v>
      </x:c>
      <x:c r="H14" s="3" t="s">
        <x:v>101</x:v>
      </x:c>
      <x:c r="I14" s="3" t="s">
        <x:v>102</x:v>
      </x:c>
      <x:c r="J14" s="3" t="s">
        <x:v>103</x:v>
      </x:c>
      <x:c r="K14" s="3" t="s">
        <x:v>104</x:v>
      </x:c>
      <x:c r="L14" s="3" t="s">
        <x:v>191</x:v>
      </x:c>
      <x:c r="M14" s="3" t="s">
        <x:v>192</x:v>
      </x:c>
      <x:c r="N14" s="3" t="s">
        <x:v>193</x:v>
      </x:c>
      <x:c r="O14" s="3" t="s">
        <x:v>194</x:v>
      </x:c>
      <x:c r="P14" s="3" t="s">
        <x:v>195</x:v>
      </x:c>
      <x:c r="Q14" s="3"/>
      <x:c r="R14" s="3" t="s">
        <x:v>110</x:v>
      </x:c>
      <x:c r="S14" s="3" t="s">
        <x:v>111</x:v>
      </x:c>
      <x:c r="T14" s="3" t="s">
        <x:v>111</x:v>
      </x:c>
      <x:c r="U14" s="3" t="s">
        <x:v>112</x:v>
      </x:c>
      <x:c r="V14" s="3" t="s">
        <x:v>113</x:v>
      </x:c>
      <x:c r="W14" s="3" t="s">
        <x:v>114</x:v>
      </x:c>
      <x:c r="X14" s="3" t="s">
        <x:v>115</x:v>
      </x:c>
      <x:c r="Y14" s="3" t="s">
        <x:v>116</x:v>
      </x:c>
      <x:c r="Z14" s="3" t="s">
        <x:v>117</x:v>
      </x:c>
      <x:c r="AA14" s="3" t="s">
        <x:v>118</x:v>
      </x:c>
      <x:c r="AB14" s="7" t="n">
        <x:v>46273.3416666667</x:v>
      </x:c>
      <x:c r="AC14" s="7" t="n">
        <x:v>46273.3451388889</x:v>
      </x:c>
      <x:c r="AD14" s="7" t="n">
        <x:v>46273.3479166667</x:v>
      </x:c>
      <x:c r="AE14" s="7" t="n">
        <x:v>46273.3722222222</x:v>
      </x:c>
      <x:c r="AF14" s="7"/>
      <x:c r="AG14" s="3" t="n">
        <x:v>44</x:v>
      </x:c>
      <x:c r="AH14" s="3"/>
      <x:c r="AI14" s="3" t="s">
        <x:v>135</x:v>
      </x:c>
      <x:c r="AJ14" s="3" t="s">
        <x:v>111</x:v>
      </x:c>
      <x:c r="AK14" s="3" t="n">
        <x:v>60</x:v>
      </x:c>
      <x:c r="AL14" s="3" t="n">
        <x:v>0</x:v>
      </x:c>
      <x:c r="AM14" s="8" t="n">
        <x:v>1.3</x:v>
      </x:c>
      <x:c r="AN14" s="3" t="n">
        <x:v>1</x:v>
      </x:c>
      <x:c r="AO14" s="3" t="s">
        <x:v>24</x:v>
      </x:c>
      <x:c r="AP14" s="3" t="s">
        <x:v>253</x:v>
      </x:c>
      <x:c r="AQ14" s="3" t="s">
        <x:v>203</x:v>
      </x:c>
      <x:c r="AR14" s="9" t="n">
        <x:v>1085</x:v>
      </x:c>
      <x:c r="AS14" s="3" t="s">
        <x:v>121</x:v>
      </x:c>
      <x:c r="AT14" s="7" t="n">
        <x:v>46273.3958333333</x:v>
      </x:c>
    </x:row>
    <x:row r="15" ht="31.299999237060547" hidden="0">
      <x:c r="A15" s="3" t="s">
        <x:v>262</x:v>
      </x:c>
      <x:c r="B15" s="3" t="s">
        <x:v>205</x:v>
      </x:c>
      <x:c r="C15" s="3" t="s">
        <x:v>206</x:v>
      </x:c>
      <x:c r="D15" s="3" t="s">
        <x:v>207</x:v>
      </x:c>
      <x:c r="E15" s="3" t="s">
        <x:v>98</x:v>
      </x:c>
      <x:c r="F15" s="3" t="s">
        <x:v>127</x:v>
      </x:c>
      <x:c r="G15" s="3" t="s">
        <x:v>263</x:v>
      </x:c>
      <x:c r="H15" s="3" t="s">
        <x:v>101</x:v>
      </x:c>
      <x:c r="I15" s="3" t="s">
        <x:v>102</x:v>
      </x:c>
      <x:c r="J15" s="3" t="s">
        <x:v>103</x:v>
      </x:c>
      <x:c r="K15" s="3" t="s">
        <x:v>104</x:v>
      </x:c>
      <x:c r="L15" s="3" t="s">
        <x:v>209</x:v>
      </x:c>
      <x:c r="M15" s="3" t="s">
        <x:v>210</x:v>
      </x:c>
      <x:c r="N15" s="3" t="s">
        <x:v>211</x:v>
      </x:c>
      <x:c r="O15" s="3" t="s">
        <x:v>212</x:v>
      </x:c>
      <x:c r="P15" s="3" t="s">
        <x:v>213</x:v>
      </x:c>
      <x:c r="Q15" s="3"/>
      <x:c r="R15" s="3" t="s">
        <x:v>134</x:v>
      </x:c>
      <x:c r="S15" s="3" t="s">
        <x:v>135</x:v>
      </x:c>
      <x:c r="T15" s="3" t="s">
        <x:v>111</x:v>
      </x:c>
      <x:c r="U15" s="3" t="s">
        <x:v>136</x:v>
      </x:c>
      <x:c r="V15" s="3" t="s">
        <x:v>137</x:v>
      </x:c>
      <x:c r="W15" s="3" t="s">
        <x:v>138</x:v>
      </x:c>
      <x:c r="X15" s="3" t="s">
        <x:v>139</x:v>
      </x:c>
      <x:c r="Y15" s="3" t="s">
        <x:v>140</x:v>
      </x:c>
      <x:c r="Z15" s="3" t="s">
        <x:v>141</x:v>
      </x:c>
      <x:c r="AA15" s="3" t="s">
        <x:v>118</x:v>
      </x:c>
      <x:c r="AB15" s="7" t="n">
        <x:v>46273.3451388889</x:v>
      </x:c>
      <x:c r="AC15" s="7" t="n">
        <x:v>46273.3493055556</x:v>
      </x:c>
      <x:c r="AD15" s="7" t="n">
        <x:v>46273.3534722222</x:v>
      </x:c>
      <x:c r="AE15" s="7" t="n">
        <x:v>46273.3826388889</x:v>
      </x:c>
      <x:c r="AF15" s="7"/>
      <x:c r="AG15" s="3" t="n">
        <x:v>54</x:v>
      </x:c>
      <x:c r="AH15" s="3"/>
      <x:c r="AI15" s="3" t="s">
        <x:v>135</x:v>
      </x:c>
      <x:c r="AJ15" s="3" t="s">
        <x:v>135</x:v>
      </x:c>
      <x:c r="AK15" s="3" t="n">
        <x:v>90</x:v>
      </x:c>
      <x:c r="AL15" s="3" t="n">
        <x:v>0</x:v>
      </x:c>
      <x:c r="AM15" s="8" t="n">
        <x:v>0.8111</x:v>
      </x:c>
      <x:c r="AN15" s="3" t="n">
        <x:v>0</x:v>
      </x:c>
      <x:c r="AO15" s="3" t="s">
        <x:v>19</x:v>
      </x:c>
      <x:c r="AP15" s="3" t="s">
        <x:v>269</x:v>
      </x:c>
      <x:c r="AQ15" s="3" t="s">
        <x:v>220</x:v>
      </x:c>
      <x:c r="AR15" s="9" t="n">
        <x:v>770</x:v>
      </x:c>
      <x:c r="AS15" s="3" t="s">
        <x:v>121</x:v>
      </x:c>
      <x:c r="AT15" s="7" t="n">
        <x:v>46273.3958333333</x:v>
      </x:c>
    </x:row>
    <x:row r="16" ht="31.299999237060547" hidden="0">
      <x:c r="A16" s="3" t="s">
        <x:v>264</x:v>
      </x:c>
      <x:c r="B16" s="3" t="s">
        <x:v>222</x:v>
      </x:c>
      <x:c r="C16" s="3" t="s">
        <x:v>223</x:v>
      </x:c>
      <x:c r="D16" s="3" t="s">
        <x:v>224</x:v>
      </x:c>
      <x:c r="E16" s="3" t="s">
        <x:v>98</x:v>
      </x:c>
      <x:c r="F16" s="3" t="s">
        <x:v>149</x:v>
      </x:c>
      <x:c r="G16" s="3" t="s">
        <x:v>265</x:v>
      </x:c>
      <x:c r="H16" s="3" t="s">
        <x:v>101</x:v>
      </x:c>
      <x:c r="I16" s="3" t="s">
        <x:v>102</x:v>
      </x:c>
      <x:c r="J16" s="3" t="s">
        <x:v>103</x:v>
      </x:c>
      <x:c r="K16" s="3" t="s">
        <x:v>104</x:v>
      </x:c>
      <x:c r="L16" s="3" t="s">
        <x:v>226</x:v>
      </x:c>
      <x:c r="M16" s="3" t="s">
        <x:v>227</x:v>
      </x:c>
      <x:c r="N16" s="3" t="s">
        <x:v>228</x:v>
      </x:c>
      <x:c r="O16" s="3" t="s">
        <x:v>229</x:v>
      </x:c>
      <x:c r="P16" s="3" t="s">
        <x:v>230</x:v>
      </x:c>
      <x:c r="Q16" s="3"/>
      <x:c r="R16" s="3" t="s">
        <x:v>156</x:v>
      </x:c>
      <x:c r="S16" s="3" t="s">
        <x:v>135</x:v>
      </x:c>
      <x:c r="T16" s="3" t="s">
        <x:v>111</x:v>
      </x:c>
      <x:c r="U16" s="3" t="s">
        <x:v>157</x:v>
      </x:c>
      <x:c r="V16" s="3" t="s">
        <x:v>158</x:v>
      </x:c>
      <x:c r="W16" s="3" t="s">
        <x:v>159</x:v>
      </x:c>
      <x:c r="X16" s="3" t="s">
        <x:v>160</x:v>
      </x:c>
      <x:c r="Y16" s="3" t="s">
        <x:v>161</x:v>
      </x:c>
      <x:c r="Z16" s="3" t="s">
        <x:v>162</x:v>
      </x:c>
      <x:c r="AA16" s="3" t="s">
        <x:v>118</x:v>
      </x:c>
      <x:c r="AB16" s="7" t="n">
        <x:v>46273.3486111111</x:v>
      </x:c>
      <x:c r="AC16" s="7" t="n">
        <x:v>46273.35</x:v>
      </x:c>
      <x:c r="AD16" s="7" t="n">
        <x:v>46273.3513888889</x:v>
      </x:c>
      <x:c r="AE16" s="7" t="n">
        <x:v>46273.3618055556</x:v>
      </x:c>
      <x:c r="AF16" s="7"/>
      <x:c r="AG16" s="3" t="n">
        <x:v>19</x:v>
      </x:c>
      <x:c r="AH16" s="3"/>
      <x:c r="AI16" s="3" t="s">
        <x:v>135</x:v>
      </x:c>
      <x:c r="AJ16" s="3" t="s">
        <x:v>135</x:v>
      </x:c>
      <x:c r="AK16" s="3" t="n">
        <x:v>120</x:v>
      </x:c>
      <x:c r="AL16" s="3" t="n">
        <x:v>0</x:v>
      </x:c>
      <x:c r="AM16" s="8" t="n">
        <x:v>0.5667</x:v>
      </x:c>
      <x:c r="AN16" s="3" t="n">
        <x:v>2</x:v>
      </x:c>
      <x:c r="AO16" s="3" t="s">
        <x:v>14</x:v>
      </x:c>
      <x:c r="AP16" s="3" t="s">
        <x:v>255</x:v>
      </x:c>
      <x:c r="AQ16" s="3" t="s">
        <x:v>231</x:v>
      </x:c>
      <x:c r="AR16" s="9" t="n">
        <x:v>739</x:v>
      </x:c>
      <x:c r="AS16" s="3" t="s">
        <x:v>144</x:v>
      </x:c>
      <x:c r="AT16" s="7" t="n">
        <x:v>46273.3958333333</x:v>
      </x:c>
    </x:row>
    <x:row r="17" ht="31.299999237060547" hidden="0">
      <x:c r="A17" s="3" t="s">
        <x:v>266</x:v>
      </x:c>
      <x:c r="B17" s="3" t="s">
        <x:v>233</x:v>
      </x:c>
      <x:c r="C17" s="3" t="s">
        <x:v>234</x:v>
      </x:c>
      <x:c r="D17" s="3" t="s">
        <x:v>235</x:v>
      </x:c>
      <x:c r="E17" s="3" t="s">
        <x:v>98</x:v>
      </x:c>
      <x:c r="F17" s="3" t="s">
        <x:v>169</x:v>
      </x:c>
      <x:c r="G17" s="3" t="s">
        <x:v>267</x:v>
      </x:c>
      <x:c r="H17" s="3" t="s">
        <x:v>101</x:v>
      </x:c>
      <x:c r="I17" s="3" t="s">
        <x:v>102</x:v>
      </x:c>
      <x:c r="J17" s="3" t="s">
        <x:v>103</x:v>
      </x:c>
      <x:c r="K17" s="3" t="s">
        <x:v>104</x:v>
      </x:c>
      <x:c r="L17" s="3" t="s">
        <x:v>237</x:v>
      </x:c>
      <x:c r="M17" s="3" t="s">
        <x:v>172</x:v>
      </x:c>
      <x:c r="N17" s="3" t="s">
        <x:v>238</x:v>
      </x:c>
      <x:c r="O17" s="3" t="s">
        <x:v>239</x:v>
      </x:c>
      <x:c r="P17" s="3" t="s">
        <x:v>240</x:v>
      </x:c>
      <x:c r="Q17" s="3"/>
      <x:c r="R17" s="3" t="s">
        <x:v>176</x:v>
      </x:c>
      <x:c r="S17" s="3" t="s">
        <x:v>135</x:v>
      </x:c>
      <x:c r="T17" s="3" t="s">
        <x:v>135</x:v>
      </x:c>
      <x:c r="U17" s="3" t="s">
        <x:v>177</x:v>
      </x:c>
      <x:c r="V17" s="3" t="s">
        <x:v>178</x:v>
      </x:c>
      <x:c r="W17" s="3" t="s">
        <x:v>179</x:v>
      </x:c>
      <x:c r="X17" s="3" t="s">
        <x:v>180</x:v>
      </x:c>
      <x:c r="Y17" s="3" t="s">
        <x:v>181</x:v>
      </x:c>
      <x:c r="Z17" s="3" t="s">
        <x:v>182</x:v>
      </x:c>
      <x:c r="AA17" s="3" t="s">
        <x:v>118</x:v>
      </x:c>
      <x:c r="AB17" s="7" t="n">
        <x:v>46273.3520833333</x:v>
      </x:c>
      <x:c r="AC17" s="7" t="n">
        <x:v>46273.3541666667</x:v>
      </x:c>
      <x:c r="AD17" s="7" t="n">
        <x:v>46273.3569444444</x:v>
      </x:c>
      <x:c r="AE17" s="7" t="n">
        <x:v>46273.3722222222</x:v>
      </x:c>
      <x:c r="AF17" s="7"/>
      <x:c r="AG17" s="3" t="n">
        <x:v>29</x:v>
      </x:c>
      <x:c r="AH17" s="3"/>
      <x:c r="AI17" s="3" t="s">
        <x:v>135</x:v>
      </x:c>
      <x:c r="AJ17" s="3" t="s">
        <x:v>111</x:v>
      </x:c>
      <x:c r="AK17" s="3" t="n">
        <x:v>180</x:v>
      </x:c>
      <x:c r="AL17" s="3" t="n">
        <x:v>0</x:v>
      </x:c>
      <x:c r="AM17" s="8" t="n">
        <x:v>0.35</x:v>
      </x:c>
      <x:c r="AN17" s="3" t="n">
        <x:v>4</x:v>
      </x:c>
      <x:c r="AO17" s="3" t="s">
        <x:v>14</x:v>
      </x:c>
      <x:c r="AP17" s="3" t="s">
        <x:v>241</x:v>
      </x:c>
      <x:c r="AQ17" s="3" t="s">
        <x:v>242</x:v>
      </x:c>
      <x:c r="AR17" s="9" t="n">
        <x:v>1564</x:v>
      </x:c>
      <x:c r="AS17" s="3" t="s">
        <x:v>185</x:v>
      </x:c>
      <x:c r="AT17" s="7" t="n">
        <x:v>46273.3958333333</x:v>
      </x:c>
    </x:row>
    <x:row r="18" ht="31.299999237060547" hidden="0">
      <x:c r="A18" s="3" t="s">
        <x:v>278</x:v>
      </x:c>
      <x:c r="B18" s="3" t="s">
        <x:v>83</x:v>
      </x:c>
      <x:c r="C18" s="3" t="s">
        <x:v>96</x:v>
      </x:c>
      <x:c r="D18" s="3" t="s">
        <x:v>97</x:v>
      </x:c>
      <x:c r="E18" s="3" t="s">
        <x:v>249</x:v>
      </x:c>
      <x:c r="F18" s="3" t="s">
        <x:v>99</x:v>
      </x:c>
      <x:c r="G18" s="3" t="s">
        <x:v>279</x:v>
      </x:c>
      <x:c r="H18" s="3" t="s">
        <x:v>101</x:v>
      </x:c>
      <x:c r="I18" s="3" t="s">
        <x:v>102</x:v>
      </x:c>
      <x:c r="J18" s="3" t="s">
        <x:v>103</x:v>
      </x:c>
      <x:c r="K18" s="3" t="s">
        <x:v>104</x:v>
      </x:c>
      <x:c r="L18" s="3" t="s">
        <x:v>105</x:v>
      </x:c>
      <x:c r="M18" s="3" t="s">
        <x:v>106</x:v>
      </x:c>
      <x:c r="N18" s="3" t="s">
        <x:v>107</x:v>
      </x:c>
      <x:c r="O18" s="3" t="s">
        <x:v>108</x:v>
      </x:c>
      <x:c r="P18" s="3" t="s">
        <x:v>109</x:v>
      </x:c>
      <x:c r="Q18" s="3" t="s">
        <x:v>250</x:v>
      </x:c>
      <x:c r="R18" s="3" t="s">
        <x:v>196</x:v>
      </x:c>
      <x:c r="S18" s="3" t="s">
        <x:v>111</x:v>
      </x:c>
      <x:c r="T18" s="3" t="s">
        <x:v>111</x:v>
      </x:c>
      <x:c r="U18" s="3" t="s">
        <x:v>197</x:v>
      </x:c>
      <x:c r="V18" s="3" t="s">
        <x:v>198</x:v>
      </x:c>
      <x:c r="W18" s="3" t="s">
        <x:v>199</x:v>
      </x:c>
      <x:c r="X18" s="3" t="s">
        <x:v>115</x:v>
      </x:c>
      <x:c r="Y18" s="3" t="s">
        <x:v>200</x:v>
      </x:c>
      <x:c r="Z18" s="3" t="s">
        <x:v>201</x:v>
      </x:c>
      <x:c r="AA18" s="3" t="s">
        <x:v>118</x:v>
      </x:c>
      <x:c r="AB18" s="7" t="n">
        <x:v>46273.3555555556</x:v>
      </x:c>
      <x:c r="AC18" s="7" t="n">
        <x:v>46273.3583333333</x:v>
      </x:c>
      <x:c r="AD18" s="7" t="n">
        <x:v>46273.3625</x:v>
      </x:c>
      <x:c r="AE18" s="7" t="n">
        <x:v>46273.3763888889</x:v>
      </x:c>
      <x:c r="AF18" s="7" t="n">
        <x:v>46273.3993055556</x:v>
      </x:c>
      <x:c r="AG18" s="3" t="n">
        <x:v>30</x:v>
      </x:c>
      <x:c r="AH18" s="3" t="n">
        <x:v>28</x:v>
      </x:c>
      <x:c r="AI18" s="3" t="s">
        <x:v>111</x:v>
      </x:c>
      <x:c r="AJ18" s="3" t="s">
        <x:v>111</x:v>
      </x:c>
      <x:c r="AK18" s="3" t="n">
        <x:v>45</x:v>
      </x:c>
      <x:c r="AL18" s="3" t="n">
        <x:v>0</x:v>
      </x:c>
      <x:c r="AM18" s="8" t="n">
        <x:v>1.2889</x:v>
      </x:c>
      <x:c r="AN18" s="3" t="n">
        <x:v>0</x:v>
      </x:c>
      <x:c r="AO18" s="3" t="s">
        <x:v>24</x:v>
      </x:c>
      <x:c r="AP18" s="3" t="s">
        <x:v>280</x:v>
      </x:c>
      <x:c r="AQ18" s="3" t="s">
        <x:v>120</x:v>
      </x:c>
      <x:c r="AR18" s="9" t="n">
        <x:v>906</x:v>
      </x:c>
      <x:c r="AS18" s="3" t="s">
        <x:v>121</x:v>
      </x:c>
      <x:c r="AT18" s="7" t="n">
        <x:v>46273.3958333333</x:v>
      </x:c>
    </x:row>
    <x:row r="19" ht="31.299999237060547" hidden="0">
      <x:c r="A19" s="3" t="s">
        <x:v>281</x:v>
      </x:c>
      <x:c r="B19" s="3" t="s">
        <x:v>123</x:v>
      </x:c>
      <x:c r="C19" s="3" t="s">
        <x:v>124</x:v>
      </x:c>
      <x:c r="D19" s="3" t="s">
        <x:v>125</x:v>
      </x:c>
      <x:c r="E19" s="3" t="s">
        <x:v>98</x:v>
      </x:c>
      <x:c r="F19" s="3" t="s">
        <x:v>127</x:v>
      </x:c>
      <x:c r="G19" s="3" t="s">
        <x:v>282</x:v>
      </x:c>
      <x:c r="H19" s="3" t="s">
        <x:v>101</x:v>
      </x:c>
      <x:c r="I19" s="3" t="s">
        <x:v>102</x:v>
      </x:c>
      <x:c r="J19" s="3" t="s">
        <x:v>103</x:v>
      </x:c>
      <x:c r="K19" s="3" t="s">
        <x:v>104</x:v>
      </x:c>
      <x:c r="L19" s="3" t="s">
        <x:v>129</x:v>
      </x:c>
      <x:c r="M19" s="3" t="s">
        <x:v>130</x:v>
      </x:c>
      <x:c r="N19" s="3" t="s">
        <x:v>131</x:v>
      </x:c>
      <x:c r="O19" s="3" t="s">
        <x:v>132</x:v>
      </x:c>
      <x:c r="P19" s="3" t="s">
        <x:v>133</x:v>
      </x:c>
      <x:c r="Q19" s="3"/>
      <x:c r="R19" s="3" t="s">
        <x:v>214</x:v>
      </x:c>
      <x:c r="S19" s="3" t="s">
        <x:v>135</x:v>
      </x:c>
      <x:c r="T19" s="3" t="s">
        <x:v>111</x:v>
      </x:c>
      <x:c r="U19" s="3" t="s">
        <x:v>215</x:v>
      </x:c>
      <x:c r="V19" s="3" t="s">
        <x:v>216</x:v>
      </x:c>
      <x:c r="W19" s="3" t="s">
        <x:v>217</x:v>
      </x:c>
      <x:c r="X19" s="3" t="s">
        <x:v>139</x:v>
      </x:c>
      <x:c r="Y19" s="3" t="s">
        <x:v>218</x:v>
      </x:c>
      <x:c r="Z19" s="3" t="s">
        <x:v>219</x:v>
      </x:c>
      <x:c r="AA19" s="3" t="s">
        <x:v>118</x:v>
      </x:c>
      <x:c r="AB19" s="7" t="n">
        <x:v>46273.3590277778</x:v>
      </x:c>
      <x:c r="AC19" s="7" t="n">
        <x:v>46273.3625</x:v>
      </x:c>
      <x:c r="AD19" s="7" t="n">
        <x:v>46273.3638888889</x:v>
      </x:c>
      <x:c r="AE19" s="7" t="n">
        <x:v>46273.3888888889</x:v>
      </x:c>
      <x:c r="AF19" s="7"/>
      <x:c r="AG19" s="3" t="n">
        <x:v>43</x:v>
      </x:c>
      <x:c r="AH19" s="3"/>
      <x:c r="AI19" s="3" t="s">
        <x:v>135</x:v>
      </x:c>
      <x:c r="AJ19" s="3" t="s">
        <x:v>135</x:v>
      </x:c>
      <x:c r="AK19" s="3" t="n">
        <x:v>120</x:v>
      </x:c>
      <x:c r="AL19" s="3" t="n">
        <x:v>0</x:v>
      </x:c>
      <x:c r="AM19" s="8" t="n">
        <x:v>0.4417</x:v>
      </x:c>
      <x:c r="AN19" s="3" t="n">
        <x:v>1</x:v>
      </x:c>
      <x:c r="AO19" s="3" t="s">
        <x:v>9</x:v>
      </x:c>
      <x:c r="AP19" s="3" t="s">
        <x:v>142</x:v>
      </x:c>
      <x:c r="AQ19" s="3" t="s">
        <x:v>143</x:v>
      </x:c>
      <x:c r="AR19" s="9" t="n">
        <x:v>613</x:v>
      </x:c>
      <x:c r="AS19" s="3" t="s">
        <x:v>144</x:v>
      </x:c>
      <x:c r="AT19" s="7" t="n">
        <x:v>46273.3958333333</x:v>
      </x:c>
    </x:row>
    <x:row r="20" ht="31.299999237060547" hidden="0">
      <x:c r="A20" s="3" t="s">
        <x:v>283</x:v>
      </x:c>
      <x:c r="B20" s="3" t="s">
        <x:v>146</x:v>
      </x:c>
      <x:c r="C20" s="3" t="s">
        <x:v>147</x:v>
      </x:c>
      <x:c r="D20" s="3" t="s">
        <x:v>148</x:v>
      </x:c>
      <x:c r="E20" s="3" t="s">
        <x:v>126</x:v>
      </x:c>
      <x:c r="F20" s="3" t="s">
        <x:v>149</x:v>
      </x:c>
      <x:c r="G20" s="3" t="s">
        <x:v>284</x:v>
      </x:c>
      <x:c r="H20" s="3" t="s">
        <x:v>101</x:v>
      </x:c>
      <x:c r="I20" s="3" t="s">
        <x:v>102</x:v>
      </x:c>
      <x:c r="J20" s="3" t="s">
        <x:v>103</x:v>
      </x:c>
      <x:c r="K20" s="3" t="s">
        <x:v>104</x:v>
      </x:c>
      <x:c r="L20" s="3" t="s">
        <x:v>151</x:v>
      </x:c>
      <x:c r="M20" s="3" t="s">
        <x:v>152</x:v>
      </x:c>
      <x:c r="N20" s="3" t="s">
        <x:v>153</x:v>
      </x:c>
      <x:c r="O20" s="3" t="s">
        <x:v>154</x:v>
      </x:c>
      <x:c r="P20" s="3" t="s">
        <x:v>155</x:v>
      </x:c>
      <x:c r="Q20" s="3"/>
      <x:c r="R20" s="3" t="s">
        <x:v>110</x:v>
      </x:c>
      <x:c r="S20" s="3" t="s">
        <x:v>111</x:v>
      </x:c>
      <x:c r="T20" s="3" t="s">
        <x:v>111</x:v>
      </x:c>
      <x:c r="U20" s="3" t="s">
        <x:v>112</x:v>
      </x:c>
      <x:c r="V20" s="3" t="s">
        <x:v>113</x:v>
      </x:c>
      <x:c r="W20" s="3" t="s">
        <x:v>114</x:v>
      </x:c>
      <x:c r="X20" s="3" t="s">
        <x:v>160</x:v>
      </x:c>
      <x:c r="Y20" s="3" t="s">
        <x:v>116</x:v>
      </x:c>
      <x:c r="Z20" s="3" t="s">
        <x:v>117</x:v>
      </x:c>
      <x:c r="AA20" s="3" t="s">
        <x:v>118</x:v>
      </x:c>
      <x:c r="AB20" s="7" t="n">
        <x:v>46273.3625</x:v>
      </x:c>
      <x:c r="AC20" s="7" t="n">
        <x:v>46273.3666666667</x:v>
      </x:c>
      <x:c r="AD20" s="7" t="n">
        <x:v>46273.3694444444</x:v>
      </x:c>
      <x:c r="AE20" s="7"/>
      <x:c r="AF20" s="7"/>
      <x:c r="AG20" s="3"/>
      <x:c r="AH20" s="3"/>
      <x:c r="AI20" s="3" t="s">
        <x:v>135</x:v>
      </x:c>
      <x:c r="AJ20" s="3" t="s">
        <x:v>135</x:v>
      </x:c>
      <x:c r="AK20" s="3" t="n">
        <x:v>60</x:v>
      </x:c>
      <x:c r="AL20" s="3" t="n">
        <x:v>5</x:v>
      </x:c>
      <x:c r="AM20" s="8" t="n">
        <x:v>0.8</x:v>
      </x:c>
      <x:c r="AN20" s="3" t="n">
        <x:v>2</x:v>
      </x:c>
      <x:c r="AO20" s="3" t="s">
        <x:v>19</x:v>
      </x:c>
      <x:c r="AP20" s="3" t="s">
        <x:v>285</x:v>
      </x:c>
      <x:c r="AQ20" s="3" t="s">
        <x:v>164</x:v>
      </x:c>
      <x:c r="AR20" s="9" t="n">
        <x:v>718</x:v>
      </x:c>
      <x:c r="AS20" s="3" t="s">
        <x:v>144</x:v>
      </x:c>
      <x:c r="AT20" s="7" t="n">
        <x:v>46273.3958333333</x:v>
      </x:c>
    </x:row>
    <x:row r="21" ht="31.299999237060547" hidden="0">
      <x:c r="A21" s="3" t="s">
        <x:v>286</x:v>
      </x:c>
      <x:c r="B21" s="3" t="s">
        <x:v>166</x:v>
      </x:c>
      <x:c r="C21" s="3" t="s">
        <x:v>167</x:v>
      </x:c>
      <x:c r="D21" s="3" t="s">
        <x:v>168</x:v>
      </x:c>
      <x:c r="E21" s="3" t="s">
        <x:v>98</x:v>
      </x:c>
      <x:c r="F21" s="3" t="s">
        <x:v>169</x:v>
      </x:c>
      <x:c r="G21" s="3" t="s">
        <x:v>287</x:v>
      </x:c>
      <x:c r="H21" s="3" t="s">
        <x:v>101</x:v>
      </x:c>
      <x:c r="I21" s="3" t="s">
        <x:v>102</x:v>
      </x:c>
      <x:c r="J21" s="3" t="s">
        <x:v>103</x:v>
      </x:c>
      <x:c r="K21" s="3" t="s">
        <x:v>104</x:v>
      </x:c>
      <x:c r="L21" s="3" t="s">
        <x:v>171</x:v>
      </x:c>
      <x:c r="M21" s="3" t="s">
        <x:v>172</x:v>
      </x:c>
      <x:c r="N21" s="3" t="s">
        <x:v>173</x:v>
      </x:c>
      <x:c r="O21" s="3" t="s">
        <x:v>174</x:v>
      </x:c>
      <x:c r="P21" s="3" t="s">
        <x:v>175</x:v>
      </x:c>
      <x:c r="Q21" s="3"/>
      <x:c r="R21" s="3" t="s">
        <x:v>134</x:v>
      </x:c>
      <x:c r="S21" s="3" t="s">
        <x:v>135</x:v>
      </x:c>
      <x:c r="T21" s="3" t="s">
        <x:v>111</x:v>
      </x:c>
      <x:c r="U21" s="3" t="s">
        <x:v>136</x:v>
      </x:c>
      <x:c r="V21" s="3" t="s">
        <x:v>137</x:v>
      </x:c>
      <x:c r="W21" s="3" t="s">
        <x:v>138</x:v>
      </x:c>
      <x:c r="X21" s="3" t="s">
        <x:v>180</x:v>
      </x:c>
      <x:c r="Y21" s="3" t="s">
        <x:v>140</x:v>
      </x:c>
      <x:c r="Z21" s="3" t="s">
        <x:v>141</x:v>
      </x:c>
      <x:c r="AA21" s="3" t="s">
        <x:v>118</x:v>
      </x:c>
      <x:c r="AB21" s="7" t="n">
        <x:v>46273.3659722222</x:v>
      </x:c>
      <x:c r="AC21" s="7" t="n">
        <x:v>46273.3673611111</x:v>
      </x:c>
      <x:c r="AD21" s="7" t="n">
        <x:v>46273.3715277778</x:v>
      </x:c>
      <x:c r="AE21" s="7" t="n">
        <x:v>46273.3826388889</x:v>
      </x:c>
      <x:c r="AF21" s="7"/>
      <x:c r="AG21" s="3" t="n">
        <x:v>24</x:v>
      </x:c>
      <x:c r="AH21" s="3"/>
      <x:c r="AI21" s="3" t="s">
        <x:v>135</x:v>
      </x:c>
      <x:c r="AJ21" s="3" t="s">
        <x:v>135</x:v>
      </x:c>
      <x:c r="AK21" s="3" t="n">
        <x:v>90</x:v>
      </x:c>
      <x:c r="AL21" s="3" t="n">
        <x:v>0</x:v>
      </x:c>
      <x:c r="AM21" s="8" t="n">
        <x:v>0.4778</x:v>
      </x:c>
      <x:c r="AN21" s="3" t="n">
        <x:v>3</x:v>
      </x:c>
      <x:c r="AO21" s="3" t="s">
        <x:v>14</x:v>
      </x:c>
      <x:c r="AP21" s="3" t="s">
        <x:v>183</x:v>
      </x:c>
      <x:c r="AQ21" s="3" t="s">
        <x:v>184</x:v>
      </x:c>
      <x:c r="AR21" s="9" t="n">
        <x:v>1407</x:v>
      </x:c>
      <x:c r="AS21" s="3" t="s">
        <x:v>185</x:v>
      </x:c>
      <x:c r="AT21" s="7" t="n">
        <x:v>46273.3958333333</x:v>
      </x:c>
    </x:row>
    <x:row r="22" ht="31.299999237060547" hidden="0">
      <x:c r="A22" s="3" t="s">
        <x:v>288</x:v>
      </x:c>
      <x:c r="B22" s="3" t="s">
        <x:v>187</x:v>
      </x:c>
      <x:c r="C22" s="3" t="s">
        <x:v>188</x:v>
      </x:c>
      <x:c r="D22" s="3" t="s">
        <x:v>189</x:v>
      </x:c>
      <x:c r="E22" s="3" t="s">
        <x:v>98</x:v>
      </x:c>
      <x:c r="F22" s="3" t="s">
        <x:v>99</x:v>
      </x:c>
      <x:c r="G22" s="3" t="s">
        <x:v>289</x:v>
      </x:c>
      <x:c r="H22" s="3" t="s">
        <x:v>101</x:v>
      </x:c>
      <x:c r="I22" s="3" t="s">
        <x:v>102</x:v>
      </x:c>
      <x:c r="J22" s="3" t="s">
        <x:v>103</x:v>
      </x:c>
      <x:c r="K22" s="3" t="s">
        <x:v>104</x:v>
      </x:c>
      <x:c r="L22" s="3" t="s">
        <x:v>191</x:v>
      </x:c>
      <x:c r="M22" s="3" t="s">
        <x:v>192</x:v>
      </x:c>
      <x:c r="N22" s="3" t="s">
        <x:v>193</x:v>
      </x:c>
      <x:c r="O22" s="3" t="s">
        <x:v>194</x:v>
      </x:c>
      <x:c r="P22" s="3" t="s">
        <x:v>195</x:v>
      </x:c>
      <x:c r="Q22" s="3"/>
      <x:c r="R22" s="3" t="s">
        <x:v>156</x:v>
      </x:c>
      <x:c r="S22" s="3" t="s">
        <x:v>135</x:v>
      </x:c>
      <x:c r="T22" s="3" t="s">
        <x:v>111</x:v>
      </x:c>
      <x:c r="U22" s="3" t="s">
        <x:v>157</x:v>
      </x:c>
      <x:c r="V22" s="3" t="s">
        <x:v>158</x:v>
      </x:c>
      <x:c r="W22" s="3" t="s">
        <x:v>159</x:v>
      </x:c>
      <x:c r="X22" s="3" t="s">
        <x:v>115</x:v>
      </x:c>
      <x:c r="Y22" s="3" t="s">
        <x:v>161</x:v>
      </x:c>
      <x:c r="Z22" s="3" t="s">
        <x:v>162</x:v>
      </x:c>
      <x:c r="AA22" s="3" t="s">
        <x:v>118</x:v>
      </x:c>
      <x:c r="AB22" s="7" t="n">
        <x:v>46273.3694444444</x:v>
      </x:c>
      <x:c r="AC22" s="7" t="n">
        <x:v>46273.3715277778</x:v>
      </x:c>
      <x:c r="AD22" s="7" t="n">
        <x:v>46273.3729166667</x:v>
      </x:c>
      <x:c r="AE22" s="7" t="n">
        <x:v>46273.3888888889</x:v>
      </x:c>
      <x:c r="AF22" s="7"/>
      <x:c r="AG22" s="3" t="n">
        <x:v>28</x:v>
      </x:c>
      <x:c r="AH22" s="3"/>
      <x:c r="AI22" s="3" t="s">
        <x:v>135</x:v>
      </x:c>
      <x:c r="AJ22" s="3" t="s">
        <x:v>111</x:v>
      </x:c>
      <x:c r="AK22" s="3" t="n">
        <x:v>120</x:v>
      </x:c>
      <x:c r="AL22" s="3" t="n">
        <x:v>0</x:v>
      </x:c>
      <x:c r="AM22" s="8" t="n">
        <x:v>0.3167</x:v>
      </x:c>
      <x:c r="AN22" s="3" t="n">
        <x:v>1</x:v>
      </x:c>
      <x:c r="AO22" s="3" t="s">
        <x:v>14</x:v>
      </x:c>
      <x:c r="AP22" s="3" t="s">
        <x:v>202</x:v>
      </x:c>
      <x:c r="AQ22" s="3" t="s">
        <x:v>203</x:v>
      </x:c>
      <x:c r="AR22" s="9" t="n">
        <x:v>1212</x:v>
      </x:c>
      <x:c r="AS22" s="3" t="s">
        <x:v>185</x:v>
      </x:c>
      <x:c r="AT22" s="7" t="n">
        <x:v>46273.3958333333</x:v>
      </x:c>
    </x:row>
    <x:row r="23" ht="31.299999237060547" hidden="0">
      <x:c r="A23" s="3" t="s">
        <x:v>290</x:v>
      </x:c>
      <x:c r="B23" s="3" t="s">
        <x:v>205</x:v>
      </x:c>
      <x:c r="C23" s="3" t="s">
        <x:v>206</x:v>
      </x:c>
      <x:c r="D23" s="3" t="s">
        <x:v>207</x:v>
      </x:c>
      <x:c r="E23" s="3" t="s">
        <x:v>126</x:v>
      </x:c>
      <x:c r="F23" s="3" t="s">
        <x:v>127</x:v>
      </x:c>
      <x:c r="G23" s="3" t="s">
        <x:v>291</x:v>
      </x:c>
      <x:c r="H23" s="3" t="s">
        <x:v>101</x:v>
      </x:c>
      <x:c r="I23" s="3" t="s">
        <x:v>102</x:v>
      </x:c>
      <x:c r="J23" s="3" t="s">
        <x:v>103</x:v>
      </x:c>
      <x:c r="K23" s="3" t="s">
        <x:v>104</x:v>
      </x:c>
      <x:c r="L23" s="3" t="s">
        <x:v>209</x:v>
      </x:c>
      <x:c r="M23" s="3" t="s">
        <x:v>210</x:v>
      </x:c>
      <x:c r="N23" s="3" t="s">
        <x:v>211</x:v>
      </x:c>
      <x:c r="O23" s="3" t="s">
        <x:v>212</x:v>
      </x:c>
      <x:c r="P23" s="3" t="s">
        <x:v>213</x:v>
      </x:c>
      <x:c r="Q23" s="3"/>
      <x:c r="R23" s="3" t="s">
        <x:v>176</x:v>
      </x:c>
      <x:c r="S23" s="3" t="s">
        <x:v>135</x:v>
      </x:c>
      <x:c r="T23" s="3" t="s">
        <x:v>135</x:v>
      </x:c>
      <x:c r="U23" s="3" t="s">
        <x:v>177</x:v>
      </x:c>
      <x:c r="V23" s="3" t="s">
        <x:v>178</x:v>
      </x:c>
      <x:c r="W23" s="3" t="s">
        <x:v>179</x:v>
      </x:c>
      <x:c r="X23" s="3" t="s">
        <x:v>139</x:v>
      </x:c>
      <x:c r="Y23" s="3" t="s">
        <x:v>181</x:v>
      </x:c>
      <x:c r="Z23" s="3" t="s">
        <x:v>182</x:v>
      </x:c>
      <x:c r="AA23" s="3" t="s">
        <x:v>118</x:v>
      </x:c>
      <x:c r="AB23" s="7" t="n">
        <x:v>46273.3729166667</x:v>
      </x:c>
      <x:c r="AC23" s="7" t="n">
        <x:v>46273.3756944445</x:v>
      </x:c>
      <x:c r="AD23" s="7" t="n">
        <x:v>46273.3784722222</x:v>
      </x:c>
      <x:c r="AE23" s="7"/>
      <x:c r="AF23" s="7"/>
      <x:c r="AG23" s="3"/>
      <x:c r="AH23" s="3"/>
      <x:c r="AI23" s="3" t="s">
        <x:v>135</x:v>
      </x:c>
      <x:c r="AJ23" s="3" t="s">
        <x:v>135</x:v>
      </x:c>
      <x:c r="AK23" s="3" t="n">
        <x:v>180</x:v>
      </x:c>
      <x:c r="AL23" s="3" t="n">
        <x:v>5</x:v>
      </x:c>
      <x:c r="AM23" s="8" t="n">
        <x:v>0.1833</x:v>
      </x:c>
      <x:c r="AN23" s="3" t="n">
        <x:v>0</x:v>
      </x:c>
      <x:c r="AO23" s="3" t="s">
        <x:v>9</x:v>
      </x:c>
      <x:c r="AP23" s="3" t="s">
        <x:v>142</x:v>
      </x:c>
      <x:c r="AQ23" s="3" t="s">
        <x:v>220</x:v>
      </x:c>
      <x:c r="AR23" s="9" t="n">
        <x:v>897</x:v>
      </x:c>
      <x:c r="AS23" s="3" t="s">
        <x:v>121</x:v>
      </x:c>
      <x:c r="AT23" s="7" t="n">
        <x:v>46273.3958333333</x:v>
      </x:c>
    </x:row>
    <x:row r="24" ht="31.299999237060547" hidden="0">
      <x:c r="A24" s="3" t="s">
        <x:v>292</x:v>
      </x:c>
      <x:c r="B24" s="3" t="s">
        <x:v>222</x:v>
      </x:c>
      <x:c r="C24" s="3" t="s">
        <x:v>223</x:v>
      </x:c>
      <x:c r="D24" s="3" t="s">
        <x:v>224</x:v>
      </x:c>
      <x:c r="E24" s="3" t="s">
        <x:v>126</x:v>
      </x:c>
      <x:c r="F24" s="3" t="s">
        <x:v>149</x:v>
      </x:c>
      <x:c r="G24" s="3" t="s">
        <x:v>293</x:v>
      </x:c>
      <x:c r="H24" s="3" t="s">
        <x:v>101</x:v>
      </x:c>
      <x:c r="I24" s="3" t="s">
        <x:v>102</x:v>
      </x:c>
      <x:c r="J24" s="3" t="s">
        <x:v>103</x:v>
      </x:c>
      <x:c r="K24" s="3" t="s">
        <x:v>104</x:v>
      </x:c>
      <x:c r="L24" s="3" t="s">
        <x:v>226</x:v>
      </x:c>
      <x:c r="M24" s="3" t="s">
        <x:v>227</x:v>
      </x:c>
      <x:c r="N24" s="3" t="s">
        <x:v>228</x:v>
      </x:c>
      <x:c r="O24" s="3" t="s">
        <x:v>229</x:v>
      </x:c>
      <x:c r="P24" s="3" t="s">
        <x:v>230</x:v>
      </x:c>
      <x:c r="Q24" s="3"/>
      <x:c r="R24" s="3" t="s">
        <x:v>196</x:v>
      </x:c>
      <x:c r="S24" s="3" t="s">
        <x:v>111</x:v>
      </x:c>
      <x:c r="T24" s="3" t="s">
        <x:v>111</x:v>
      </x:c>
      <x:c r="U24" s="3" t="s">
        <x:v>197</x:v>
      </x:c>
      <x:c r="V24" s="3" t="s">
        <x:v>198</x:v>
      </x:c>
      <x:c r="W24" s="3" t="s">
        <x:v>199</x:v>
      </x:c>
      <x:c r="X24" s="3" t="s">
        <x:v>160</x:v>
      </x:c>
      <x:c r="Y24" s="3" t="s">
        <x:v>200</x:v>
      </x:c>
      <x:c r="Z24" s="3" t="s">
        <x:v>201</x:v>
      </x:c>
      <x:c r="AA24" s="3" t="s">
        <x:v>118</x:v>
      </x:c>
      <x:c r="AB24" s="7" t="n">
        <x:v>46273.3784722222</x:v>
      </x:c>
      <x:c r="AC24" s="7" t="n">
        <x:v>46273.3819444444</x:v>
      </x:c>
      <x:c r="AD24" s="7" t="n">
        <x:v>46273.3861111111</x:v>
      </x:c>
      <x:c r="AE24" s="7"/>
      <x:c r="AF24" s="7"/>
      <x:c r="AG24" s="3"/>
      <x:c r="AH24" s="3"/>
      <x:c r="AI24" s="3" t="s">
        <x:v>135</x:v>
      </x:c>
      <x:c r="AJ24" s="3" t="s">
        <x:v>135</x:v>
      </x:c>
      <x:c r="AK24" s="3" t="n">
        <x:v>45</x:v>
      </x:c>
      <x:c r="AL24" s="3" t="n">
        <x:v>19</x:v>
      </x:c>
      <x:c r="AM24" s="8" t="n">
        <x:v>0.5556</x:v>
      </x:c>
      <x:c r="AN24" s="3" t="n">
        <x:v>2</x:v>
      </x:c>
      <x:c r="AO24" s="3" t="s">
        <x:v>14</x:v>
      </x:c>
      <x:c r="AP24" s="3" t="s">
        <x:v>255</x:v>
      </x:c>
      <x:c r="AQ24" s="3" t="s">
        <x:v>231</x:v>
      </x:c>
      <x:c r="AR24" s="9" t="n">
        <x:v>545</x:v>
      </x:c>
      <x:c r="AS24" s="3" t="s">
        <x:v>144</x:v>
      </x:c>
      <x:c r="AT24" s="7" t="n">
        <x:v>46273.3958333333</x:v>
      </x:c>
    </x:row>
    <x:row r="25" ht="31.299999237060547" hidden="0">
      <x:c r="A25" s="3" t="s">
        <x:v>294</x:v>
      </x:c>
      <x:c r="B25" s="3" t="s">
        <x:v>233</x:v>
      </x:c>
      <x:c r="C25" s="3" t="s">
        <x:v>234</x:v>
      </x:c>
      <x:c r="D25" s="3" t="s">
        <x:v>235</x:v>
      </x:c>
      <x:c r="E25" s="3" t="s">
        <x:v>126</x:v>
      </x:c>
      <x:c r="F25" s="3" t="s">
        <x:v>169</x:v>
      </x:c>
      <x:c r="G25" s="3" t="s">
        <x:v>295</x:v>
      </x:c>
      <x:c r="H25" s="3" t="s">
        <x:v>101</x:v>
      </x:c>
      <x:c r="I25" s="3" t="s">
        <x:v>102</x:v>
      </x:c>
      <x:c r="J25" s="3" t="s">
        <x:v>103</x:v>
      </x:c>
      <x:c r="K25" s="3" t="s">
        <x:v>104</x:v>
      </x:c>
      <x:c r="L25" s="3" t="s">
        <x:v>237</x:v>
      </x:c>
      <x:c r="M25" s="3" t="s">
        <x:v>172</x:v>
      </x:c>
      <x:c r="N25" s="3" t="s">
        <x:v>238</x:v>
      </x:c>
      <x:c r="O25" s="3" t="s">
        <x:v>239</x:v>
      </x:c>
      <x:c r="P25" s="3" t="s">
        <x:v>240</x:v>
      </x:c>
      <x:c r="Q25" s="3"/>
      <x:c r="R25" s="3" t="s">
        <x:v>214</x:v>
      </x:c>
      <x:c r="S25" s="3" t="s">
        <x:v>135</x:v>
      </x:c>
      <x:c r="T25" s="3" t="s">
        <x:v>111</x:v>
      </x:c>
      <x:c r="U25" s="3" t="s">
        <x:v>215</x:v>
      </x:c>
      <x:c r="V25" s="3" t="s">
        <x:v>216</x:v>
      </x:c>
      <x:c r="W25" s="3" t="s">
        <x:v>217</x:v>
      </x:c>
      <x:c r="X25" s="3" t="s">
        <x:v>180</x:v>
      </x:c>
      <x:c r="Y25" s="3" t="s">
        <x:v>218</x:v>
      </x:c>
      <x:c r="Z25" s="3" t="s">
        <x:v>219</x:v>
      </x:c>
      <x:c r="AA25" s="3" t="s">
        <x:v>118</x:v>
      </x:c>
      <x:c r="AB25" s="7" t="n">
        <x:v>46273.3854166667</x:v>
      </x:c>
      <x:c r="AC25" s="7" t="n">
        <x:v>46273.3895833333</x:v>
      </x:c>
      <x:c r="AD25" s="7" t="n">
        <x:v>46273.3909722222</x:v>
      </x:c>
      <x:c r="AE25" s="7"/>
      <x:c r="AF25" s="7"/>
      <x:c r="AG25" s="3"/>
      <x:c r="AH25" s="3"/>
      <x:c r="AI25" s="3" t="s">
        <x:v>135</x:v>
      </x:c>
      <x:c r="AJ25" s="3" t="s">
        <x:v>111</x:v>
      </x:c>
      <x:c r="AK25" s="3" t="n">
        <x:v>120</x:v>
      </x:c>
      <x:c r="AL25" s="3" t="n">
        <x:v>37</x:v>
      </x:c>
      <x:c r="AM25" s="8" t="n">
        <x:v>0.125</x:v>
      </x:c>
      <x:c r="AN25" s="3" t="n">
        <x:v>4</x:v>
      </x:c>
      <x:c r="AO25" s="3" t="s">
        <x:v>14</x:v>
      </x:c>
      <x:c r="AP25" s="3" t="s">
        <x:v>241</x:v>
      </x:c>
      <x:c r="AQ25" s="3" t="s">
        <x:v>242</x:v>
      </x:c>
      <x:c r="AR25" s="9" t="n">
        <x:v>1386</x:v>
      </x:c>
      <x:c r="AS25" s="3" t="s">
        <x:v>185</x:v>
      </x:c>
      <x:c r="AT25" s="7" t="n">
        <x:v>46273.3958333333</x:v>
      </x:c>
    </x:row>
  </x:sheetData>
  <x:conditionalFormatting sqref="AO2:AO25">
    <x:cfRule type="expression" dxfId="15" priority="2" aboveAverage="0" percent="0" bottom="0" rank="0" equalAverage="0">
      <x:formula>AO2="Verde"</x:formula>
    </x:cfRule>
    <x:cfRule type="expression" dxfId="16" priority="3" aboveAverage="0" percent="0" bottom="0" rank="0" equalAverage="0">
      <x:formula>AO2="Amarelo"</x:formula>
    </x:cfRule>
    <x:cfRule type="expression" dxfId="17" priority="4" aboveAverage="0" percent="0" bottom="0" rank="0" equalAverage="0">
      <x:formula>AO2="Laranja"</x:formula>
    </x:cfRule>
    <x:cfRule type="expression" dxfId="18" priority="5" aboveAverage="0" percent="0" bottom="0" rank="0" equalAverage="0">
      <x:formula>AO2="Vermelho"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3c7abefd404276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0.43000030517578" hidden="0" customWidth="1"/>
    <x:col min="2" max="2" width="24.979999542236328" hidden="0" customWidth="1"/>
    <x:col min="3" max="3" width="27.239999771118164" hidden="0" customWidth="1"/>
    <x:col min="4" max="4" width="43.13999938964844" hidden="0" customWidth="1"/>
    <x:col min="5" max="5" width="20.43000030517578" hidden="0" customWidth="1"/>
    <x:col min="6" max="6" width="24.979999542236328" hidden="0" customWidth="1"/>
    <x:col min="7" max="7" width="15.890000343322754" hidden="0" customWidth="1"/>
    <x:col min="8" max="8" width="22.700000762939453" hidden="0" customWidth="1"/>
    <x:col min="9" max="10" width="20.43000030517578" hidden="0" customWidth="1"/>
    <x:col min="11" max="12" width="13.619999885559082" hidden="0" customWidth="1"/>
    <x:col min="13" max="13" width="24.979999542236328" hidden="0" customWidth="1"/>
    <x:col min="14" max="15" width="20.43000030517578" hidden="0" customWidth="1"/>
    <x:col min="16" max="16" width="22.700000762939453" hidden="0" customWidth="1"/>
    <x:col min="17" max="17" width="38.599998474121094" hidden="0" customWidth="1"/>
    <x:col min="18" max="18" width="28.3799991607666" hidden="0" customWidth="1"/>
    <x:col min="19" max="19" width="9.079999923706055" hidden="0" customWidth="1"/>
    <x:col min="20" max="20" width="13.619999885559082" hidden="0" customWidth="1"/>
    <x:col min="21" max="21" width="18.15999984741211" hidden="0" customWidth="1"/>
    <x:col min="22" max="22" width="15.890000343322754" hidden="0" customWidth="1"/>
    <x:col min="23" max="25" width="20.43000030517578" hidden="0" customWidth="1"/>
    <x:col min="26" max="26" width="38.599998474121094" hidden="0" customWidth="1"/>
    <x:col min="27" max="30" width="20.43000030517578" hidden="0" customWidth="1"/>
    <x:col min="31" max="31" width="22.700000762939453" hidden="0" customWidth="1"/>
    <x:col min="32" max="32" width="20.43000030517578" hidden="0" customWidth="1"/>
    <x:col min="33" max="34" width="9.079999923706055" hidden="0" customWidth="1"/>
    <x:col min="35" max="35" width="18.15999984741211" hidden="0" customWidth="1"/>
    <x:col min="36" max="36" width="15.890000343322754" hidden="0" customWidth="1"/>
    <x:col min="37" max="37" width="13.619999885559082" hidden="0" customWidth="1"/>
    <x:col min="38" max="38" width="11.350000381469727" hidden="0" customWidth="1"/>
    <x:col min="39" max="40" width="15.890000343322754" hidden="0" customWidth="1"/>
    <x:col min="41" max="41" width="22.700000762939453" hidden="0" customWidth="1"/>
    <x:col min="42" max="42" width="45.40999984741211" hidden="0" customWidth="1"/>
    <x:col min="43" max="43" width="49.95000076293945" hidden="0" customWidth="1"/>
    <x:col min="44" max="44" width="20.43000030517578" hidden="0" customWidth="1"/>
    <x:col min="45" max="45" width="18.15999984741211" hidden="0" customWidth="1"/>
    <x:col min="46" max="46" width="20.43000030517578" hidden="0" customWidth="1"/>
  </x:cols>
  <x:sheetData>
    <x:row r="1" ht="15" hidden="0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  <x:c r="G1" s="6" t="s">
        <x:v>55</x:v>
      </x:c>
      <x:c r="H1" s="6" t="s">
        <x:v>56</x:v>
      </x:c>
      <x:c r="I1" s="6" t="s">
        <x:v>57</x:v>
      </x:c>
      <x:c r="J1" s="6" t="s">
        <x:v>58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  <x:c r="Q1" s="6" t="s">
        <x:v>65</x:v>
      </x:c>
      <x:c r="R1" s="6" t="s">
        <x:v>66</x:v>
      </x:c>
      <x:c r="S1" s="6" t="s">
        <x:v>67</x:v>
      </x:c>
      <x:c r="T1" s="6" t="s">
        <x:v>68</x:v>
      </x:c>
      <x:c r="U1" s="6" t="s">
        <x:v>69</x:v>
      </x:c>
      <x:c r="V1" s="6" t="s">
        <x:v>70</x:v>
      </x:c>
      <x:c r="W1" s="6" t="s">
        <x:v>71</x:v>
      </x:c>
      <x:c r="X1" s="6" t="s">
        <x:v>72</x:v>
      </x:c>
      <x:c r="Y1" s="6" t="s">
        <x:v>73</x:v>
      </x:c>
      <x:c r="Z1" s="6" t="s">
        <x:v>74</x:v>
      </x:c>
      <x:c r="AA1" s="6" t="s">
        <x:v>75</x:v>
      </x:c>
      <x:c r="AB1" s="6" t="s">
        <x:v>76</x:v>
      </x:c>
      <x:c r="AC1" s="6" t="s">
        <x:v>77</x:v>
      </x:c>
      <x:c r="AD1" s="6" t="s">
        <x:v>78</x:v>
      </x:c>
      <x:c r="AE1" s="6" t="s">
        <x:v>79</x:v>
      </x:c>
      <x:c r="AF1" s="6" t="s">
        <x:v>80</x:v>
      </x:c>
      <x:c r="AG1" s="6" t="s">
        <x:v>81</x:v>
      </x:c>
      <x:c r="AH1" s="6" t="s">
        <x:v>82</x:v>
      </x:c>
      <x:c r="AI1" s="6" t="s">
        <x:v>83</x:v>
      </x:c>
      <x:c r="AJ1" s="6" t="s">
        <x:v>84</x:v>
      </x:c>
      <x:c r="AK1" s="6" t="s">
        <x:v>85</x:v>
      </x:c>
      <x:c r="AL1" s="6" t="s">
        <x:v>86</x:v>
      </x:c>
      <x:c r="AM1" s="6" t="s">
        <x:v>87</x:v>
      </x:c>
      <x:c r="AN1" s="6" t="s">
        <x:v>88</x:v>
      </x:c>
      <x:c r="AO1" s="6" t="s">
        <x:v>89</x:v>
      </x:c>
      <x:c r="AP1" s="6" t="s">
        <x:v>90</x:v>
      </x:c>
      <x:c r="AQ1" s="6" t="s">
        <x:v>91</x:v>
      </x:c>
      <x:c r="AR1" s="6" t="s">
        <x:v>92</x:v>
      </x:c>
      <x:c r="AS1" s="6" t="s">
        <x:v>93</x:v>
      </x:c>
      <x:c r="AT1" s="6" t="s">
        <x:v>94</x:v>
      </x:c>
    </x:row>
    <x:row r="2" ht="31.299999237060547" hidden="0">
      <x:c r="A2" s="3" t="s">
        <x:v>296</x:v>
      </x:c>
      <x:c r="B2" s="3" t="s">
        <x:v>297</x:v>
      </x:c>
      <x:c r="C2" s="3" t="s">
        <x:v>298</x:v>
      </x:c>
      <x:c r="D2" s="3" t="s">
        <x:v>299</x:v>
      </x:c>
      <x:c r="E2" s="3" t="s">
        <x:v>249</x:v>
      </x:c>
      <x:c r="F2" s="3" t="s">
        <x:v>127</x:v>
      </x:c>
      <x:c r="G2" s="3" t="s">
        <x:v>300</x:v>
      </x:c>
      <x:c r="H2" s="3" t="s">
        <x:v>301</x:v>
      </x:c>
      <x:c r="I2" s="3" t="s">
        <x:v>302</x:v>
      </x:c>
      <x:c r="J2" s="3" t="s">
        <x:v>303</x:v>
      </x:c>
      <x:c r="K2" s="3" t="s">
        <x:v>104</x:v>
      </x:c>
      <x:c r="L2" s="3" t="s">
        <x:v>304</x:v>
      </x:c>
      <x:c r="M2" s="3" t="s">
        <x:v>305</x:v>
      </x:c>
      <x:c r="N2" s="3" t="s">
        <x:v>306</x:v>
      </x:c>
      <x:c r="O2" s="3" t="s">
        <x:v>307</x:v>
      </x:c>
      <x:c r="P2" s="3" t="s">
        <x:v>308</x:v>
      </x:c>
      <x:c r="Q2" s="3" t="s">
        <x:v>309</x:v>
      </x:c>
      <x:c r="R2" s="3" t="s">
        <x:v>310</x:v>
      </x:c>
      <x:c r="S2" s="3" t="s">
        <x:v>135</x:v>
      </x:c>
      <x:c r="T2" s="3" t="s">
        <x:v>111</x:v>
      </x:c>
      <x:c r="U2" s="3" t="s">
        <x:v>311</x:v>
      </x:c>
      <x:c r="V2" s="3" t="s">
        <x:v>312</x:v>
      </x:c>
      <x:c r="W2" s="3" t="s">
        <x:v>313</x:v>
      </x:c>
      <x:c r="X2" s="3" t="s">
        <x:v>314</x:v>
      </x:c>
      <x:c r="Y2" s="3" t="s">
        <x:v>315</x:v>
      </x:c>
      <x:c r="Z2" s="3" t="s">
        <x:v>316</x:v>
      </x:c>
      <x:c r="AA2" s="3" t="s">
        <x:v>317</x:v>
      </x:c>
      <x:c r="AB2" s="7" t="n">
        <x:v>46242.3673611111</x:v>
      </x:c>
      <x:c r="AC2" s="7" t="n">
        <x:v>46242.3708333333</x:v>
      </x:c>
      <x:c r="AD2" s="7" t="n">
        <x:v>46242.3729166667</x:v>
      </x:c>
      <x:c r="AE2" s="7" t="n">
        <x:v>46242.3951388889</x:v>
      </x:c>
      <x:c r="AF2" s="7" t="n">
        <x:v>46242.4541666667</x:v>
      </x:c>
      <x:c r="AG2" s="3" t="n">
        <x:v>40</x:v>
      </x:c>
      <x:c r="AH2" s="3" t="n">
        <x:v>81</x:v>
      </x:c>
      <x:c r="AI2" s="3" t="s">
        <x:v>135</x:v>
      </x:c>
      <x:c r="AJ2" s="3" t="s">
        <x:v>111</x:v>
      </x:c>
      <x:c r="AK2" s="3" t="n">
        <x:v>180</x:v>
      </x:c>
      <x:c r="AL2" s="3" t="n">
        <x:v>0</x:v>
      </x:c>
      <x:c r="AM2" s="8" t="n">
        <x:v>0.6722</x:v>
      </x:c>
      <x:c r="AN2" s="3" t="n">
        <x:v>0</x:v>
      </x:c>
      <x:c r="AO2" s="3" t="s">
        <x:v>14</x:v>
      </x:c>
      <x:c r="AP2" s="3" t="s">
        <x:v>318</x:v>
      </x:c>
      <x:c r="AQ2" s="3" t="s">
        <x:v>319</x:v>
      </x:c>
      <x:c r="AR2" s="9" t="n">
        <x:v>1403.2</x:v>
      </x:c>
      <x:c r="AS2" s="3" t="s">
        <x:v>185</x:v>
      </x:c>
      <x:c r="AT2" s="7" t="n">
        <x:v>46301.9166666667</x:v>
      </x:c>
    </x:row>
    <x:row r="3" ht="31.299999237060547" hidden="0">
      <x:c r="A3" s="3" t="s">
        <x:v>320</x:v>
      </x:c>
      <x:c r="B3" s="3" t="s">
        <x:v>321</x:v>
      </x:c>
      <x:c r="C3" s="3" t="s">
        <x:v>322</x:v>
      </x:c>
      <x:c r="D3" s="3" t="s">
        <x:v>323</x:v>
      </x:c>
      <x:c r="E3" s="3" t="s">
        <x:v>249</x:v>
      </x:c>
      <x:c r="F3" s="3" t="s">
        <x:v>169</x:v>
      </x:c>
      <x:c r="G3" s="3" t="s">
        <x:v>324</x:v>
      </x:c>
      <x:c r="H3" s="3" t="s">
        <x:v>301</x:v>
      </x:c>
      <x:c r="I3" s="3" t="s">
        <x:v>302</x:v>
      </x:c>
      <x:c r="J3" s="3" t="s">
        <x:v>303</x:v>
      </x:c>
      <x:c r="K3" s="3" t="s">
        <x:v>104</x:v>
      </x:c>
      <x:c r="L3" s="3" t="s">
        <x:v>325</x:v>
      </x:c>
      <x:c r="M3" s="3" t="s">
        <x:v>326</x:v>
      </x:c>
      <x:c r="N3" s="3" t="s">
        <x:v>131</x:v>
      </x:c>
      <x:c r="O3" s="3" t="s">
        <x:v>327</x:v>
      </x:c>
      <x:c r="P3" s="3" t="s">
        <x:v>328</x:v>
      </x:c>
      <x:c r="Q3" s="3" t="s">
        <x:v>329</x:v>
      </x:c>
      <x:c r="R3" s="3" t="s">
        <x:v>330</x:v>
      </x:c>
      <x:c r="S3" s="3" t="s">
        <x:v>135</x:v>
      </x:c>
      <x:c r="T3" s="3" t="s">
        <x:v>111</x:v>
      </x:c>
      <x:c r="U3" s="3" t="s">
        <x:v>331</x:v>
      </x:c>
      <x:c r="V3" s="3" t="s">
        <x:v>178</x:v>
      </x:c>
      <x:c r="W3" s="3" t="s">
        <x:v>332</x:v>
      </x:c>
      <x:c r="X3" s="3" t="s">
        <x:v>180</x:v>
      </x:c>
      <x:c r="Y3" s="3" t="s">
        <x:v>333</x:v>
      </x:c>
      <x:c r="Z3" s="3" t="s">
        <x:v>334</x:v>
      </x:c>
      <x:c r="AA3" s="3" t="s">
        <x:v>118</x:v>
      </x:c>
      <x:c r="AB3" s="7" t="n">
        <x:v>46242.4402777778</x:v>
      </x:c>
      <x:c r="AC3" s="7" t="n">
        <x:v>46242.4430555556</x:v>
      </x:c>
      <x:c r="AD3" s="7" t="n">
        <x:v>46242.4451388889</x:v>
      </x:c>
      <x:c r="AE3" s="7" t="n">
        <x:v>46242.4583333333</x:v>
      </x:c>
      <x:c r="AF3" s="7" t="n">
        <x:v>46242.4965277778</x:v>
      </x:c>
      <x:c r="AG3" s="3" t="n">
        <x:v>26</x:v>
      </x:c>
      <x:c r="AH3" s="3" t="n">
        <x:v>50</x:v>
      </x:c>
      <x:c r="AI3" s="3" t="s">
        <x:v>135</x:v>
      </x:c>
      <x:c r="AJ3" s="3" t="s">
        <x:v>111</x:v>
      </x:c>
      <x:c r="AK3" s="3" t="n">
        <x:v>180</x:v>
      </x:c>
      <x:c r="AL3" s="3" t="n">
        <x:v>0</x:v>
      </x:c>
      <x:c r="AM3" s="8" t="n">
        <x:v>0.4222</x:v>
      </x:c>
      <x:c r="AN3" s="3" t="n">
        <x:v>0</x:v>
      </x:c>
      <x:c r="AO3" s="3" t="s">
        <x:v>9</x:v>
      </x:c>
      <x:c r="AP3" s="3" t="s">
        <x:v>335</x:v>
      </x:c>
      <x:c r="AQ3" s="3" t="s">
        <x:v>336</x:v>
      </x:c>
      <x:c r="AR3" s="9" t="n">
        <x:v>737</x:v>
      </x:c>
      <x:c r="AS3" s="3" t="s">
        <x:v>121</x:v>
      </x:c>
      <x:c r="AT3" s="7" t="n">
        <x:v>46301.9166666667</x:v>
      </x:c>
    </x:row>
    <x:row r="4" ht="31.299999237060547" hidden="0">
      <x:c r="A4" s="3" t="s">
        <x:v>337</x:v>
      </x:c>
      <x:c r="B4" s="3" t="s">
        <x:v>233</x:v>
      </x:c>
      <x:c r="C4" s="3" t="s">
        <x:v>234</x:v>
      </x:c>
      <x:c r="D4" s="3" t="s">
        <x:v>235</x:v>
      </x:c>
      <x:c r="E4" s="3" t="s">
        <x:v>249</x:v>
      </x:c>
      <x:c r="F4" s="3" t="s">
        <x:v>127</x:v>
      </x:c>
      <x:c r="G4" s="3" t="s">
        <x:v>338</x:v>
      </x:c>
      <x:c r="H4" s="3" t="s">
        <x:v>339</x:v>
      </x:c>
      <x:c r="I4" s="3" t="s">
        <x:v>102</x:v>
      </x:c>
      <x:c r="J4" s="3" t="s">
        <x:v>103</x:v>
      </x:c>
      <x:c r="K4" s="3" t="s">
        <x:v>104</x:v>
      </x:c>
      <x:c r="L4" s="3" t="s">
        <x:v>237</x:v>
      </x:c>
      <x:c r="M4" s="3" t="s">
        <x:v>172</x:v>
      </x:c>
      <x:c r="N4" s="3" t="s">
        <x:v>238</x:v>
      </x:c>
      <x:c r="O4" s="3" t="s">
        <x:v>239</x:v>
      </x:c>
      <x:c r="P4" s="3" t="s">
        <x:v>240</x:v>
      </x:c>
      <x:c r="Q4" s="3" t="s">
        <x:v>276</x:v>
      </x:c>
      <x:c r="R4" s="3" t="s">
        <x:v>310</x:v>
      </x:c>
      <x:c r="S4" s="3" t="s">
        <x:v>135</x:v>
      </x:c>
      <x:c r="T4" s="3" t="s">
        <x:v>111</x:v>
      </x:c>
      <x:c r="U4" s="3" t="s">
        <x:v>311</x:v>
      </x:c>
      <x:c r="V4" s="3" t="s">
        <x:v>312</x:v>
      </x:c>
      <x:c r="W4" s="3" t="s">
        <x:v>313</x:v>
      </x:c>
      <x:c r="X4" s="3" t="s">
        <x:v>314</x:v>
      </x:c>
      <x:c r="Y4" s="3" t="s">
        <x:v>315</x:v>
      </x:c>
      <x:c r="Z4" s="3" t="s">
        <x:v>316</x:v>
      </x:c>
      <x:c r="AA4" s="3" t="s">
        <x:v>317</x:v>
      </x:c>
      <x:c r="AB4" s="7" t="n">
        <x:v>46242.5611111111</x:v>
      </x:c>
      <x:c r="AC4" s="7" t="n">
        <x:v>46242.5645833333</x:v>
      </x:c>
      <x:c r="AD4" s="7" t="n">
        <x:v>46242.5659722222</x:v>
      </x:c>
      <x:c r="AE4" s="7" t="n">
        <x:v>46242.5881944444</x:v>
      </x:c>
      <x:c r="AF4" s="7" t="n">
        <x:v>46242.6194444444</x:v>
      </x:c>
      <x:c r="AG4" s="3" t="n">
        <x:v>39</x:v>
      </x:c>
      <x:c r="AH4" s="3" t="n">
        <x:v>40</x:v>
      </x:c>
      <x:c r="AI4" s="3" t="s">
        <x:v>135</x:v>
      </x:c>
      <x:c r="AJ4" s="3" t="s">
        <x:v>111</x:v>
      </x:c>
      <x:c r="AK4" s="3" t="n">
        <x:v>150</x:v>
      </x:c>
      <x:c r="AL4" s="3" t="n">
        <x:v>0</x:v>
      </x:c>
      <x:c r="AM4" s="8" t="n">
        <x:v>0.5267</x:v>
      </x:c>
      <x:c r="AN4" s="3" t="n">
        <x:v>0</x:v>
      </x:c>
      <x:c r="AO4" s="3" t="s">
        <x:v>9</x:v>
      </x:c>
      <x:c r="AP4" s="3" t="s">
        <x:v>335</x:v>
      </x:c>
      <x:c r="AQ4" s="3" t="s">
        <x:v>340</x:v>
      </x:c>
      <x:c r="AR4" s="9" t="n">
        <x:v>723.5</x:v>
      </x:c>
      <x:c r="AS4" s="3" t="s">
        <x:v>121</x:v>
      </x:c>
      <x:c r="AT4" s="7" t="n">
        <x:v>46301.9166666667</x:v>
      </x:c>
    </x:row>
    <x:row r="5" ht="31.299999237060547" hidden="0">
      <x:c r="A5" s="3" t="s">
        <x:v>341</x:v>
      </x:c>
      <x:c r="B5" s="3" t="s">
        <x:v>166</x:v>
      </x:c>
      <x:c r="C5" s="3" t="s">
        <x:v>167</x:v>
      </x:c>
      <x:c r="D5" s="3" t="s">
        <x:v>168</x:v>
      </x:c>
      <x:c r="E5" s="3" t="s">
        <x:v>249</x:v>
      </x:c>
      <x:c r="F5" s="3" t="s">
        <x:v>99</x:v>
      </x:c>
      <x:c r="G5" s="3" t="s">
        <x:v>342</x:v>
      </x:c>
      <x:c r="H5" s="3" t="s">
        <x:v>343</x:v>
      </x:c>
      <x:c r="I5" s="3" t="s">
        <x:v>102</x:v>
      </x:c>
      <x:c r="J5" s="3" t="s">
        <x:v>103</x:v>
      </x:c>
      <x:c r="K5" s="3" t="s">
        <x:v>104</x:v>
      </x:c>
      <x:c r="L5" s="3" t="s">
        <x:v>171</x:v>
      </x:c>
      <x:c r="M5" s="3" t="s">
        <x:v>172</x:v>
      </x:c>
      <x:c r="N5" s="3" t="s">
        <x:v>173</x:v>
      </x:c>
      <x:c r="O5" s="3" t="s">
        <x:v>174</x:v>
      </x:c>
      <x:c r="P5" s="3" t="s">
        <x:v>175</x:v>
      </x:c>
      <x:c r="Q5" s="3" t="s">
        <x:v>271</x:v>
      </x:c>
      <x:c r="R5" s="3" t="s">
        <x:v>344</x:v>
      </x:c>
      <x:c r="S5" s="3" t="s">
        <x:v>111</x:v>
      </x:c>
      <x:c r="T5" s="3" t="s">
        <x:v>111</x:v>
      </x:c>
      <x:c r="U5" s="3" t="s">
        <x:v>345</x:v>
      </x:c>
      <x:c r="V5" s="3" t="s">
        <x:v>178</x:v>
      </x:c>
      <x:c r="W5" s="3" t="s">
        <x:v>332</x:v>
      </x:c>
      <x:c r="X5" s="3" t="s">
        <x:v>180</x:v>
      </x:c>
      <x:c r="Y5" s="3" t="s">
        <x:v>333</x:v>
      </x:c>
      <x:c r="Z5" s="3" t="s">
        <x:v>346</x:v>
      </x:c>
      <x:c r="AA5" s="3" t="s">
        <x:v>118</x:v>
      </x:c>
      <x:c r="AB5" s="7" t="n">
        <x:v>46242.6618055556</x:v>
      </x:c>
      <x:c r="AC5" s="7" t="n">
        <x:v>46242.6659722222</x:v>
      </x:c>
      <x:c r="AD5" s="7" t="n">
        <x:v>46242.66875</x:v>
      </x:c>
      <x:c r="AE5" s="7" t="n">
        <x:v>46242.6777777778</x:v>
      </x:c>
      <x:c r="AF5" s="7" t="n">
        <x:v>46242.7381944444</x:v>
      </x:c>
      <x:c r="AG5" s="3" t="n">
        <x:v>23</x:v>
      </x:c>
      <x:c r="AH5" s="3" t="n">
        <x:v>78</x:v>
      </x:c>
      <x:c r="AI5" s="3" t="s">
        <x:v>135</x:v>
      </x:c>
      <x:c r="AJ5" s="3" t="s">
        <x:v>135</x:v>
      </x:c>
      <x:c r="AK5" s="3" t="n">
        <x:v>120</x:v>
      </x:c>
      <x:c r="AL5" s="3" t="n">
        <x:v>0</x:v>
      </x:c>
      <x:c r="AM5" s="8" t="n">
        <x:v>0.8417</x:v>
      </x:c>
      <x:c r="AN5" s="3" t="n">
        <x:v>0</x:v>
      </x:c>
      <x:c r="AO5" s="3" t="s">
        <x:v>14</x:v>
      </x:c>
      <x:c r="AP5" s="3" t="s">
        <x:v>347</x:v>
      </x:c>
      <x:c r="AQ5" s="3" t="s">
        <x:v>340</x:v>
      </x:c>
      <x:c r="AR5" s="9" t="n">
        <x:v>1305.1</x:v>
      </x:c>
      <x:c r="AS5" s="3" t="s">
        <x:v>185</x:v>
      </x:c>
      <x:c r="AT5" s="7" t="n">
        <x:v>46301.9166666667</x:v>
      </x:c>
    </x:row>
    <x:row r="6" ht="31.299999237060547" hidden="0">
      <x:c r="A6" s="3" t="s">
        <x:v>348</x:v>
      </x:c>
      <x:c r="B6" s="3" t="s">
        <x:v>233</x:v>
      </x:c>
      <x:c r="C6" s="3" t="s">
        <x:v>234</x:v>
      </x:c>
      <x:c r="D6" s="3" t="s">
        <x:v>235</x:v>
      </x:c>
      <x:c r="E6" s="3" t="s">
        <x:v>249</x:v>
      </x:c>
      <x:c r="F6" s="3" t="s">
        <x:v>99</x:v>
      </x:c>
      <x:c r="G6" s="3" t="s">
        <x:v>349</x:v>
      </x:c>
      <x:c r="H6" s="3" t="s">
        <x:v>343</x:v>
      </x:c>
      <x:c r="I6" s="3" t="s">
        <x:v>102</x:v>
      </x:c>
      <x:c r="J6" s="3" t="s">
        <x:v>103</x:v>
      </x:c>
      <x:c r="K6" s="3" t="s">
        <x:v>104</x:v>
      </x:c>
      <x:c r="L6" s="3" t="s">
        <x:v>237</x:v>
      </x:c>
      <x:c r="M6" s="3" t="s">
        <x:v>172</x:v>
      </x:c>
      <x:c r="N6" s="3" t="s">
        <x:v>238</x:v>
      </x:c>
      <x:c r="O6" s="3" t="s">
        <x:v>239</x:v>
      </x:c>
      <x:c r="P6" s="3" t="s">
        <x:v>240</x:v>
      </x:c>
      <x:c r="Q6" s="3" t="s">
        <x:v>276</x:v>
      </x:c>
      <x:c r="R6" s="3" t="s">
        <x:v>344</x:v>
      </x:c>
      <x:c r="S6" s="3" t="s">
        <x:v>111</x:v>
      </x:c>
      <x:c r="T6" s="3" t="s">
        <x:v>111</x:v>
      </x:c>
      <x:c r="U6" s="3" t="s">
        <x:v>345</x:v>
      </x:c>
      <x:c r="V6" s="3" t="s">
        <x:v>178</x:v>
      </x:c>
      <x:c r="W6" s="3" t="s">
        <x:v>332</x:v>
      </x:c>
      <x:c r="X6" s="3" t="s">
        <x:v>180</x:v>
      </x:c>
      <x:c r="Y6" s="3" t="s">
        <x:v>333</x:v>
      </x:c>
      <x:c r="Z6" s="3" t="s">
        <x:v>346</x:v>
      </x:c>
      <x:c r="AA6" s="3" t="s">
        <x:v>118</x:v>
      </x:c>
      <x:c r="AB6" s="7" t="n">
        <x:v>46242.6722222222</x:v>
      </x:c>
      <x:c r="AC6" s="7" t="n">
        <x:v>46242.6756944444</x:v>
      </x:c>
      <x:c r="AD6" s="7" t="n">
        <x:v>46242.6770833333</x:v>
      </x:c>
      <x:c r="AE6" s="7" t="n">
        <x:v>46242.6986111111</x:v>
      </x:c>
      <x:c r="AF6" s="7" t="n">
        <x:v>46242.7305555556</x:v>
      </x:c>
      <x:c r="AG6" s="3" t="n">
        <x:v>38</x:v>
      </x:c>
      <x:c r="AH6" s="3" t="n">
        <x:v>42</x:v>
      </x:c>
      <x:c r="AI6" s="3" t="s">
        <x:v>135</x:v>
      </x:c>
      <x:c r="AJ6" s="3" t="s">
        <x:v>111</x:v>
      </x:c>
      <x:c r="AK6" s="3" t="n">
        <x:v>120</x:v>
      </x:c>
      <x:c r="AL6" s="3" t="n">
        <x:v>0</x:v>
      </x:c>
      <x:c r="AM6" s="8" t="n">
        <x:v>0.6667</x:v>
      </x:c>
      <x:c r="AN6" s="3" t="n">
        <x:v>0</x:v>
      </x:c>
      <x:c r="AO6" s="3" t="s">
        <x:v>14</x:v>
      </x:c>
      <x:c r="AP6" s="3" t="s">
        <x:v>318</x:v>
      </x:c>
      <x:c r="AQ6" s="3" t="s">
        <x:v>340</x:v>
      </x:c>
      <x:c r="AR6" s="9" t="n">
        <x:v>733.4</x:v>
      </x:c>
      <x:c r="AS6" s="3" t="s">
        <x:v>185</x:v>
      </x:c>
      <x:c r="AT6" s="7" t="n">
        <x:v>46301.9166666667</x:v>
      </x:c>
    </x:row>
    <x:row r="7" ht="31.299999237060547" hidden="0">
      <x:c r="A7" s="3" t="s">
        <x:v>350</x:v>
      </x:c>
      <x:c r="B7" s="3" t="s">
        <x:v>321</x:v>
      </x:c>
      <x:c r="C7" s="3" t="s">
        <x:v>322</x:v>
      </x:c>
      <x:c r="D7" s="3" t="s">
        <x:v>323</x:v>
      </x:c>
      <x:c r="E7" s="3" t="s">
        <x:v>249</x:v>
      </x:c>
      <x:c r="F7" s="3" t="s">
        <x:v>99</x:v>
      </x:c>
      <x:c r="G7" s="3" t="s">
        <x:v>300</x:v>
      </x:c>
      <x:c r="H7" s="3" t="s">
        <x:v>301</x:v>
      </x:c>
      <x:c r="I7" s="3" t="s">
        <x:v>302</x:v>
      </x:c>
      <x:c r="J7" s="3" t="s">
        <x:v>303</x:v>
      </x:c>
      <x:c r="K7" s="3" t="s">
        <x:v>104</x:v>
      </x:c>
      <x:c r="L7" s="3" t="s">
        <x:v>325</x:v>
      </x:c>
      <x:c r="M7" s="3" t="s">
        <x:v>326</x:v>
      </x:c>
      <x:c r="N7" s="3" t="s">
        <x:v>131</x:v>
      </x:c>
      <x:c r="O7" s="3" t="s">
        <x:v>327</x:v>
      </x:c>
      <x:c r="P7" s="3" t="s">
        <x:v>328</x:v>
      </x:c>
      <x:c r="Q7" s="3" t="s">
        <x:v>329</x:v>
      </x:c>
      <x:c r="R7" s="3" t="s">
        <x:v>310</x:v>
      </x:c>
      <x:c r="S7" s="3" t="s">
        <x:v>135</x:v>
      </x:c>
      <x:c r="T7" s="3" t="s">
        <x:v>111</x:v>
      </x:c>
      <x:c r="U7" s="3" t="s">
        <x:v>311</x:v>
      </x:c>
      <x:c r="V7" s="3" t="s">
        <x:v>312</x:v>
      </x:c>
      <x:c r="W7" s="3" t="s">
        <x:v>351</x:v>
      </x:c>
      <x:c r="X7" s="3" t="s">
        <x:v>314</x:v>
      </x:c>
      <x:c r="Y7" s="3" t="s">
        <x:v>352</x:v>
      </x:c>
      <x:c r="Z7" s="3" t="s">
        <x:v>316</x:v>
      </x:c>
      <x:c r="AA7" s="3" t="s">
        <x:v>317</x:v>
      </x:c>
      <x:c r="AB7" s="7" t="n">
        <x:v>46242.6736111111</x:v>
      </x:c>
      <x:c r="AC7" s="7" t="n">
        <x:v>46242.675</x:v>
      </x:c>
      <x:c r="AD7" s="7" t="n">
        <x:v>46242.6805555556</x:v>
      </x:c>
      <x:c r="AE7" s="7" t="n">
        <x:v>46242.7090277778</x:v>
      </x:c>
      <x:c r="AF7" s="7" t="n">
        <x:v>46242.73125</x:v>
      </x:c>
      <x:c r="AG7" s="3" t="n">
        <x:v>51</x:v>
      </x:c>
      <x:c r="AH7" s="3" t="n">
        <x:v>29</x:v>
      </x:c>
      <x:c r="AI7" s="3" t="s">
        <x:v>135</x:v>
      </x:c>
      <x:c r="AJ7" s="3" t="s">
        <x:v>111</x:v>
      </x:c>
      <x:c r="AK7" s="3" t="n">
        <x:v>180</x:v>
      </x:c>
      <x:c r="AL7" s="3" t="n">
        <x:v>0</x:v>
      </x:c>
      <x:c r="AM7" s="8" t="n">
        <x:v>0.4444</x:v>
      </x:c>
      <x:c r="AN7" s="3" t="n">
        <x:v>0</x:v>
      </x:c>
      <x:c r="AO7" s="3" t="s">
        <x:v>9</x:v>
      </x:c>
      <x:c r="AP7" s="3" t="s">
        <x:v>335</x:v>
      </x:c>
      <x:c r="AQ7" s="3" t="s">
        <x:v>336</x:v>
      </x:c>
      <x:c r="AR7" s="9" t="n">
        <x:v>698.3</x:v>
      </x:c>
      <x:c r="AS7" s="3" t="s">
        <x:v>121</x:v>
      </x:c>
      <x:c r="AT7" s="7" t="n">
        <x:v>46301.9166666667</x:v>
      </x:c>
    </x:row>
    <x:row r="8" ht="31.299999237060547" hidden="0">
      <x:c r="A8" s="3" t="s">
        <x:v>353</x:v>
      </x:c>
      <x:c r="B8" s="3" t="s">
        <x:v>123</x:v>
      </x:c>
      <x:c r="C8" s="3" t="s">
        <x:v>124</x:v>
      </x:c>
      <x:c r="D8" s="3" t="s">
        <x:v>125</x:v>
      </x:c>
      <x:c r="E8" s="3" t="s">
        <x:v>249</x:v>
      </x:c>
      <x:c r="F8" s="3" t="s">
        <x:v>169</x:v>
      </x:c>
      <x:c r="G8" s="3" t="s">
        <x:v>354</x:v>
      </x:c>
      <x:c r="H8" s="3" t="s">
        <x:v>101</x:v>
      </x:c>
      <x:c r="I8" s="3" t="s">
        <x:v>102</x:v>
      </x:c>
      <x:c r="J8" s="3" t="s">
        <x:v>103</x:v>
      </x:c>
      <x:c r="K8" s="3" t="s">
        <x:v>104</x:v>
      </x:c>
      <x:c r="L8" s="3" t="s">
        <x:v>129</x:v>
      </x:c>
      <x:c r="M8" s="3" t="s">
        <x:v>130</x:v>
      </x:c>
      <x:c r="N8" s="3" t="s">
        <x:v>131</x:v>
      </x:c>
      <x:c r="O8" s="3" t="s">
        <x:v>132</x:v>
      </x:c>
      <x:c r="P8" s="3" t="s">
        <x:v>133</x:v>
      </x:c>
      <x:c r="Q8" s="3" t="s">
        <x:v>268</x:v>
      </x:c>
      <x:c r="R8" s="3" t="s">
        <x:v>176</x:v>
      </x:c>
      <x:c r="S8" s="3" t="s">
        <x:v>135</x:v>
      </x:c>
      <x:c r="T8" s="3" t="s">
        <x:v>135</x:v>
      </x:c>
      <x:c r="U8" s="3" t="s">
        <x:v>177</x:v>
      </x:c>
      <x:c r="V8" s="3" t="s">
        <x:v>178</x:v>
      </x:c>
      <x:c r="W8" s="3" t="s">
        <x:v>355</x:v>
      </x:c>
      <x:c r="X8" s="3" t="s">
        <x:v>180</x:v>
      </x:c>
      <x:c r="Y8" s="3" t="s">
        <x:v>356</x:v>
      </x:c>
      <x:c r="Z8" s="3" t="s">
        <x:v>182</x:v>
      </x:c>
      <x:c r="AA8" s="3" t="s">
        <x:v>118</x:v>
      </x:c>
      <x:c r="AB8" s="7" t="n">
        <x:v>46242.7138888889</x:v>
      </x:c>
      <x:c r="AC8" s="7" t="n">
        <x:v>46242.7180555556</x:v>
      </x:c>
      <x:c r="AD8" s="7" t="n">
        <x:v>46242.7236111111</x:v>
      </x:c>
      <x:c r="AE8" s="7" t="n">
        <x:v>46242.73125</x:v>
      </x:c>
      <x:c r="AF8" s="7" t="n">
        <x:v>46242.7881944444</x:v>
      </x:c>
      <x:c r="AG8" s="3" t="n">
        <x:v>25</x:v>
      </x:c>
      <x:c r="AH8" s="3" t="n">
        <x:v>76</x:v>
      </x:c>
      <x:c r="AI8" s="3" t="s">
        <x:v>135</x:v>
      </x:c>
      <x:c r="AJ8" s="3" t="s">
        <x:v>135</x:v>
      </x:c>
      <x:c r="AK8" s="3" t="n">
        <x:v>180</x:v>
      </x:c>
      <x:c r="AL8" s="3" t="n">
        <x:v>0</x:v>
      </x:c>
      <x:c r="AM8" s="8" t="n">
        <x:v>0.5611</x:v>
      </x:c>
      <x:c r="AN8" s="3" t="n">
        <x:v>0</x:v>
      </x:c>
      <x:c r="AO8" s="3" t="s">
        <x:v>9</x:v>
      </x:c>
      <x:c r="AP8" s="3" t="s">
        <x:v>142</x:v>
      </x:c>
      <x:c r="AQ8" s="3" t="s">
        <x:v>357</x:v>
      </x:c>
      <x:c r="AR8" s="9" t="n">
        <x:v>919.7</x:v>
      </x:c>
      <x:c r="AS8" s="3" t="s">
        <x:v>121</x:v>
      </x:c>
      <x:c r="AT8" s="7" t="n">
        <x:v>46301.9166666667</x:v>
      </x:c>
    </x:row>
    <x:row r="9" ht="31.299999237060547" hidden="0">
      <x:c r="A9" s="3" t="s">
        <x:v>358</x:v>
      </x:c>
      <x:c r="B9" s="3" t="s">
        <x:v>233</x:v>
      </x:c>
      <x:c r="C9" s="3" t="s">
        <x:v>234</x:v>
      </x:c>
      <x:c r="D9" s="3" t="s">
        <x:v>235</x:v>
      </x:c>
      <x:c r="E9" s="3" t="s">
        <x:v>249</x:v>
      </x:c>
      <x:c r="F9" s="3" t="s">
        <x:v>99</x:v>
      </x:c>
      <x:c r="G9" s="3" t="s">
        <x:v>359</x:v>
      </x:c>
      <x:c r="H9" s="3" t="s">
        <x:v>101</x:v>
      </x:c>
      <x:c r="I9" s="3" t="s">
        <x:v>102</x:v>
      </x:c>
      <x:c r="J9" s="3" t="s">
        <x:v>103</x:v>
      </x:c>
      <x:c r="K9" s="3" t="s">
        <x:v>104</x:v>
      </x:c>
      <x:c r="L9" s="3" t="s">
        <x:v>237</x:v>
      </x:c>
      <x:c r="M9" s="3" t="s">
        <x:v>172</x:v>
      </x:c>
      <x:c r="N9" s="3" t="s">
        <x:v>238</x:v>
      </x:c>
      <x:c r="O9" s="3" t="s">
        <x:v>239</x:v>
      </x:c>
      <x:c r="P9" s="3" t="s">
        <x:v>240</x:v>
      </x:c>
      <x:c r="Q9" s="3" t="s">
        <x:v>276</x:v>
      </x:c>
      <x:c r="R9" s="3" t="s">
        <x:v>156</x:v>
      </x:c>
      <x:c r="S9" s="3" t="s">
        <x:v>135</x:v>
      </x:c>
      <x:c r="T9" s="3" t="s">
        <x:v>111</x:v>
      </x:c>
      <x:c r="U9" s="3" t="s">
        <x:v>157</x:v>
      </x:c>
      <x:c r="V9" s="3" t="s">
        <x:v>158</x:v>
      </x:c>
      <x:c r="W9" s="3" t="s">
        <x:v>159</x:v>
      </x:c>
      <x:c r="X9" s="3" t="s">
        <x:v>160</x:v>
      </x:c>
      <x:c r="Y9" s="3" t="s">
        <x:v>360</x:v>
      </x:c>
      <x:c r="Z9" s="3" t="s">
        <x:v>162</x:v>
      </x:c>
      <x:c r="AA9" s="3" t="s">
        <x:v>118</x:v>
      </x:c>
      <x:c r="AB9" s="7" t="n">
        <x:v>46242.78125</x:v>
      </x:c>
      <x:c r="AC9" s="7" t="n">
        <x:v>46242.7840277778</x:v>
      </x:c>
      <x:c r="AD9" s="7" t="n">
        <x:v>46242.7895833333</x:v>
      </x:c>
      <x:c r="AE9" s="7" t="n">
        <x:v>46242.80625</x:v>
      </x:c>
      <x:c r="AF9" s="7" t="n">
        <x:v>46242.8381944444</x:v>
      </x:c>
      <x:c r="AG9" s="3" t="n">
        <x:v>36</x:v>
      </x:c>
      <x:c r="AH9" s="3" t="n">
        <x:v>40</x:v>
      </x:c>
      <x:c r="AI9" s="3" t="s">
        <x:v>135</x:v>
      </x:c>
      <x:c r="AJ9" s="3" t="s">
        <x:v>111</x:v>
      </x:c>
      <x:c r="AK9" s="3" t="n">
        <x:v>150</x:v>
      </x:c>
      <x:c r="AL9" s="3" t="n">
        <x:v>0</x:v>
      </x:c>
      <x:c r="AM9" s="8" t="n">
        <x:v>0.5067</x:v>
      </x:c>
      <x:c r="AN9" s="3" t="n">
        <x:v>0</x:v>
      </x:c>
      <x:c r="AO9" s="3" t="s">
        <x:v>9</x:v>
      </x:c>
      <x:c r="AP9" s="3" t="s">
        <x:v>335</x:v>
      </x:c>
      <x:c r="AQ9" s="3" t="s">
        <x:v>361</x:v>
      </x:c>
      <x:c r="AR9" s="9" t="n">
        <x:v>710</x:v>
      </x:c>
      <x:c r="AS9" s="3" t="s">
        <x:v>121</x:v>
      </x:c>
      <x:c r="AT9" s="7" t="n">
        <x:v>46301.9166666667</x:v>
      </x:c>
    </x:row>
    <x:row r="10" ht="31.299999237060547" hidden="0">
      <x:c r="A10" s="3" t="s">
        <x:v>362</x:v>
      </x:c>
      <x:c r="B10" s="3" t="s">
        <x:v>166</x:v>
      </x:c>
      <x:c r="C10" s="3" t="s">
        <x:v>167</x:v>
      </x:c>
      <x:c r="D10" s="3" t="s">
        <x:v>168</x:v>
      </x:c>
      <x:c r="E10" s="3" t="s">
        <x:v>249</x:v>
      </x:c>
      <x:c r="F10" s="3" t="s">
        <x:v>127</x:v>
      </x:c>
      <x:c r="G10" s="3" t="s">
        <x:v>354</x:v>
      </x:c>
      <x:c r="H10" s="3" t="s">
        <x:v>101</x:v>
      </x:c>
      <x:c r="I10" s="3" t="s">
        <x:v>102</x:v>
      </x:c>
      <x:c r="J10" s="3" t="s">
        <x:v>103</x:v>
      </x:c>
      <x:c r="K10" s="3" t="s">
        <x:v>104</x:v>
      </x:c>
      <x:c r="L10" s="3" t="s">
        <x:v>171</x:v>
      </x:c>
      <x:c r="M10" s="3" t="s">
        <x:v>172</x:v>
      </x:c>
      <x:c r="N10" s="3" t="s">
        <x:v>173</x:v>
      </x:c>
      <x:c r="O10" s="3" t="s">
        <x:v>174</x:v>
      </x:c>
      <x:c r="P10" s="3" t="s">
        <x:v>175</x:v>
      </x:c>
      <x:c r="Q10" s="3" t="s">
        <x:v>271</x:v>
      </x:c>
      <x:c r="R10" s="3" t="s">
        <x:v>176</x:v>
      </x:c>
      <x:c r="S10" s="3" t="s">
        <x:v>135</x:v>
      </x:c>
      <x:c r="T10" s="3" t="s">
        <x:v>135</x:v>
      </x:c>
      <x:c r="U10" s="3" t="s">
        <x:v>177</x:v>
      </x:c>
      <x:c r="V10" s="3" t="s">
        <x:v>178</x:v>
      </x:c>
      <x:c r="W10" s="3" t="s">
        <x:v>332</x:v>
      </x:c>
      <x:c r="X10" s="3" t="s">
        <x:v>180</x:v>
      </x:c>
      <x:c r="Y10" s="3" t="s">
        <x:v>333</x:v>
      </x:c>
      <x:c r="Z10" s="3" t="s">
        <x:v>182</x:v>
      </x:c>
      <x:c r="AA10" s="3" t="s">
        <x:v>118</x:v>
      </x:c>
      <x:c r="AB10" s="7" t="n">
        <x:v>46242.8291666667</x:v>
      </x:c>
      <x:c r="AC10" s="7" t="n">
        <x:v>46242.8326388889</x:v>
      </x:c>
      <x:c r="AD10" s="7" t="n">
        <x:v>46242.8368055556</x:v>
      </x:c>
      <x:c r="AE10" s="7" t="n">
        <x:v>46242.8618055556</x:v>
      </x:c>
      <x:c r="AF10" s="7" t="n">
        <x:v>46242.9055555556</x:v>
      </x:c>
      <x:c r="AG10" s="3" t="n">
        <x:v>47</x:v>
      </x:c>
      <x:c r="AH10" s="3" t="n">
        <x:v>57</x:v>
      </x:c>
      <x:c r="AI10" s="3" t="s">
        <x:v>135</x:v>
      </x:c>
      <x:c r="AJ10" s="3" t="s">
        <x:v>135</x:v>
      </x:c>
      <x:c r="AK10" s="3" t="n">
        <x:v>150</x:v>
      </x:c>
      <x:c r="AL10" s="3" t="n">
        <x:v>0</x:v>
      </x:c>
      <x:c r="AM10" s="8" t="n">
        <x:v>0.6933</x:v>
      </x:c>
      <x:c r="AN10" s="3" t="n">
        <x:v>0</x:v>
      </x:c>
      <x:c r="AO10" s="3" t="s">
        <x:v>14</x:v>
      </x:c>
      <x:c r="AP10" s="3" t="s">
        <x:v>347</x:v>
      </x:c>
      <x:c r="AQ10" s="3" t="s">
        <x:v>340</x:v>
      </x:c>
      <x:c r="AR10" s="9" t="n">
        <x:v>1261.9</x:v>
      </x:c>
      <x:c r="AS10" s="3" t="s">
        <x:v>185</x:v>
      </x:c>
      <x:c r="AT10" s="7" t="n">
        <x:v>46301.9166666667</x:v>
      </x:c>
    </x:row>
    <x:row r="11" ht="31.299999237060547" hidden="0">
      <x:c r="A11" s="3" t="s">
        <x:v>363</x:v>
      </x:c>
      <x:c r="B11" s="3" t="s">
        <x:v>222</x:v>
      </x:c>
      <x:c r="C11" s="3" t="s">
        <x:v>223</x:v>
      </x:c>
      <x:c r="D11" s="3" t="s">
        <x:v>224</x:v>
      </x:c>
      <x:c r="E11" s="3" t="s">
        <x:v>249</x:v>
      </x:c>
      <x:c r="F11" s="3" t="s">
        <x:v>169</x:v>
      </x:c>
      <x:c r="G11" s="3" t="s">
        <x:v>364</x:v>
      </x:c>
      <x:c r="H11" s="3" t="s">
        <x:v>339</x:v>
      </x:c>
      <x:c r="I11" s="3" t="s">
        <x:v>102</x:v>
      </x:c>
      <x:c r="J11" s="3" t="s">
        <x:v>103</x:v>
      </x:c>
      <x:c r="K11" s="3" t="s">
        <x:v>104</x:v>
      </x:c>
      <x:c r="L11" s="3" t="s">
        <x:v>226</x:v>
      </x:c>
      <x:c r="M11" s="3" t="s">
        <x:v>227</x:v>
      </x:c>
      <x:c r="N11" s="3" t="s">
        <x:v>228</x:v>
      </x:c>
      <x:c r="O11" s="3" t="s">
        <x:v>229</x:v>
      </x:c>
      <x:c r="P11" s="3" t="s">
        <x:v>230</x:v>
      </x:c>
      <x:c r="Q11" s="3" t="s">
        <x:v>274</x:v>
      </x:c>
      <x:c r="R11" s="3" t="s">
        <x:v>196</x:v>
      </x:c>
      <x:c r="S11" s="3" t="s">
        <x:v>111</x:v>
      </x:c>
      <x:c r="T11" s="3" t="s">
        <x:v>111</x:v>
      </x:c>
      <x:c r="U11" s="3" t="s">
        <x:v>197</x:v>
      </x:c>
      <x:c r="V11" s="3" t="s">
        <x:v>198</x:v>
      </x:c>
      <x:c r="W11" s="3" t="s">
        <x:v>365</x:v>
      </x:c>
      <x:c r="X11" s="3" t="s">
        <x:v>366</x:v>
      </x:c>
      <x:c r="Y11" s="3" t="s">
        <x:v>367</x:v>
      </x:c>
      <x:c r="Z11" s="3" t="s">
        <x:v>201</x:v>
      </x:c>
      <x:c r="AA11" s="3" t="s">
        <x:v>368</x:v>
      </x:c>
      <x:c r="AB11" s="7" t="n">
        <x:v>46242.8680555556</x:v>
      </x:c>
      <x:c r="AC11" s="7" t="n">
        <x:v>46242.8722222222</x:v>
      </x:c>
      <x:c r="AD11" s="7" t="n">
        <x:v>46242.8770833333</x:v>
      </x:c>
      <x:c r="AE11" s="7" t="n">
        <x:v>46242.8979166667</x:v>
      </x:c>
      <x:c r="AF11" s="7" t="n">
        <x:v>46242.95625</x:v>
      </x:c>
      <x:c r="AG11" s="3" t="n">
        <x:v>43</x:v>
      </x:c>
      <x:c r="AH11" s="3" t="n">
        <x:v>75</x:v>
      </x:c>
      <x:c r="AI11" s="3" t="s">
        <x:v>135</x:v>
      </x:c>
      <x:c r="AJ11" s="3" t="s">
        <x:v>135</x:v>
      </x:c>
      <x:c r="AK11" s="3" t="n">
        <x:v>120</x:v>
      </x:c>
      <x:c r="AL11" s="3" t="n">
        <x:v>0</x:v>
      </x:c>
      <x:c r="AM11" s="8" t="n">
        <x:v>0.9833</x:v>
      </x:c>
      <x:c r="AN11" s="3" t="n">
        <x:v>0</x:v>
      </x:c>
      <x:c r="AO11" s="3" t="s">
        <x:v>19</x:v>
      </x:c>
      <x:c r="AP11" s="3" t="s">
        <x:v>369</x:v>
      </x:c>
      <x:c r="AQ11" s="3" t="s">
        <x:v>370</x:v>
      </x:c>
      <x:c r="AR11" s="9" t="n">
        <x:v>993.5</x:v>
      </x:c>
      <x:c r="AS11" s="3" t="s">
        <x:v>185</x:v>
      </x:c>
      <x:c r="AT11" s="7" t="n">
        <x:v>46301.9166666667</x:v>
      </x:c>
    </x:row>
    <x:row r="12" ht="31.299999237060547" hidden="0">
      <x:c r="A12" s="3" t="s">
        <x:v>371</x:v>
      </x:c>
      <x:c r="B12" s="3" t="s">
        <x:v>233</x:v>
      </x:c>
      <x:c r="C12" s="3" t="s">
        <x:v>234</x:v>
      </x:c>
      <x:c r="D12" s="3" t="s">
        <x:v>235</x:v>
      </x:c>
      <x:c r="E12" s="3" t="s">
        <x:v>249</x:v>
      </x:c>
      <x:c r="F12" s="3" t="s">
        <x:v>99</x:v>
      </x:c>
      <x:c r="G12" s="3" t="s">
        <x:v>372</x:v>
      </x:c>
      <x:c r="H12" s="3" t="s">
        <x:v>101</x:v>
      </x:c>
      <x:c r="I12" s="3" t="s">
        <x:v>102</x:v>
      </x:c>
      <x:c r="J12" s="3" t="s">
        <x:v>103</x:v>
      </x:c>
      <x:c r="K12" s="3" t="s">
        <x:v>104</x:v>
      </x:c>
      <x:c r="L12" s="3" t="s">
        <x:v>237</x:v>
      </x:c>
      <x:c r="M12" s="3" t="s">
        <x:v>172</x:v>
      </x:c>
      <x:c r="N12" s="3" t="s">
        <x:v>238</x:v>
      </x:c>
      <x:c r="O12" s="3" t="s">
        <x:v>239</x:v>
      </x:c>
      <x:c r="P12" s="3" t="s">
        <x:v>240</x:v>
      </x:c>
      <x:c r="Q12" s="3" t="s">
        <x:v>276</x:v>
      </x:c>
      <x:c r="R12" s="3" t="s">
        <x:v>373</x:v>
      </x:c>
      <x:c r="S12" s="3" t="s">
        <x:v>135</x:v>
      </x:c>
      <x:c r="T12" s="3" t="s">
        <x:v>111</x:v>
      </x:c>
      <x:c r="U12" s="3" t="s">
        <x:v>374</x:v>
      </x:c>
      <x:c r="V12" s="3" t="s">
        <x:v>178</x:v>
      </x:c>
      <x:c r="W12" s="3" t="s">
        <x:v>355</x:v>
      </x:c>
      <x:c r="X12" s="3" t="s">
        <x:v>180</x:v>
      </x:c>
      <x:c r="Y12" s="3" t="s">
        <x:v>356</x:v>
      </x:c>
      <x:c r="Z12" s="3" t="s">
        <x:v>375</x:v>
      </x:c>
      <x:c r="AA12" s="3" t="s">
        <x:v>118</x:v>
      </x:c>
      <x:c r="AB12" s="7" t="n">
        <x:v>46243.3708333333</x:v>
      </x:c>
      <x:c r="AC12" s="7" t="n">
        <x:v>46243.3756944445</x:v>
      </x:c>
      <x:c r="AD12" s="7" t="n">
        <x:v>46243.3777777778</x:v>
      </x:c>
      <x:c r="AE12" s="7" t="n">
        <x:v>46243.4013888889</x:v>
      </x:c>
      <x:c r="AF12" s="7" t="n">
        <x:v>46243.4152777778</x:v>
      </x:c>
      <x:c r="AG12" s="3" t="n">
        <x:v>44</x:v>
      </x:c>
      <x:c r="AH12" s="3" t="n">
        <x:v>15</x:v>
      </x:c>
      <x:c r="AI12" s="3" t="s">
        <x:v>135</x:v>
      </x:c>
      <x:c r="AJ12" s="3" t="s">
        <x:v>111</x:v>
      </x:c>
      <x:c r="AK12" s="3" t="n">
        <x:v>150</x:v>
      </x:c>
      <x:c r="AL12" s="3" t="n">
        <x:v>0</x:v>
      </x:c>
      <x:c r="AM12" s="8" t="n">
        <x:v>0.3933</x:v>
      </x:c>
      <x:c r="AN12" s="3" t="n">
        <x:v>0</x:v>
      </x:c>
      <x:c r="AO12" s="3" t="s">
        <x:v>9</x:v>
      </x:c>
      <x:c r="AP12" s="3" t="s">
        <x:v>335</x:v>
      </x:c>
      <x:c r="AQ12" s="3" t="s">
        <x:v>361</x:v>
      </x:c>
      <x:c r="AR12" s="9" t="n">
        <x:v>566</x:v>
      </x:c>
      <x:c r="AS12" s="3" t="s">
        <x:v>144</x:v>
      </x:c>
      <x:c r="AT12" s="7" t="n">
        <x:v>46301.9166666667</x:v>
      </x:c>
    </x:row>
    <x:row r="13" ht="31.299999237060547" hidden="0">
      <x:c r="A13" s="3" t="s">
        <x:v>376</x:v>
      </x:c>
      <x:c r="B13" s="3" t="s">
        <x:v>123</x:v>
      </x:c>
      <x:c r="C13" s="3" t="s">
        <x:v>124</x:v>
      </x:c>
      <x:c r="D13" s="3" t="s">
        <x:v>125</x:v>
      </x:c>
      <x:c r="E13" s="3" t="s">
        <x:v>249</x:v>
      </x:c>
      <x:c r="F13" s="3" t="s">
        <x:v>99</x:v>
      </x:c>
      <x:c r="G13" s="3" t="s">
        <x:v>377</x:v>
      </x:c>
      <x:c r="H13" s="3" t="s">
        <x:v>343</x:v>
      </x:c>
      <x:c r="I13" s="3" t="s">
        <x:v>102</x:v>
      </x:c>
      <x:c r="J13" s="3" t="s">
        <x:v>103</x:v>
      </x:c>
      <x:c r="K13" s="3" t="s">
        <x:v>104</x:v>
      </x:c>
      <x:c r="L13" s="3" t="s">
        <x:v>129</x:v>
      </x:c>
      <x:c r="M13" s="3" t="s">
        <x:v>130</x:v>
      </x:c>
      <x:c r="N13" s="3" t="s">
        <x:v>131</x:v>
      </x:c>
      <x:c r="O13" s="3" t="s">
        <x:v>132</x:v>
      </x:c>
      <x:c r="P13" s="3" t="s">
        <x:v>133</x:v>
      </x:c>
      <x:c r="Q13" s="3" t="s">
        <x:v>268</x:v>
      </x:c>
      <x:c r="R13" s="3" t="s">
        <x:v>330</x:v>
      </x:c>
      <x:c r="S13" s="3" t="s">
        <x:v>135</x:v>
      </x:c>
      <x:c r="T13" s="3" t="s">
        <x:v>111</x:v>
      </x:c>
      <x:c r="U13" s="3" t="s">
        <x:v>331</x:v>
      </x:c>
      <x:c r="V13" s="3" t="s">
        <x:v>178</x:v>
      </x:c>
      <x:c r="W13" s="3" t="s">
        <x:v>355</x:v>
      </x:c>
      <x:c r="X13" s="3" t="s">
        <x:v>180</x:v>
      </x:c>
      <x:c r="Y13" s="3" t="s">
        <x:v>356</x:v>
      </x:c>
      <x:c r="Z13" s="3" t="s">
        <x:v>334</x:v>
      </x:c>
      <x:c r="AA13" s="3" t="s">
        <x:v>118</x:v>
      </x:c>
      <x:c r="AB13" s="7" t="n">
        <x:v>46243.3944444444</x:v>
      </x:c>
      <x:c r="AC13" s="7" t="n">
        <x:v>46243.3958333333</x:v>
      </x:c>
      <x:c r="AD13" s="7" t="n">
        <x:v>46243.4013888889</x:v>
      </x:c>
      <x:c r="AE13" s="7" t="n">
        <x:v>46243.4215277778</x:v>
      </x:c>
      <x:c r="AF13" s="7" t="n">
        <x:v>46243.4347222222</x:v>
      </x:c>
      <x:c r="AG13" s="3" t="n">
        <x:v>39</x:v>
      </x:c>
      <x:c r="AH13" s="3" t="n">
        <x:v>12</x:v>
      </x:c>
      <x:c r="AI13" s="3" t="s">
        <x:v>135</x:v>
      </x:c>
      <x:c r="AJ13" s="3" t="s">
        <x:v>135</x:v>
      </x:c>
      <x:c r="AK13" s="3" t="n">
        <x:v>180</x:v>
      </x:c>
      <x:c r="AL13" s="3" t="n">
        <x:v>0</x:v>
      </x:c>
      <x:c r="AM13" s="8" t="n">
        <x:v>0.2833</x:v>
      </x:c>
      <x:c r="AN13" s="3" t="n">
        <x:v>0</x:v>
      </x:c>
      <x:c r="AO13" s="3" t="s">
        <x:v>9</x:v>
      </x:c>
      <x:c r="AP13" s="3" t="s">
        <x:v>142</x:v>
      </x:c>
      <x:c r="AQ13" s="3" t="s">
        <x:v>357</x:v>
      </x:c>
      <x:c r="AR13" s="9" t="n">
        <x:v>521.9</x:v>
      </x:c>
      <x:c r="AS13" s="3" t="s">
        <x:v>144</x:v>
      </x:c>
      <x:c r="AT13" s="7" t="n">
        <x:v>46301.9166666667</x:v>
      </x:c>
    </x:row>
    <x:row r="14" ht="31.299999237060547" hidden="0">
      <x:c r="A14" s="3" t="s">
        <x:v>378</x:v>
      </x:c>
      <x:c r="B14" s="3" t="s">
        <x:v>187</x:v>
      </x:c>
      <x:c r="C14" s="3" t="s">
        <x:v>188</x:v>
      </x:c>
      <x:c r="D14" s="3" t="s">
        <x:v>189</x:v>
      </x:c>
      <x:c r="E14" s="3" t="s">
        <x:v>249</x:v>
      </x:c>
      <x:c r="F14" s="3" t="s">
        <x:v>169</x:v>
      </x:c>
      <x:c r="G14" s="3" t="s">
        <x:v>379</x:v>
      </x:c>
      <x:c r="H14" s="3" t="s">
        <x:v>339</x:v>
      </x:c>
      <x:c r="I14" s="3" t="s">
        <x:v>102</x:v>
      </x:c>
      <x:c r="J14" s="3" t="s">
        <x:v>103</x:v>
      </x:c>
      <x:c r="K14" s="3" t="s">
        <x:v>104</x:v>
      </x:c>
      <x:c r="L14" s="3" t="s">
        <x:v>191</x:v>
      </x:c>
      <x:c r="M14" s="3" t="s">
        <x:v>192</x:v>
      </x:c>
      <x:c r="N14" s="3" t="s">
        <x:v>193</x:v>
      </x:c>
      <x:c r="O14" s="3" t="s">
        <x:v>194</x:v>
      </x:c>
      <x:c r="P14" s="3" t="s">
        <x:v>195</x:v>
      </x:c>
      <x:c r="Q14" s="3" t="s">
        <x:v>273</x:v>
      </x:c>
      <x:c r="R14" s="3" t="s">
        <x:v>380</x:v>
      </x:c>
      <x:c r="S14" s="3" t="s">
        <x:v>111</x:v>
      </x:c>
      <x:c r="T14" s="3" t="s">
        <x:v>111</x:v>
      </x:c>
      <x:c r="U14" s="3" t="s">
        <x:v>381</x:v>
      </x:c>
      <x:c r="V14" s="3" t="s">
        <x:v>312</x:v>
      </x:c>
      <x:c r="W14" s="3" t="s">
        <x:v>382</x:v>
      </x:c>
      <x:c r="X14" s="3" t="s">
        <x:v>314</x:v>
      </x:c>
      <x:c r="Y14" s="3" t="s">
        <x:v>383</x:v>
      </x:c>
      <x:c r="Z14" s="3" t="s">
        <x:v>384</x:v>
      </x:c>
      <x:c r="AA14" s="3" t="s">
        <x:v>385</x:v>
      </x:c>
      <x:c r="AB14" s="7" t="n">
        <x:v>46243.4097222222</x:v>
      </x:c>
      <x:c r="AC14" s="7" t="n">
        <x:v>46243.4138888889</x:v>
      </x:c>
      <x:c r="AD14" s="7" t="n">
        <x:v>46243.41875</x:v>
      </x:c>
      <x:c r="AE14" s="7" t="n">
        <x:v>46243.4298611111</x:v>
      </x:c>
      <x:c r="AF14" s="7" t="n">
        <x:v>46243.4763888889</x:v>
      </x:c>
      <x:c r="AG14" s="3" t="n">
        <x:v>29</x:v>
      </x:c>
      <x:c r="AH14" s="3" t="n">
        <x:v>63</x:v>
      </x:c>
      <x:c r="AI14" s="3" t="s">
        <x:v>135</x:v>
      </x:c>
      <x:c r="AJ14" s="3" t="s">
        <x:v>111</x:v>
      </x:c>
      <x:c r="AK14" s="3" t="n">
        <x:v>120</x:v>
      </x:c>
      <x:c r="AL14" s="3" t="n">
        <x:v>0</x:v>
      </x:c>
      <x:c r="AM14" s="8" t="n">
        <x:v>0.7667</x:v>
      </x:c>
      <x:c r="AN14" s="3" t="n">
        <x:v>0</x:v>
      </x:c>
      <x:c r="AO14" s="3" t="s">
        <x:v>14</x:v>
      </x:c>
      <x:c r="AP14" s="3" t="s">
        <x:v>318</x:v>
      </x:c>
      <x:c r="AQ14" s="3" t="s">
        <x:v>386</x:v>
      </x:c>
      <x:c r="AR14" s="9" t="n">
        <x:v>1224.1</x:v>
      </x:c>
      <x:c r="AS14" s="3" t="s">
        <x:v>185</x:v>
      </x:c>
      <x:c r="AT14" s="7" t="n">
        <x:v>46301.9166666667</x:v>
      </x:c>
    </x:row>
    <x:row r="15" ht="31.299999237060547" hidden="0">
      <x:c r="A15" s="3" t="s">
        <x:v>387</x:v>
      </x:c>
      <x:c r="B15" s="3" t="s">
        <x:v>166</x:v>
      </x:c>
      <x:c r="C15" s="3" t="s">
        <x:v>167</x:v>
      </x:c>
      <x:c r="D15" s="3" t="s">
        <x:v>168</x:v>
      </x:c>
      <x:c r="E15" s="3" t="s">
        <x:v>249</x:v>
      </x:c>
      <x:c r="F15" s="3" t="s">
        <x:v>149</x:v>
      </x:c>
      <x:c r="G15" s="3" t="s">
        <x:v>388</x:v>
      </x:c>
      <x:c r="H15" s="3" t="s">
        <x:v>339</x:v>
      </x:c>
      <x:c r="I15" s="3" t="s">
        <x:v>102</x:v>
      </x:c>
      <x:c r="J15" s="3" t="s">
        <x:v>103</x:v>
      </x:c>
      <x:c r="K15" s="3" t="s">
        <x:v>104</x:v>
      </x:c>
      <x:c r="L15" s="3" t="s">
        <x:v>171</x:v>
      </x:c>
      <x:c r="M15" s="3" t="s">
        <x:v>172</x:v>
      </x:c>
      <x:c r="N15" s="3" t="s">
        <x:v>173</x:v>
      </x:c>
      <x:c r="O15" s="3" t="s">
        <x:v>174</x:v>
      </x:c>
      <x:c r="P15" s="3" t="s">
        <x:v>175</x:v>
      </x:c>
      <x:c r="Q15" s="3" t="s">
        <x:v>271</x:v>
      </x:c>
      <x:c r="R15" s="3" t="s">
        <x:v>110</x:v>
      </x:c>
      <x:c r="S15" s="3" t="s">
        <x:v>111</x:v>
      </x:c>
      <x:c r="T15" s="3" t="s">
        <x:v>111</x:v>
      </x:c>
      <x:c r="U15" s="3" t="s">
        <x:v>112</x:v>
      </x:c>
      <x:c r="V15" s="3" t="s">
        <x:v>113</x:v>
      </x:c>
      <x:c r="W15" s="3" t="s">
        <x:v>114</x:v>
      </x:c>
      <x:c r="X15" s="3" t="s">
        <x:v>115</x:v>
      </x:c>
      <x:c r="Y15" s="3" t="s">
        <x:v>116</x:v>
      </x:c>
      <x:c r="Z15" s="3" t="s">
        <x:v>117</x:v>
      </x:c>
      <x:c r="AA15" s="3" t="s">
        <x:v>118</x:v>
      </x:c>
      <x:c r="AB15" s="7" t="n">
        <x:v>46243.4347222222</x:v>
      </x:c>
      <x:c r="AC15" s="7" t="n">
        <x:v>46243.4375</x:v>
      </x:c>
      <x:c r="AD15" s="7" t="n">
        <x:v>46243.4409722222</x:v>
      </x:c>
      <x:c r="AE15" s="7" t="n">
        <x:v>46243.45625</x:v>
      </x:c>
      <x:c r="AF15" s="7" t="n">
        <x:v>46243.4965277778</x:v>
      </x:c>
      <x:c r="AG15" s="3" t="n">
        <x:v>31</x:v>
      </x:c>
      <x:c r="AH15" s="3" t="n">
        <x:v>50</x:v>
      </x:c>
      <x:c r="AI15" s="3" t="s">
        <x:v>135</x:v>
      </x:c>
      <x:c r="AJ15" s="3" t="s">
        <x:v>135</x:v>
      </x:c>
      <x:c r="AK15" s="3" t="n">
        <x:v>120</x:v>
      </x:c>
      <x:c r="AL15" s="3" t="n">
        <x:v>0</x:v>
      </x:c>
      <x:c r="AM15" s="8" t="n">
        <x:v>0.675</x:v>
      </x:c>
      <x:c r="AN15" s="3" t="n">
        <x:v>0</x:v>
      </x:c>
      <x:c r="AO15" s="3" t="s">
        <x:v>14</x:v>
      </x:c>
      <x:c r="AP15" s="3" t="s">
        <x:v>347</x:v>
      </x:c>
      <x:c r="AQ15" s="3" t="s">
        <x:v>340</x:v>
      </x:c>
      <x:c r="AR15" s="9" t="n">
        <x:v>1139.5</x:v>
      </x:c>
      <x:c r="AS15" s="3" t="s">
        <x:v>185</x:v>
      </x:c>
      <x:c r="AT15" s="7" t="n">
        <x:v>46301.9166666667</x:v>
      </x:c>
    </x:row>
    <x:row r="16" ht="31.299999237060547" hidden="0">
      <x:c r="A16" s="3" t="s">
        <x:v>389</x:v>
      </x:c>
      <x:c r="B16" s="3" t="s">
        <x:v>297</x:v>
      </x:c>
      <x:c r="C16" s="3" t="s">
        <x:v>298</x:v>
      </x:c>
      <x:c r="D16" s="3" t="s">
        <x:v>299</x:v>
      </x:c>
      <x:c r="E16" s="3" t="s">
        <x:v>249</x:v>
      </x:c>
      <x:c r="F16" s="3" t="s">
        <x:v>99</x:v>
      </x:c>
      <x:c r="G16" s="3" t="s">
        <x:v>390</x:v>
      </x:c>
      <x:c r="H16" s="3" t="s">
        <x:v>301</x:v>
      </x:c>
      <x:c r="I16" s="3" t="s">
        <x:v>302</x:v>
      </x:c>
      <x:c r="J16" s="3" t="s">
        <x:v>303</x:v>
      </x:c>
      <x:c r="K16" s="3" t="s">
        <x:v>104</x:v>
      </x:c>
      <x:c r="L16" s="3" t="s">
        <x:v>304</x:v>
      </x:c>
      <x:c r="M16" s="3" t="s">
        <x:v>305</x:v>
      </x:c>
      <x:c r="N16" s="3" t="s">
        <x:v>306</x:v>
      </x:c>
      <x:c r="O16" s="3" t="s">
        <x:v>307</x:v>
      </x:c>
      <x:c r="P16" s="3" t="s">
        <x:v>308</x:v>
      </x:c>
      <x:c r="Q16" s="3" t="s">
        <x:v>309</x:v>
      </x:c>
      <x:c r="R16" s="3" t="s">
        <x:v>391</x:v>
      </x:c>
      <x:c r="S16" s="3" t="s">
        <x:v>135</x:v>
      </x:c>
      <x:c r="T16" s="3" t="s">
        <x:v>135</x:v>
      </x:c>
      <x:c r="U16" s="3" t="s">
        <x:v>392</x:v>
      </x:c>
      <x:c r="V16" s="3" t="s">
        <x:v>312</x:v>
      </x:c>
      <x:c r="W16" s="3" t="s">
        <x:v>382</x:v>
      </x:c>
      <x:c r="X16" s="3" t="s">
        <x:v>314</x:v>
      </x:c>
      <x:c r="Y16" s="3" t="s">
        <x:v>383</x:v>
      </x:c>
      <x:c r="Z16" s="3" t="s">
        <x:v>393</x:v>
      </x:c>
      <x:c r="AA16" s="3" t="s">
        <x:v>394</x:v>
      </x:c>
      <x:c r="AB16" s="7" t="n">
        <x:v>46243.5125</x:v>
      </x:c>
      <x:c r="AC16" s="7" t="n">
        <x:v>46243.5138888889</x:v>
      </x:c>
      <x:c r="AD16" s="7" t="n">
        <x:v>46243.5180555556</x:v>
      </x:c>
      <x:c r="AE16" s="7" t="n">
        <x:v>46243.5388888889</x:v>
      </x:c>
      <x:c r="AF16" s="7" t="n">
        <x:v>46243.5701388889</x:v>
      </x:c>
      <x:c r="AG16" s="3" t="n">
        <x:v>38</x:v>
      </x:c>
      <x:c r="AH16" s="3" t="n">
        <x:v>37</x:v>
      </x:c>
      <x:c r="AI16" s="3" t="s">
        <x:v>135</x:v>
      </x:c>
      <x:c r="AJ16" s="3" t="s">
        <x:v>111</x:v>
      </x:c>
      <x:c r="AK16" s="3" t="n">
        <x:v>180</x:v>
      </x:c>
      <x:c r="AL16" s="3" t="n">
        <x:v>0</x:v>
      </x:c>
      <x:c r="AM16" s="8" t="n">
        <x:v>0.4167</x:v>
      </x:c>
      <x:c r="AN16" s="3" t="n">
        <x:v>0</x:v>
      </x:c>
      <x:c r="AO16" s="3" t="s">
        <x:v>9</x:v>
      </x:c>
      <x:c r="AP16" s="3" t="s">
        <x:v>335</x:v>
      </x:c>
      <x:c r="AQ16" s="3" t="s">
        <x:v>395</x:v>
      </x:c>
      <x:c r="AR16" s="9" t="n">
        <x:v>1077.4</x:v>
      </x:c>
      <x:c r="AS16" s="3" t="s">
        <x:v>121</x:v>
      </x:c>
      <x:c r="AT16" s="7" t="n">
        <x:v>46301.9166666667</x:v>
      </x:c>
    </x:row>
    <x:row r="17" ht="31.299999237060547" hidden="0">
      <x:c r="A17" s="3" t="s">
        <x:v>396</x:v>
      </x:c>
      <x:c r="B17" s="3" t="s">
        <x:v>397</x:v>
      </x:c>
      <x:c r="C17" s="3" t="s">
        <x:v>398</x:v>
      </x:c>
      <x:c r="D17" s="3" t="s">
        <x:v>399</x:v>
      </x:c>
      <x:c r="E17" s="3" t="s">
        <x:v>249</x:v>
      </x:c>
      <x:c r="F17" s="3" t="s">
        <x:v>149</x:v>
      </x:c>
      <x:c r="G17" s="3" t="s">
        <x:v>400</x:v>
      </x:c>
      <x:c r="H17" s="3" t="s">
        <x:v>301</x:v>
      </x:c>
      <x:c r="I17" s="3" t="s">
        <x:v>302</x:v>
      </x:c>
      <x:c r="J17" s="3" t="s">
        <x:v>303</x:v>
      </x:c>
      <x:c r="K17" s="3" t="s">
        <x:v>104</x:v>
      </x:c>
      <x:c r="L17" s="3" t="s">
        <x:v>401</x:v>
      </x:c>
      <x:c r="M17" s="3" t="s">
        <x:v>402</x:v>
      </x:c>
      <x:c r="N17" s="3" t="s">
        <x:v>403</x:v>
      </x:c>
      <x:c r="O17" s="3" t="s">
        <x:v>404</x:v>
      </x:c>
      <x:c r="P17" s="3" t="s">
        <x:v>405</x:v>
      </x:c>
      <x:c r="Q17" s="3" t="s">
        <x:v>406</x:v>
      </x:c>
      <x:c r="R17" s="3" t="s">
        <x:v>134</x:v>
      </x:c>
      <x:c r="S17" s="3" t="s">
        <x:v>135</x:v>
      </x:c>
      <x:c r="T17" s="3" t="s">
        <x:v>111</x:v>
      </x:c>
      <x:c r="U17" s="3" t="s">
        <x:v>136</x:v>
      </x:c>
      <x:c r="V17" s="3" t="s">
        <x:v>137</x:v>
      </x:c>
      <x:c r="W17" s="3" t="s">
        <x:v>407</x:v>
      </x:c>
      <x:c r="X17" s="3" t="s">
        <x:v>139</x:v>
      </x:c>
      <x:c r="Y17" s="3" t="s">
        <x:v>140</x:v>
      </x:c>
      <x:c r="Z17" s="3" t="s">
        <x:v>141</x:v>
      </x:c>
      <x:c r="AA17" s="3" t="s">
        <x:v>118</x:v>
      </x:c>
      <x:c r="AB17" s="7" t="n">
        <x:v>46243.5555555556</x:v>
      </x:c>
      <x:c r="AC17" s="7" t="n">
        <x:v>46243.5569444444</x:v>
      </x:c>
      <x:c r="AD17" s="7" t="n">
        <x:v>46243.5604166667</x:v>
      </x:c>
      <x:c r="AE17" s="7" t="n">
        <x:v>46243.5736111111</x:v>
      </x:c>
      <x:c r="AF17" s="7" t="n">
        <x:v>46243.6118055556</x:v>
      </x:c>
      <x:c r="AG17" s="3" t="n">
        <x:v>26</x:v>
      </x:c>
      <x:c r="AH17" s="3" t="n">
        <x:v>49</x:v>
      </x:c>
      <x:c r="AI17" s="3" t="s">
        <x:v>135</x:v>
      </x:c>
      <x:c r="AJ17" s="3" t="s">
        <x:v>135</x:v>
      </x:c>
      <x:c r="AK17" s="3" t="n">
        <x:v>180</x:v>
      </x:c>
      <x:c r="AL17" s="3" t="n">
        <x:v>0</x:v>
      </x:c>
      <x:c r="AM17" s="8" t="n">
        <x:v>0.4167</x:v>
      </x:c>
      <x:c r="AN17" s="3" t="n">
        <x:v>0</x:v>
      </x:c>
      <x:c r="AO17" s="3" t="s">
        <x:v>9</x:v>
      </x:c>
      <x:c r="AP17" s="3" t="s">
        <x:v>142</x:v>
      </x:c>
      <x:c r="AQ17" s="3" t="s">
        <x:v>408</x:v>
      </x:c>
      <x:c r="AR17" s="9" t="n">
        <x:v>729.8</x:v>
      </x:c>
      <x:c r="AS17" s="3" t="s">
        <x:v>121</x:v>
      </x:c>
      <x:c r="AT17" s="7" t="n">
        <x:v>46301.9166666667</x:v>
      </x:c>
    </x:row>
    <x:row r="18" ht="31.299999237060547" hidden="0">
      <x:c r="A18" s="3" t="s">
        <x:v>409</x:v>
      </x:c>
      <x:c r="B18" s="3" t="s">
        <x:v>146</x:v>
      </x:c>
      <x:c r="C18" s="3" t="s">
        <x:v>147</x:v>
      </x:c>
      <x:c r="D18" s="3" t="s">
        <x:v>148</x:v>
      </x:c>
      <x:c r="E18" s="3" t="s">
        <x:v>249</x:v>
      </x:c>
      <x:c r="F18" s="3" t="s">
        <x:v>149</x:v>
      </x:c>
      <x:c r="G18" s="3" t="s">
        <x:v>410</x:v>
      </x:c>
      <x:c r="H18" s="3" t="s">
        <x:v>343</x:v>
      </x:c>
      <x:c r="I18" s="3" t="s">
        <x:v>102</x:v>
      </x:c>
      <x:c r="J18" s="3" t="s">
        <x:v>103</x:v>
      </x:c>
      <x:c r="K18" s="3" t="s">
        <x:v>104</x:v>
      </x:c>
      <x:c r="L18" s="3" t="s">
        <x:v>151</x:v>
      </x:c>
      <x:c r="M18" s="3" t="s">
        <x:v>152</x:v>
      </x:c>
      <x:c r="N18" s="3" t="s">
        <x:v>153</x:v>
      </x:c>
      <x:c r="O18" s="3" t="s">
        <x:v>154</x:v>
      </x:c>
      <x:c r="P18" s="3" t="s">
        <x:v>155</x:v>
      </x:c>
      <x:c r="Q18" s="3" t="s">
        <x:v>270</x:v>
      </x:c>
      <x:c r="R18" s="3" t="s">
        <x:v>344</x:v>
      </x:c>
      <x:c r="S18" s="3" t="s">
        <x:v>111</x:v>
      </x:c>
      <x:c r="T18" s="3" t="s">
        <x:v>111</x:v>
      </x:c>
      <x:c r="U18" s="3" t="s">
        <x:v>345</x:v>
      </x:c>
      <x:c r="V18" s="3" t="s">
        <x:v>178</x:v>
      </x:c>
      <x:c r="W18" s="3" t="s">
        <x:v>355</x:v>
      </x:c>
      <x:c r="X18" s="3" t="s">
        <x:v>180</x:v>
      </x:c>
      <x:c r="Y18" s="3" t="s">
        <x:v>356</x:v>
      </x:c>
      <x:c r="Z18" s="3" t="s">
        <x:v>346</x:v>
      </x:c>
      <x:c r="AA18" s="3" t="s">
        <x:v>118</x:v>
      </x:c>
      <x:c r="AB18" s="7" t="n">
        <x:v>46243.6618055556</x:v>
      </x:c>
      <x:c r="AC18" s="7" t="n">
        <x:v>46243.6659722222</x:v>
      </x:c>
      <x:c r="AD18" s="7" t="n">
        <x:v>46243.66875</x:v>
      </x:c>
      <x:c r="AE18" s="7" t="n">
        <x:v>46243.6902777778</x:v>
      </x:c>
      <x:c r="AF18" s="7" t="n">
        <x:v>46243.7354166667</x:v>
      </x:c>
      <x:c r="AG18" s="3" t="n">
        <x:v>41</x:v>
      </x:c>
      <x:c r="AH18" s="3" t="n">
        <x:v>55</x:v>
      </x:c>
      <x:c r="AI18" s="3" t="s">
        <x:v>135</x:v>
      </x:c>
      <x:c r="AJ18" s="3" t="s">
        <x:v>135</x:v>
      </x:c>
      <x:c r="AK18" s="3" t="n">
        <x:v>120</x:v>
      </x:c>
      <x:c r="AL18" s="3" t="n">
        <x:v>0</x:v>
      </x:c>
      <x:c r="AM18" s="8" t="n">
        <x:v>0.8</x:v>
      </x:c>
      <x:c r="AN18" s="3" t="n">
        <x:v>0</x:v>
      </x:c>
      <x:c r="AO18" s="3" t="s">
        <x:v>14</x:v>
      </x:c>
      <x:c r="AP18" s="3" t="s">
        <x:v>347</x:v>
      </x:c>
      <x:c r="AQ18" s="3" t="s">
        <x:v>411</x:v>
      </x:c>
      <x:c r="AR18" s="9" t="n">
        <x:v>840.5</x:v>
      </x:c>
      <x:c r="AS18" s="3" t="s">
        <x:v>185</x:v>
      </x:c>
      <x:c r="AT18" s="7" t="n">
        <x:v>46301.9166666667</x:v>
      </x:c>
    </x:row>
    <x:row r="19" ht="31.299999237060547" hidden="0">
      <x:c r="A19" s="3" t="s">
        <x:v>412</x:v>
      </x:c>
      <x:c r="B19" s="3" t="s">
        <x:v>166</x:v>
      </x:c>
      <x:c r="C19" s="3" t="s">
        <x:v>167</x:v>
      </x:c>
      <x:c r="D19" s="3" t="s">
        <x:v>168</x:v>
      </x:c>
      <x:c r="E19" s="3" t="s">
        <x:v>249</x:v>
      </x:c>
      <x:c r="F19" s="3" t="s">
        <x:v>127</x:v>
      </x:c>
      <x:c r="G19" s="3" t="s">
        <x:v>413</x:v>
      </x:c>
      <x:c r="H19" s="3" t="s">
        <x:v>101</x:v>
      </x:c>
      <x:c r="I19" s="3" t="s">
        <x:v>102</x:v>
      </x:c>
      <x:c r="J19" s="3" t="s">
        <x:v>103</x:v>
      </x:c>
      <x:c r="K19" s="3" t="s">
        <x:v>104</x:v>
      </x:c>
      <x:c r="L19" s="3" t="s">
        <x:v>171</x:v>
      </x:c>
      <x:c r="M19" s="3" t="s">
        <x:v>172</x:v>
      </x:c>
      <x:c r="N19" s="3" t="s">
        <x:v>173</x:v>
      </x:c>
      <x:c r="O19" s="3" t="s">
        <x:v>174</x:v>
      </x:c>
      <x:c r="P19" s="3" t="s">
        <x:v>175</x:v>
      </x:c>
      <x:c r="Q19" s="3" t="s">
        <x:v>271</x:v>
      </x:c>
      <x:c r="R19" s="3" t="s">
        <x:v>330</x:v>
      </x:c>
      <x:c r="S19" s="3" t="s">
        <x:v>135</x:v>
      </x:c>
      <x:c r="T19" s="3" t="s">
        <x:v>111</x:v>
      </x:c>
      <x:c r="U19" s="3" t="s">
        <x:v>331</x:v>
      </x:c>
      <x:c r="V19" s="3" t="s">
        <x:v>178</x:v>
      </x:c>
      <x:c r="W19" s="3" t="s">
        <x:v>179</x:v>
      </x:c>
      <x:c r="X19" s="3" t="s">
        <x:v>180</x:v>
      </x:c>
      <x:c r="Y19" s="3" t="s">
        <x:v>414</x:v>
      </x:c>
      <x:c r="Z19" s="3" t="s">
        <x:v>334</x:v>
      </x:c>
      <x:c r="AA19" s="3" t="s">
        <x:v>118</x:v>
      </x:c>
      <x:c r="AB19" s="7" t="n">
        <x:v>46243.7402777778</x:v>
      </x:c>
      <x:c r="AC19" s="7" t="n">
        <x:v>46243.74375</x:v>
      </x:c>
      <x:c r="AD19" s="7" t="n">
        <x:v>46243.7472222222</x:v>
      </x:c>
      <x:c r="AE19" s="7" t="n">
        <x:v>46243.7659722222</x:v>
      </x:c>
      <x:c r="AF19" s="7" t="n">
        <x:v>46243.8104166667</x:v>
      </x:c>
      <x:c r="AG19" s="3" t="n">
        <x:v>37</x:v>
      </x:c>
      <x:c r="AH19" s="3" t="n">
        <x:v>61</x:v>
      </x:c>
      <x:c r="AI19" s="3" t="s">
        <x:v>135</x:v>
      </x:c>
      <x:c r="AJ19" s="3" t="s">
        <x:v>135</x:v>
      </x:c>
      <x:c r="AK19" s="3" t="n">
        <x:v>150</x:v>
      </x:c>
      <x:c r="AL19" s="3" t="n">
        <x:v>0</x:v>
      </x:c>
      <x:c r="AM19" s="8" t="n">
        <x:v>0.6533</x:v>
      </x:c>
      <x:c r="AN19" s="3" t="n">
        <x:v>0</x:v>
      </x:c>
      <x:c r="AO19" s="3" t="s">
        <x:v>14</x:v>
      </x:c>
      <x:c r="AP19" s="3" t="s">
        <x:v>347</x:v>
      </x:c>
      <x:c r="AQ19" s="3" t="s">
        <x:v>361</x:v>
      </x:c>
      <x:c r="AR19" s="9" t="n">
        <x:v>1245.7</x:v>
      </x:c>
      <x:c r="AS19" s="3" t="s">
        <x:v>121</x:v>
      </x:c>
      <x:c r="AT19" s="7" t="n">
        <x:v>46301.9166666667</x:v>
      </x:c>
    </x:row>
    <x:row r="20" ht="31.299999237060547" hidden="0">
      <x:c r="A20" s="3" t="s">
        <x:v>415</x:v>
      </x:c>
      <x:c r="B20" s="3" t="s">
        <x:v>123</x:v>
      </x:c>
      <x:c r="C20" s="3" t="s">
        <x:v>124</x:v>
      </x:c>
      <x:c r="D20" s="3" t="s">
        <x:v>125</x:v>
      </x:c>
      <x:c r="E20" s="3" t="s">
        <x:v>249</x:v>
      </x:c>
      <x:c r="F20" s="3" t="s">
        <x:v>127</x:v>
      </x:c>
      <x:c r="G20" s="3" t="s">
        <x:v>416</x:v>
      </x:c>
      <x:c r="H20" s="3" t="s">
        <x:v>339</x:v>
      </x:c>
      <x:c r="I20" s="3" t="s">
        <x:v>102</x:v>
      </x:c>
      <x:c r="J20" s="3" t="s">
        <x:v>103</x:v>
      </x:c>
      <x:c r="K20" s="3" t="s">
        <x:v>104</x:v>
      </x:c>
      <x:c r="L20" s="3" t="s">
        <x:v>129</x:v>
      </x:c>
      <x:c r="M20" s="3" t="s">
        <x:v>130</x:v>
      </x:c>
      <x:c r="N20" s="3" t="s">
        <x:v>131</x:v>
      </x:c>
      <x:c r="O20" s="3" t="s">
        <x:v>132</x:v>
      </x:c>
      <x:c r="P20" s="3" t="s">
        <x:v>133</x:v>
      </x:c>
      <x:c r="Q20" s="3" t="s">
        <x:v>268</x:v>
      </x:c>
      <x:c r="R20" s="3" t="s">
        <x:v>373</x:v>
      </x:c>
      <x:c r="S20" s="3" t="s">
        <x:v>135</x:v>
      </x:c>
      <x:c r="T20" s="3" t="s">
        <x:v>111</x:v>
      </x:c>
      <x:c r="U20" s="3" t="s">
        <x:v>374</x:v>
      </x:c>
      <x:c r="V20" s="3" t="s">
        <x:v>178</x:v>
      </x:c>
      <x:c r="W20" s="3" t="s">
        <x:v>179</x:v>
      </x:c>
      <x:c r="X20" s="3" t="s">
        <x:v>180</x:v>
      </x:c>
      <x:c r="Y20" s="3" t="s">
        <x:v>414</x:v>
      </x:c>
      <x:c r="Z20" s="3" t="s">
        <x:v>375</x:v>
      </x:c>
      <x:c r="AA20" s="3" t="s">
        <x:v>118</x:v>
      </x:c>
      <x:c r="AB20" s="7" t="n">
        <x:v>46243.8027777778</x:v>
      </x:c>
      <x:c r="AC20" s="7" t="n">
        <x:v>46243.8048611111</x:v>
      </x:c>
      <x:c r="AD20" s="7" t="n">
        <x:v>46243.8104166667</x:v>
      </x:c>
      <x:c r="AE20" s="7" t="n">
        <x:v>46243.8284722222</x:v>
      </x:c>
      <x:c r="AF20" s="7" t="n">
        <x:v>46243.8548611111</x:v>
      </x:c>
      <x:c r="AG20" s="3" t="n">
        <x:v>37</x:v>
      </x:c>
      <x:c r="AH20" s="3" t="n">
        <x:v>35</x:v>
      </x:c>
      <x:c r="AI20" s="3" t="s">
        <x:v>135</x:v>
      </x:c>
      <x:c r="AJ20" s="3" t="s">
        <x:v>135</x:v>
      </x:c>
      <x:c r="AK20" s="3" t="n">
        <x:v>180</x:v>
      </x:c>
      <x:c r="AL20" s="3" t="n">
        <x:v>0</x:v>
      </x:c>
      <x:c r="AM20" s="8" t="n">
        <x:v>0.4</x:v>
      </x:c>
      <x:c r="AN20" s="3" t="n">
        <x:v>0</x:v>
      </x:c>
      <x:c r="AO20" s="3" t="s">
        <x:v>9</x:v>
      </x:c>
      <x:c r="AP20" s="3" t="s">
        <x:v>142</x:v>
      </x:c>
      <x:c r="AQ20" s="3" t="s">
        <x:v>357</x:v>
      </x:c>
      <x:c r="AR20" s="9" t="n">
        <x:v>678.5</x:v>
      </x:c>
      <x:c r="AS20" s="3" t="s">
        <x:v>144</x:v>
      </x:c>
      <x:c r="AT20" s="7" t="n">
        <x:v>46301.9166666667</x:v>
      </x:c>
    </x:row>
    <x:row r="21" ht="31.299999237060547" hidden="0">
      <x:c r="A21" s="3" t="s">
        <x:v>417</x:v>
      </x:c>
      <x:c r="B21" s="3" t="s">
        <x:v>83</x:v>
      </x:c>
      <x:c r="C21" s="3" t="s">
        <x:v>96</x:v>
      </x:c>
      <x:c r="D21" s="3" t="s">
        <x:v>97</x:v>
      </x:c>
      <x:c r="E21" s="3" t="s">
        <x:v>249</x:v>
      </x:c>
      <x:c r="F21" s="3" t="s">
        <x:v>149</x:v>
      </x:c>
      <x:c r="G21" s="3" t="s">
        <x:v>418</x:v>
      </x:c>
      <x:c r="H21" s="3" t="s">
        <x:v>343</x:v>
      </x:c>
      <x:c r="I21" s="3" t="s">
        <x:v>102</x:v>
      </x:c>
      <x:c r="J21" s="3" t="s">
        <x:v>103</x:v>
      </x:c>
      <x:c r="K21" s="3" t="s">
        <x:v>104</x:v>
      </x:c>
      <x:c r="L21" s="3" t="s">
        <x:v>105</x:v>
      </x:c>
      <x:c r="M21" s="3" t="s">
        <x:v>106</x:v>
      </x:c>
      <x:c r="N21" s="3" t="s">
        <x:v>107</x:v>
      </x:c>
      <x:c r="O21" s="3" t="s">
        <x:v>108</x:v>
      </x:c>
      <x:c r="P21" s="3" t="s">
        <x:v>109</x:v>
      </x:c>
      <x:c r="Q21" s="3" t="s">
        <x:v>250</x:v>
      </x:c>
      <x:c r="R21" s="3" t="s">
        <x:v>110</x:v>
      </x:c>
      <x:c r="S21" s="3" t="s">
        <x:v>111</x:v>
      </x:c>
      <x:c r="T21" s="3" t="s">
        <x:v>111</x:v>
      </x:c>
      <x:c r="U21" s="3" t="s">
        <x:v>112</x:v>
      </x:c>
      <x:c r="V21" s="3" t="s">
        <x:v>113</x:v>
      </x:c>
      <x:c r="W21" s="3" t="s">
        <x:v>419</x:v>
      </x:c>
      <x:c r="X21" s="3" t="s">
        <x:v>115</x:v>
      </x:c>
      <x:c r="Y21" s="3" t="s">
        <x:v>420</x:v>
      </x:c>
      <x:c r="Z21" s="3" t="s">
        <x:v>117</x:v>
      </x:c>
      <x:c r="AA21" s="3" t="s">
        <x:v>118</x:v>
      </x:c>
      <x:c r="AB21" s="7" t="n">
        <x:v>46244.3770833333</x:v>
      </x:c>
      <x:c r="AC21" s="7" t="n">
        <x:v>46244.38125</x:v>
      </x:c>
      <x:c r="AD21" s="7" t="n">
        <x:v>46244.3840277778</x:v>
      </x:c>
      <x:c r="AE21" s="7" t="n">
        <x:v>46244.3916666667</x:v>
      </x:c>
      <x:c r="AF21" s="7" t="n">
        <x:v>46244.4291666667</x:v>
      </x:c>
      <x:c r="AG21" s="3" t="n">
        <x:v>21</x:v>
      </x:c>
      <x:c r="AH21" s="3" t="n">
        <x:v>51</x:v>
      </x:c>
      <x:c r="AI21" s="3" t="s">
        <x:v>111</x:v>
      </x:c>
      <x:c r="AJ21" s="3" t="s">
        <x:v>111</x:v>
      </x:c>
      <x:c r="AK21" s="3" t="n">
        <x:v>60</x:v>
      </x:c>
      <x:c r="AL21" s="3" t="n">
        <x:v>0</x:v>
      </x:c>
      <x:c r="AM21" s="8" t="n">
        <x:v>1.2</x:v>
      </x:c>
      <x:c r="AN21" s="3" t="n">
        <x:v>0</x:v>
      </x:c>
      <x:c r="AO21" s="3" t="s">
        <x:v>24</x:v>
      </x:c>
      <x:c r="AP21" s="3" t="s">
        <x:v>421</x:v>
      </x:c>
      <x:c r="AQ21" s="3" t="s">
        <x:v>422</x:v>
      </x:c>
      <x:c r="AR21" s="9" t="n">
        <x:v>1041.7</x:v>
      </x:c>
      <x:c r="AS21" s="3" t="s">
        <x:v>185</x:v>
      </x:c>
      <x:c r="AT21" s="7" t="n">
        <x:v>46301.9166666667</x:v>
      </x:c>
    </x:row>
    <x:row r="22" ht="31.299999237060547" hidden="0">
      <x:c r="A22" s="3" t="s">
        <x:v>423</x:v>
      </x:c>
      <x:c r="B22" s="3" t="s">
        <x:v>187</x:v>
      </x:c>
      <x:c r="C22" s="3" t="s">
        <x:v>188</x:v>
      </x:c>
      <x:c r="D22" s="3" t="s">
        <x:v>189</x:v>
      </x:c>
      <x:c r="E22" s="3" t="s">
        <x:v>249</x:v>
      </x:c>
      <x:c r="F22" s="3" t="s">
        <x:v>99</x:v>
      </x:c>
      <x:c r="G22" s="3" t="s">
        <x:v>359</x:v>
      </x:c>
      <x:c r="H22" s="3" t="s">
        <x:v>101</x:v>
      </x:c>
      <x:c r="I22" s="3" t="s">
        <x:v>102</x:v>
      </x:c>
      <x:c r="J22" s="3" t="s">
        <x:v>103</x:v>
      </x:c>
      <x:c r="K22" s="3" t="s">
        <x:v>104</x:v>
      </x:c>
      <x:c r="L22" s="3" t="s">
        <x:v>191</x:v>
      </x:c>
      <x:c r="M22" s="3" t="s">
        <x:v>192</x:v>
      </x:c>
      <x:c r="N22" s="3" t="s">
        <x:v>193</x:v>
      </x:c>
      <x:c r="O22" s="3" t="s">
        <x:v>194</x:v>
      </x:c>
      <x:c r="P22" s="3" t="s">
        <x:v>195</x:v>
      </x:c>
      <x:c r="Q22" s="3" t="s">
        <x:v>273</x:v>
      </x:c>
      <x:c r="R22" s="3" t="s">
        <x:v>156</x:v>
      </x:c>
      <x:c r="S22" s="3" t="s">
        <x:v>135</x:v>
      </x:c>
      <x:c r="T22" s="3" t="s">
        <x:v>111</x:v>
      </x:c>
      <x:c r="U22" s="3" t="s">
        <x:v>157</x:v>
      </x:c>
      <x:c r="V22" s="3" t="s">
        <x:v>158</x:v>
      </x:c>
      <x:c r="W22" s="3" t="s">
        <x:v>159</x:v>
      </x:c>
      <x:c r="X22" s="3" t="s">
        <x:v>160</x:v>
      </x:c>
      <x:c r="Y22" s="3" t="s">
        <x:v>360</x:v>
      </x:c>
      <x:c r="Z22" s="3" t="s">
        <x:v>162</x:v>
      </x:c>
      <x:c r="AA22" s="3" t="s">
        <x:v>118</x:v>
      </x:c>
      <x:c r="AB22" s="7" t="n">
        <x:v>46244.3895833333</x:v>
      </x:c>
      <x:c r="AC22" s="7" t="n">
        <x:v>46244.3944444444</x:v>
      </x:c>
      <x:c r="AD22" s="7" t="n">
        <x:v>46244.3965277778</x:v>
      </x:c>
      <x:c r="AE22" s="7" t="n">
        <x:v>46244.4173611111</x:v>
      </x:c>
      <x:c r="AF22" s="7" t="n">
        <x:v>46244.4541666667</x:v>
      </x:c>
      <x:c r="AG22" s="3" t="n">
        <x:v>40</x:v>
      </x:c>
      <x:c r="AH22" s="3" t="n">
        <x:v>47</x:v>
      </x:c>
      <x:c r="AI22" s="3" t="s">
        <x:v>135</x:v>
      </x:c>
      <x:c r="AJ22" s="3" t="s">
        <x:v>111</x:v>
      </x:c>
      <x:c r="AK22" s="3" t="n">
        <x:v>150</x:v>
      </x:c>
      <x:c r="AL22" s="3" t="n">
        <x:v>0</x:v>
      </x:c>
      <x:c r="AM22" s="8" t="n">
        <x:v>0.58</x:v>
      </x:c>
      <x:c r="AN22" s="3" t="n">
        <x:v>0</x:v>
      </x:c>
      <x:c r="AO22" s="3" t="s">
        <x:v>9</x:v>
      </x:c>
      <x:c r="AP22" s="3" t="s">
        <x:v>335</x:v>
      </x:c>
      <x:c r="AQ22" s="3" t="s">
        <x:v>386</x:v>
      </x:c>
      <x:c r="AR22" s="9" t="n">
        <x:v>1158.4</x:v>
      </x:c>
      <x:c r="AS22" s="3" t="s">
        <x:v>121</x:v>
      </x:c>
      <x:c r="AT22" s="7" t="n">
        <x:v>46301.9166666667</x:v>
      </x:c>
    </x:row>
    <x:row r="23" ht="31.299999237060547" hidden="0">
      <x:c r="A23" s="3" t="s">
        <x:v>424</x:v>
      </x:c>
      <x:c r="B23" s="3" t="s">
        <x:v>321</x:v>
      </x:c>
      <x:c r="C23" s="3" t="s">
        <x:v>322</x:v>
      </x:c>
      <x:c r="D23" s="3" t="s">
        <x:v>323</x:v>
      </x:c>
      <x:c r="E23" s="3" t="s">
        <x:v>249</x:v>
      </x:c>
      <x:c r="F23" s="3" t="s">
        <x:v>169</x:v>
      </x:c>
      <x:c r="G23" s="3" t="s">
        <x:v>425</x:v>
      </x:c>
      <x:c r="H23" s="3" t="s">
        <x:v>301</x:v>
      </x:c>
      <x:c r="I23" s="3" t="s">
        <x:v>302</x:v>
      </x:c>
      <x:c r="J23" s="3" t="s">
        <x:v>303</x:v>
      </x:c>
      <x:c r="K23" s="3" t="s">
        <x:v>104</x:v>
      </x:c>
      <x:c r="L23" s="3" t="s">
        <x:v>325</x:v>
      </x:c>
      <x:c r="M23" s="3" t="s">
        <x:v>326</x:v>
      </x:c>
      <x:c r="N23" s="3" t="s">
        <x:v>131</x:v>
      </x:c>
      <x:c r="O23" s="3" t="s">
        <x:v>327</x:v>
      </x:c>
      <x:c r="P23" s="3" t="s">
        <x:v>328</x:v>
      </x:c>
      <x:c r="Q23" s="3" t="s">
        <x:v>329</x:v>
      </x:c>
      <x:c r="R23" s="3" t="s">
        <x:v>134</x:v>
      </x:c>
      <x:c r="S23" s="3" t="s">
        <x:v>135</x:v>
      </x:c>
      <x:c r="T23" s="3" t="s">
        <x:v>111</x:v>
      </x:c>
      <x:c r="U23" s="3" t="s">
        <x:v>136</x:v>
      </x:c>
      <x:c r="V23" s="3" t="s">
        <x:v>137</x:v>
      </x:c>
      <x:c r="W23" s="3" t="s">
        <x:v>407</x:v>
      </x:c>
      <x:c r="X23" s="3" t="s">
        <x:v>139</x:v>
      </x:c>
      <x:c r="Y23" s="3" t="s">
        <x:v>140</x:v>
      </x:c>
      <x:c r="Z23" s="3" t="s">
        <x:v>141</x:v>
      </x:c>
      <x:c r="AA23" s="3" t="s">
        <x:v>118</x:v>
      </x:c>
      <x:c r="AB23" s="7" t="n">
        <x:v>46244.4145833333</x:v>
      </x:c>
      <x:c r="AC23" s="7" t="n">
        <x:v>46244.4173611111</x:v>
      </x:c>
      <x:c r="AD23" s="7" t="n">
        <x:v>46244.4201388889</x:v>
      </x:c>
      <x:c r="AE23" s="7" t="n">
        <x:v>46244.4333333333</x:v>
      </x:c>
      <x:c r="AF23" s="7" t="n">
        <x:v>46244.4840277778</x:v>
      </x:c>
      <x:c r="AG23" s="3" t="n">
        <x:v>27</x:v>
      </x:c>
      <x:c r="AH23" s="3" t="n">
        <x:v>64</x:v>
      </x:c>
      <x:c r="AI23" s="3" t="s">
        <x:v>135</x:v>
      </x:c>
      <x:c r="AJ23" s="3" t="s">
        <x:v>111</x:v>
      </x:c>
      <x:c r="AK23" s="3" t="n">
        <x:v>180</x:v>
      </x:c>
      <x:c r="AL23" s="3" t="n">
        <x:v>0</x:v>
      </x:c>
      <x:c r="AM23" s="8" t="n">
        <x:v>0.5056</x:v>
      </x:c>
      <x:c r="AN23" s="3" t="n">
        <x:v>0</x:v>
      </x:c>
      <x:c r="AO23" s="3" t="s">
        <x:v>9</x:v>
      </x:c>
      <x:c r="AP23" s="3" t="s">
        <x:v>335</x:v>
      </x:c>
      <x:c r="AQ23" s="3" t="s">
        <x:v>426</x:v>
      </x:c>
      <x:c r="AR23" s="9" t="n">
        <x:v>842.3</x:v>
      </x:c>
      <x:c r="AS23" s="3" t="s">
        <x:v>185</x:v>
      </x:c>
      <x:c r="AT23" s="7" t="n">
        <x:v>46301.9166666667</x:v>
      </x:c>
    </x:row>
    <x:row r="24" ht="31.299999237060547" hidden="0">
      <x:c r="A24" s="3" t="s">
        <x:v>427</x:v>
      </x:c>
      <x:c r="B24" s="3" t="s">
        <x:v>187</x:v>
      </x:c>
      <x:c r="C24" s="3" t="s">
        <x:v>188</x:v>
      </x:c>
      <x:c r="D24" s="3" t="s">
        <x:v>189</x:v>
      </x:c>
      <x:c r="E24" s="3" t="s">
        <x:v>249</x:v>
      </x:c>
      <x:c r="F24" s="3" t="s">
        <x:v>99</x:v>
      </x:c>
      <x:c r="G24" s="3" t="s">
        <x:v>428</x:v>
      </x:c>
      <x:c r="H24" s="3" t="s">
        <x:v>339</x:v>
      </x:c>
      <x:c r="I24" s="3" t="s">
        <x:v>102</x:v>
      </x:c>
      <x:c r="J24" s="3" t="s">
        <x:v>103</x:v>
      </x:c>
      <x:c r="K24" s="3" t="s">
        <x:v>104</x:v>
      </x:c>
      <x:c r="L24" s="3" t="s">
        <x:v>191</x:v>
      </x:c>
      <x:c r="M24" s="3" t="s">
        <x:v>192</x:v>
      </x:c>
      <x:c r="N24" s="3" t="s">
        <x:v>193</x:v>
      </x:c>
      <x:c r="O24" s="3" t="s">
        <x:v>194</x:v>
      </x:c>
      <x:c r="P24" s="3" t="s">
        <x:v>195</x:v>
      </x:c>
      <x:c r="Q24" s="3" t="s">
        <x:v>273</x:v>
      </x:c>
      <x:c r="R24" s="3" t="s">
        <x:v>214</x:v>
      </x:c>
      <x:c r="S24" s="3" t="s">
        <x:v>135</x:v>
      </x:c>
      <x:c r="T24" s="3" t="s">
        <x:v>111</x:v>
      </x:c>
      <x:c r="U24" s="3" t="s">
        <x:v>215</x:v>
      </x:c>
      <x:c r="V24" s="3" t="s">
        <x:v>216</x:v>
      </x:c>
      <x:c r="W24" s="3" t="s">
        <x:v>429</x:v>
      </x:c>
      <x:c r="X24" s="3" t="s">
        <x:v>430</x:v>
      </x:c>
      <x:c r="Y24" s="3" t="s">
        <x:v>431</x:v>
      </x:c>
      <x:c r="Z24" s="3" t="s">
        <x:v>219</x:v>
      </x:c>
      <x:c r="AA24" s="3" t="s">
        <x:v>118</x:v>
      </x:c>
      <x:c r="AB24" s="7" t="n">
        <x:v>46244.4354166667</x:v>
      </x:c>
      <x:c r="AC24" s="7" t="n">
        <x:v>46244.4395833333</x:v>
      </x:c>
      <x:c r="AD24" s="7" t="n">
        <x:v>46244.4458333333</x:v>
      </x:c>
      <x:c r="AE24" s="7" t="n">
        <x:v>46244.4652777778</x:v>
      </x:c>
      <x:c r="AF24" s="7" t="n">
        <x:v>46244.5145833333</x:v>
      </x:c>
      <x:c r="AG24" s="3" t="n">
        <x:v>43</x:v>
      </x:c>
      <x:c r="AH24" s="3" t="n">
        <x:v>63</x:v>
      </x:c>
      <x:c r="AI24" s="3" t="s">
        <x:v>135</x:v>
      </x:c>
      <x:c r="AJ24" s="3" t="s">
        <x:v>111</x:v>
      </x:c>
      <x:c r="AK24" s="3" t="n">
        <x:v>150</x:v>
      </x:c>
      <x:c r="AL24" s="3" t="n">
        <x:v>0</x:v>
      </x:c>
      <x:c r="AM24" s="8" t="n">
        <x:v>0.7067</x:v>
      </x:c>
      <x:c r="AN24" s="3" t="n">
        <x:v>0</x:v>
      </x:c>
      <x:c r="AO24" s="3" t="s">
        <x:v>14</x:v>
      </x:c>
      <x:c r="AP24" s="3" t="s">
        <x:v>318</x:v>
      </x:c>
      <x:c r="AQ24" s="3" t="s">
        <x:v>386</x:v>
      </x:c>
      <x:c r="AR24" s="9" t="n">
        <x:v>1287.1</x:v>
      </x:c>
      <x:c r="AS24" s="3" t="s">
        <x:v>121</x:v>
      </x:c>
      <x:c r="AT24" s="7" t="n">
        <x:v>46301.9166666667</x:v>
      </x:c>
    </x:row>
    <x:row r="25" ht="31.299999237060547" hidden="0">
      <x:c r="A25" s="3" t="s">
        <x:v>432</x:v>
      </x:c>
      <x:c r="B25" s="3" t="s">
        <x:v>433</x:v>
      </x:c>
      <x:c r="C25" s="3" t="s">
        <x:v>434</x:v>
      </x:c>
      <x:c r="D25" s="3" t="s">
        <x:v>435</x:v>
      </x:c>
      <x:c r="E25" s="3" t="s">
        <x:v>249</x:v>
      </x:c>
      <x:c r="F25" s="3" t="s">
        <x:v>99</x:v>
      </x:c>
      <x:c r="G25" s="3" t="s">
        <x:v>436</x:v>
      </x:c>
      <x:c r="H25" s="3" t="s">
        <x:v>301</x:v>
      </x:c>
      <x:c r="I25" s="3" t="s">
        <x:v>302</x:v>
      </x:c>
      <x:c r="J25" s="3" t="s">
        <x:v>303</x:v>
      </x:c>
      <x:c r="K25" s="3" t="s">
        <x:v>104</x:v>
      </x:c>
      <x:c r="L25" s="3" t="s">
        <x:v>437</x:v>
      </x:c>
      <x:c r="M25" s="3" t="s">
        <x:v>106</x:v>
      </x:c>
      <x:c r="N25" s="3" t="s">
        <x:v>438</x:v>
      </x:c>
      <x:c r="O25" s="3" t="s">
        <x:v>439</x:v>
      </x:c>
      <x:c r="P25" s="3" t="s">
        <x:v>440</x:v>
      </x:c>
      <x:c r="Q25" s="3" t="s">
        <x:v>441</x:v>
      </x:c>
      <x:c r="R25" s="3" t="s">
        <x:v>391</x:v>
      </x:c>
      <x:c r="S25" s="3" t="s">
        <x:v>135</x:v>
      </x:c>
      <x:c r="T25" s="3" t="s">
        <x:v>135</x:v>
      </x:c>
      <x:c r="U25" s="3" t="s">
        <x:v>392</x:v>
      </x:c>
      <x:c r="V25" s="3" t="s">
        <x:v>312</x:v>
      </x:c>
      <x:c r="W25" s="3" t="s">
        <x:v>382</x:v>
      </x:c>
      <x:c r="X25" s="3" t="s">
        <x:v>314</x:v>
      </x:c>
      <x:c r="Y25" s="3" t="s">
        <x:v>383</x:v>
      </x:c>
      <x:c r="Z25" s="3" t="s">
        <x:v>393</x:v>
      </x:c>
      <x:c r="AA25" s="3" t="s">
        <x:v>394</x:v>
      </x:c>
      <x:c r="AB25" s="7" t="n">
        <x:v>46244.5513888889</x:v>
      </x:c>
      <x:c r="AC25" s="7" t="n">
        <x:v>46244.5548611111</x:v>
      </x:c>
      <x:c r="AD25" s="7" t="n">
        <x:v>46244.5576388889</x:v>
      </x:c>
      <x:c r="AE25" s="7" t="n">
        <x:v>46244.5833333333</x:v>
      </x:c>
      <x:c r="AF25" s="7" t="n">
        <x:v>46244.6145833333</x:v>
      </x:c>
      <x:c r="AG25" s="3" t="n">
        <x:v>46</x:v>
      </x:c>
      <x:c r="AH25" s="3" t="n">
        <x:v>41</x:v>
      </x:c>
      <x:c r="AI25" s="3" t="s">
        <x:v>135</x:v>
      </x:c>
      <x:c r="AJ25" s="3" t="s">
        <x:v>135</x:v>
      </x:c>
      <x:c r="AK25" s="3" t="n">
        <x:v>180</x:v>
      </x:c>
      <x:c r="AL25" s="3" t="n">
        <x:v>0</x:v>
      </x:c>
      <x:c r="AM25" s="8" t="n">
        <x:v>0.4833</x:v>
      </x:c>
      <x:c r="AN25" s="3" t="n">
        <x:v>0</x:v>
      </x:c>
      <x:c r="AO25" s="3" t="s">
        <x:v>9</x:v>
      </x:c>
      <x:c r="AP25" s="3" t="s">
        <x:v>142</x:v>
      </x:c>
      <x:c r="AQ25" s="3" t="s">
        <x:v>422</x:v>
      </x:c>
      <x:c r="AR25" s="9" t="n">
        <x:v>762.2</x:v>
      </x:c>
      <x:c r="AS25" s="3" t="s">
        <x:v>121</x:v>
      </x:c>
      <x:c r="AT25" s="7" t="n">
        <x:v>46301.9166666667</x:v>
      </x:c>
    </x:row>
    <x:row r="26" ht="31.299999237060547" hidden="0">
      <x:c r="A26" s="3" t="s">
        <x:v>442</x:v>
      </x:c>
      <x:c r="B26" s="3" t="s">
        <x:v>187</x:v>
      </x:c>
      <x:c r="C26" s="3" t="s">
        <x:v>188</x:v>
      </x:c>
      <x:c r="D26" s="3" t="s">
        <x:v>189</x:v>
      </x:c>
      <x:c r="E26" s="3" t="s">
        <x:v>249</x:v>
      </x:c>
      <x:c r="F26" s="3" t="s">
        <x:v>99</x:v>
      </x:c>
      <x:c r="G26" s="3" t="s">
        <x:v>443</x:v>
      </x:c>
      <x:c r="H26" s="3" t="s">
        <x:v>101</x:v>
      </x:c>
      <x:c r="I26" s="3" t="s">
        <x:v>102</x:v>
      </x:c>
      <x:c r="J26" s="3" t="s">
        <x:v>103</x:v>
      </x:c>
      <x:c r="K26" s="3" t="s">
        <x:v>104</x:v>
      </x:c>
      <x:c r="L26" s="3" t="s">
        <x:v>191</x:v>
      </x:c>
      <x:c r="M26" s="3" t="s">
        <x:v>192</x:v>
      </x:c>
      <x:c r="N26" s="3" t="s">
        <x:v>193</x:v>
      </x:c>
      <x:c r="O26" s="3" t="s">
        <x:v>194</x:v>
      </x:c>
      <x:c r="P26" s="3" t="s">
        <x:v>195</x:v>
      </x:c>
      <x:c r="Q26" s="3" t="s">
        <x:v>273</x:v>
      </x:c>
      <x:c r="R26" s="3" t="s">
        <x:v>330</x:v>
      </x:c>
      <x:c r="S26" s="3" t="s">
        <x:v>135</x:v>
      </x:c>
      <x:c r="T26" s="3" t="s">
        <x:v>111</x:v>
      </x:c>
      <x:c r="U26" s="3" t="s">
        <x:v>331</x:v>
      </x:c>
      <x:c r="V26" s="3" t="s">
        <x:v>178</x:v>
      </x:c>
      <x:c r="W26" s="3" t="s">
        <x:v>332</x:v>
      </x:c>
      <x:c r="X26" s="3" t="s">
        <x:v>180</x:v>
      </x:c>
      <x:c r="Y26" s="3" t="s">
        <x:v>333</x:v>
      </x:c>
      <x:c r="Z26" s="3" t="s">
        <x:v>334</x:v>
      </x:c>
      <x:c r="AA26" s="3" t="s">
        <x:v>118</x:v>
      </x:c>
      <x:c r="AB26" s="7" t="n">
        <x:v>46244.6229166667</x:v>
      </x:c>
      <x:c r="AC26" s="7" t="n">
        <x:v>46244.6256944445</x:v>
      </x:c>
      <x:c r="AD26" s="7" t="n">
        <x:v>46244.6284722222</x:v>
      </x:c>
      <x:c r="AE26" s="7" t="n">
        <x:v>46244.6625</x:v>
      </x:c>
      <x:c r="AF26" s="7" t="n">
        <x:v>46244.7152777778</x:v>
      </x:c>
      <x:c r="AG26" s="3" t="n">
        <x:v>57</x:v>
      </x:c>
      <x:c r="AH26" s="3" t="n">
        <x:v>72</x:v>
      </x:c>
      <x:c r="AI26" s="3" t="s">
        <x:v>135</x:v>
      </x:c>
      <x:c r="AJ26" s="3" t="s">
        <x:v>111</x:v>
      </x:c>
      <x:c r="AK26" s="3" t="n">
        <x:v>150</x:v>
      </x:c>
      <x:c r="AL26" s="3" t="n">
        <x:v>0</x:v>
      </x:c>
      <x:c r="AM26" s="8" t="n">
        <x:v>0.86</x:v>
      </x:c>
      <x:c r="AN26" s="3" t="n">
        <x:v>0</x:v>
      </x:c>
      <x:c r="AO26" s="3" t="s">
        <x:v>19</x:v>
      </x:c>
      <x:c r="AP26" s="3" t="s">
        <x:v>444</x:v>
      </x:c>
      <x:c r="AQ26" s="3" t="s">
        <x:v>386</x:v>
      </x:c>
      <x:c r="AR26" s="9" t="n">
        <x:v>1414.9</x:v>
      </x:c>
      <x:c r="AS26" s="3" t="s">
        <x:v>185</x:v>
      </x:c>
      <x:c r="AT26" s="7" t="n">
        <x:v>46301.9166666667</x:v>
      </x:c>
    </x:row>
    <x:row r="27" ht="31.299999237060547" hidden="0">
      <x:c r="A27" s="3" t="s">
        <x:v>445</x:v>
      </x:c>
      <x:c r="B27" s="3" t="s">
        <x:v>83</x:v>
      </x:c>
      <x:c r="C27" s="3" t="s">
        <x:v>96</x:v>
      </x:c>
      <x:c r="D27" s="3" t="s">
        <x:v>97</x:v>
      </x:c>
      <x:c r="E27" s="3" t="s">
        <x:v>249</x:v>
      </x:c>
      <x:c r="F27" s="3" t="s">
        <x:v>99</x:v>
      </x:c>
      <x:c r="G27" s="3" t="s">
        <x:v>413</x:v>
      </x:c>
      <x:c r="H27" s="3" t="s">
        <x:v>101</x:v>
      </x:c>
      <x:c r="I27" s="3" t="s">
        <x:v>102</x:v>
      </x:c>
      <x:c r="J27" s="3" t="s">
        <x:v>103</x:v>
      </x:c>
      <x:c r="K27" s="3" t="s">
        <x:v>104</x:v>
      </x:c>
      <x:c r="L27" s="3" t="s">
        <x:v>105</x:v>
      </x:c>
      <x:c r="M27" s="3" t="s">
        <x:v>106</x:v>
      </x:c>
      <x:c r="N27" s="3" t="s">
        <x:v>107</x:v>
      </x:c>
      <x:c r="O27" s="3" t="s">
        <x:v>108</x:v>
      </x:c>
      <x:c r="P27" s="3" t="s">
        <x:v>109</x:v>
      </x:c>
      <x:c r="Q27" s="3" t="s">
        <x:v>250</x:v>
      </x:c>
      <x:c r="R27" s="3" t="s">
        <x:v>330</x:v>
      </x:c>
      <x:c r="S27" s="3" t="s">
        <x:v>135</x:v>
      </x:c>
      <x:c r="T27" s="3" t="s">
        <x:v>111</x:v>
      </x:c>
      <x:c r="U27" s="3" t="s">
        <x:v>331</x:v>
      </x:c>
      <x:c r="V27" s="3" t="s">
        <x:v>178</x:v>
      </x:c>
      <x:c r="W27" s="3" t="s">
        <x:v>355</x:v>
      </x:c>
      <x:c r="X27" s="3" t="s">
        <x:v>180</x:v>
      </x:c>
      <x:c r="Y27" s="3" t="s">
        <x:v>356</x:v>
      </x:c>
      <x:c r="Z27" s="3" t="s">
        <x:v>334</x:v>
      </x:c>
      <x:c r="AA27" s="3" t="s">
        <x:v>118</x:v>
      </x:c>
      <x:c r="AB27" s="7" t="n">
        <x:v>46244.6340277778</x:v>
      </x:c>
      <x:c r="AC27" s="7" t="n">
        <x:v>46244.6354166667</x:v>
      </x:c>
      <x:c r="AD27" s="7" t="n">
        <x:v>46244.6388888889</x:v>
      </x:c>
      <x:c r="AE27" s="7" t="n">
        <x:v>46244.6652777778</x:v>
      </x:c>
      <x:c r="AF27" s="7" t="n">
        <x:v>46244.6875</x:v>
      </x:c>
      <x:c r="AG27" s="3" t="n">
        <x:v>45</x:v>
      </x:c>
      <x:c r="AH27" s="3" t="n">
        <x:v>29</x:v>
      </x:c>
      <x:c r="AI27" s="3" t="s">
        <x:v>111</x:v>
      </x:c>
      <x:c r="AJ27" s="3" t="s">
        <x:v>111</x:v>
      </x:c>
      <x:c r="AK27" s="3" t="n">
        <x:v>60</x:v>
      </x:c>
      <x:c r="AL27" s="3" t="n">
        <x:v>0</x:v>
      </x:c>
      <x:c r="AM27" s="8" t="n">
        <x:v>1.2333</x:v>
      </x:c>
      <x:c r="AN27" s="3" t="n">
        <x:v>0</x:v>
      </x:c>
      <x:c r="AO27" s="3" t="s">
        <x:v>24</x:v>
      </x:c>
      <x:c r="AP27" s="3" t="s">
        <x:v>421</x:v>
      </x:c>
      <x:c r="AQ27" s="3" t="s">
        <x:v>422</x:v>
      </x:c>
      <x:c r="AR27" s="9" t="n">
        <x:v>991.3</x:v>
      </x:c>
      <x:c r="AS27" s="3" t="s">
        <x:v>185</x:v>
      </x:c>
      <x:c r="AT27" s="7" t="n">
        <x:v>46301.9166666667</x:v>
      </x:c>
    </x:row>
    <x:row r="28" ht="31.299999237060547" hidden="0">
      <x:c r="A28" s="3" t="s">
        <x:v>446</x:v>
      </x:c>
      <x:c r="B28" s="3" t="s">
        <x:v>222</x:v>
      </x:c>
      <x:c r="C28" s="3" t="s">
        <x:v>223</x:v>
      </x:c>
      <x:c r="D28" s="3" t="s">
        <x:v>224</x:v>
      </x:c>
      <x:c r="E28" s="3" t="s">
        <x:v>249</x:v>
      </x:c>
      <x:c r="F28" s="3" t="s">
        <x:v>149</x:v>
      </x:c>
      <x:c r="G28" s="3" t="s">
        <x:v>447</x:v>
      </x:c>
      <x:c r="H28" s="3" t="s">
        <x:v>343</x:v>
      </x:c>
      <x:c r="I28" s="3" t="s">
        <x:v>102</x:v>
      </x:c>
      <x:c r="J28" s="3" t="s">
        <x:v>103</x:v>
      </x:c>
      <x:c r="K28" s="3" t="s">
        <x:v>104</x:v>
      </x:c>
      <x:c r="L28" s="3" t="s">
        <x:v>226</x:v>
      </x:c>
      <x:c r="M28" s="3" t="s">
        <x:v>227</x:v>
      </x:c>
      <x:c r="N28" s="3" t="s">
        <x:v>228</x:v>
      </x:c>
      <x:c r="O28" s="3" t="s">
        <x:v>229</x:v>
      </x:c>
      <x:c r="P28" s="3" t="s">
        <x:v>230</x:v>
      </x:c>
      <x:c r="Q28" s="3" t="s">
        <x:v>274</x:v>
      </x:c>
      <x:c r="R28" s="3" t="s">
        <x:v>344</x:v>
      </x:c>
      <x:c r="S28" s="3" t="s">
        <x:v>111</x:v>
      </x:c>
      <x:c r="T28" s="3" t="s">
        <x:v>111</x:v>
      </x:c>
      <x:c r="U28" s="3" t="s">
        <x:v>345</x:v>
      </x:c>
      <x:c r="V28" s="3" t="s">
        <x:v>178</x:v>
      </x:c>
      <x:c r="W28" s="3" t="s">
        <x:v>332</x:v>
      </x:c>
      <x:c r="X28" s="3" t="s">
        <x:v>180</x:v>
      </x:c>
      <x:c r="Y28" s="3" t="s">
        <x:v>333</x:v>
      </x:c>
      <x:c r="Z28" s="3" t="s">
        <x:v>346</x:v>
      </x:c>
      <x:c r="AA28" s="3" t="s">
        <x:v>118</x:v>
      </x:c>
      <x:c r="AB28" s="7" t="n">
        <x:v>46244.7027777778</x:v>
      </x:c>
      <x:c r="AC28" s="7" t="n">
        <x:v>46244.7048611111</x:v>
      </x:c>
      <x:c r="AD28" s="7" t="n">
        <x:v>46244.7069444444</x:v>
      </x:c>
      <x:c r="AE28" s="7" t="n">
        <x:v>46244.7180555556</x:v>
      </x:c>
      <x:c r="AF28" s="7" t="n">
        <x:v>46244.7590277778</x:v>
      </x:c>
      <x:c r="AG28" s="3" t="n">
        <x:v>22</x:v>
      </x:c>
      <x:c r="AH28" s="3" t="n">
        <x:v>49</x:v>
      </x:c>
      <x:c r="AI28" s="3" t="s">
        <x:v>135</x:v>
      </x:c>
      <x:c r="AJ28" s="3" t="s">
        <x:v>135</x:v>
      </x:c>
      <x:c r="AK28" s="3" t="n">
        <x:v>120</x:v>
      </x:c>
      <x:c r="AL28" s="3" t="n">
        <x:v>0</x:v>
      </x:c>
      <x:c r="AM28" s="8" t="n">
        <x:v>0.5917</x:v>
      </x:c>
      <x:c r="AN28" s="3" t="n">
        <x:v>0</x:v>
      </x:c>
      <x:c r="AO28" s="3" t="s">
        <x:v>9</x:v>
      </x:c>
      <x:c r="AP28" s="3" t="s">
        <x:v>142</x:v>
      </x:c>
      <x:c r="AQ28" s="3" t="s">
        <x:v>370</x:v>
      </x:c>
      <x:c r="AR28" s="9" t="n">
        <x:v>711.8</x:v>
      </x:c>
      <x:c r="AS28" s="3" t="s">
        <x:v>185</x:v>
      </x:c>
      <x:c r="AT28" s="7" t="n">
        <x:v>46301.9166666667</x:v>
      </x:c>
    </x:row>
    <x:row r="29" ht="31.299999237060547" hidden="0">
      <x:c r="A29" s="3" t="s">
        <x:v>448</x:v>
      </x:c>
      <x:c r="B29" s="3" t="s">
        <x:v>222</x:v>
      </x:c>
      <x:c r="C29" s="3" t="s">
        <x:v>223</x:v>
      </x:c>
      <x:c r="D29" s="3" t="s">
        <x:v>224</x:v>
      </x:c>
      <x:c r="E29" s="3" t="s">
        <x:v>249</x:v>
      </x:c>
      <x:c r="F29" s="3" t="s">
        <x:v>127</x:v>
      </x:c>
      <x:c r="G29" s="3" t="s">
        <x:v>449</x:v>
      </x:c>
      <x:c r="H29" s="3" t="s">
        <x:v>343</x:v>
      </x:c>
      <x:c r="I29" s="3" t="s">
        <x:v>102</x:v>
      </x:c>
      <x:c r="J29" s="3" t="s">
        <x:v>103</x:v>
      </x:c>
      <x:c r="K29" s="3" t="s">
        <x:v>104</x:v>
      </x:c>
      <x:c r="L29" s="3" t="s">
        <x:v>226</x:v>
      </x:c>
      <x:c r="M29" s="3" t="s">
        <x:v>227</x:v>
      </x:c>
      <x:c r="N29" s="3" t="s">
        <x:v>228</x:v>
      </x:c>
      <x:c r="O29" s="3" t="s">
        <x:v>229</x:v>
      </x:c>
      <x:c r="P29" s="3" t="s">
        <x:v>230</x:v>
      </x:c>
      <x:c r="Q29" s="3" t="s">
        <x:v>274</x:v>
      </x:c>
      <x:c r="R29" s="3" t="s">
        <x:v>156</x:v>
      </x:c>
      <x:c r="S29" s="3" t="s">
        <x:v>135</x:v>
      </x:c>
      <x:c r="T29" s="3" t="s">
        <x:v>111</x:v>
      </x:c>
      <x:c r="U29" s="3" t="s">
        <x:v>157</x:v>
      </x:c>
      <x:c r="V29" s="3" t="s">
        <x:v>158</x:v>
      </x:c>
      <x:c r="W29" s="3" t="s">
        <x:v>450</x:v>
      </x:c>
      <x:c r="X29" s="3" t="s">
        <x:v>160</x:v>
      </x:c>
      <x:c r="Y29" s="3" t="s">
        <x:v>451</x:v>
      </x:c>
      <x:c r="Z29" s="3" t="s">
        <x:v>162</x:v>
      </x:c>
      <x:c r="AA29" s="3" t="s">
        <x:v>118</x:v>
      </x:c>
      <x:c r="AB29" s="7" t="n">
        <x:v>46244.7770833333</x:v>
      </x:c>
      <x:c r="AC29" s="7" t="n">
        <x:v>46244.7805555556</x:v>
      </x:c>
      <x:c r="AD29" s="7" t="n">
        <x:v>46244.7868055556</x:v>
      </x:c>
      <x:c r="AE29" s="7" t="n">
        <x:v>46244.8013888889</x:v>
      </x:c>
      <x:c r="AF29" s="7" t="n">
        <x:v>46244.8361111111</x:v>
      </x:c>
      <x:c r="AG29" s="3" t="n">
        <x:v>35</x:v>
      </x:c>
      <x:c r="AH29" s="3" t="n">
        <x:v>45</x:v>
      </x:c>
      <x:c r="AI29" s="3" t="s">
        <x:v>135</x:v>
      </x:c>
      <x:c r="AJ29" s="3" t="s">
        <x:v>135</x:v>
      </x:c>
      <x:c r="AK29" s="3" t="n">
        <x:v>180</x:v>
      </x:c>
      <x:c r="AL29" s="3" t="n">
        <x:v>0</x:v>
      </x:c>
      <x:c r="AM29" s="8" t="n">
        <x:v>0.4444</x:v>
      </x:c>
      <x:c r="AN29" s="3" t="n">
        <x:v>0</x:v>
      </x:c>
      <x:c r="AO29" s="3" t="s">
        <x:v>9</x:v>
      </x:c>
      <x:c r="AP29" s="3" t="s">
        <x:v>142</x:v>
      </x:c>
      <x:c r="AQ29" s="3" t="s">
        <x:v>452</x:v>
      </x:c>
      <x:c r="AR29" s="9" t="n">
        <x:v>741.5</x:v>
      </x:c>
      <x:c r="AS29" s="3" t="s">
        <x:v>121</x:v>
      </x:c>
      <x:c r="AT29" s="7" t="n">
        <x:v>46301.9166666667</x:v>
      </x:c>
    </x:row>
    <x:row r="30" ht="31.299999237060547" hidden="0">
      <x:c r="A30" s="3" t="s">
        <x:v>453</x:v>
      </x:c>
      <x:c r="B30" s="3" t="s">
        <x:v>166</x:v>
      </x:c>
      <x:c r="C30" s="3" t="s">
        <x:v>167</x:v>
      </x:c>
      <x:c r="D30" s="3" t="s">
        <x:v>168</x:v>
      </x:c>
      <x:c r="E30" s="3" t="s">
        <x:v>249</x:v>
      </x:c>
      <x:c r="F30" s="3" t="s">
        <x:v>99</x:v>
      </x:c>
      <x:c r="G30" s="3" t="s">
        <x:v>425</x:v>
      </x:c>
      <x:c r="H30" s="3" t="s">
        <x:v>301</x:v>
      </x:c>
      <x:c r="I30" s="3" t="s">
        <x:v>302</x:v>
      </x:c>
      <x:c r="J30" s="3" t="s">
        <x:v>303</x:v>
      </x:c>
      <x:c r="K30" s="3" t="s">
        <x:v>104</x:v>
      </x:c>
      <x:c r="L30" s="3" t="s">
        <x:v>171</x:v>
      </x:c>
      <x:c r="M30" s="3" t="s">
        <x:v>172</x:v>
      </x:c>
      <x:c r="N30" s="3" t="s">
        <x:v>173</x:v>
      </x:c>
      <x:c r="O30" s="3" t="s">
        <x:v>174</x:v>
      </x:c>
      <x:c r="P30" s="3" t="s">
        <x:v>175</x:v>
      </x:c>
      <x:c r="Q30" s="3" t="s">
        <x:v>271</x:v>
      </x:c>
      <x:c r="R30" s="3" t="s">
        <x:v>134</x:v>
      </x:c>
      <x:c r="S30" s="3" t="s">
        <x:v>135</x:v>
      </x:c>
      <x:c r="T30" s="3" t="s">
        <x:v>111</x:v>
      </x:c>
      <x:c r="U30" s="3" t="s">
        <x:v>136</x:v>
      </x:c>
      <x:c r="V30" s="3" t="s">
        <x:v>137</x:v>
      </x:c>
      <x:c r="W30" s="3" t="s">
        <x:v>138</x:v>
      </x:c>
      <x:c r="X30" s="3" t="s">
        <x:v>139</x:v>
      </x:c>
      <x:c r="Y30" s="3" t="s">
        <x:v>454</x:v>
      </x:c>
      <x:c r="Z30" s="3" t="s">
        <x:v>141</x:v>
      </x:c>
      <x:c r="AA30" s="3" t="s">
        <x:v>118</x:v>
      </x:c>
      <x:c r="AB30" s="7" t="n">
        <x:v>46244.8034722222</x:v>
      </x:c>
      <x:c r="AC30" s="7" t="n">
        <x:v>46244.8076388889</x:v>
      </x:c>
      <x:c r="AD30" s="7" t="n">
        <x:v>46244.8090277778</x:v>
      </x:c>
      <x:c r="AE30" s="7" t="n">
        <x:v>46244.825</x:v>
      </x:c>
      <x:c r="AF30" s="7" t="n">
        <x:v>46244.8784722222</x:v>
      </x:c>
      <x:c r="AG30" s="3" t="n">
        <x:v>31</x:v>
      </x:c>
      <x:c r="AH30" s="3" t="n">
        <x:v>69</x:v>
      </x:c>
      <x:c r="AI30" s="3" t="s">
        <x:v>135</x:v>
      </x:c>
      <x:c r="AJ30" s="3" t="s">
        <x:v>135</x:v>
      </x:c>
      <x:c r="AK30" s="3" t="n">
        <x:v>180</x:v>
      </x:c>
      <x:c r="AL30" s="3" t="n">
        <x:v>0</x:v>
      </x:c>
      <x:c r="AM30" s="8" t="n">
        <x:v>0.5556</x:v>
      </x:c>
      <x:c r="AN30" s="3" t="n">
        <x:v>0</x:v>
      </x:c>
      <x:c r="AO30" s="3" t="s">
        <x:v>9</x:v>
      </x:c>
      <x:c r="AP30" s="3" t="s">
        <x:v>142</x:v>
      </x:c>
      <x:c r="AQ30" s="3" t="s">
        <x:v>361</x:v>
      </x:c>
      <x:c r="AR30" s="9" t="n">
        <x:v>1276.3</x:v>
      </x:c>
      <x:c r="AS30" s="3" t="s">
        <x:v>121</x:v>
      </x:c>
      <x:c r="AT30" s="7" t="n">
        <x:v>46301.9166666667</x:v>
      </x:c>
    </x:row>
    <x:row r="31" ht="31.299999237060547" hidden="0">
      <x:c r="A31" s="3" t="s">
        <x:v>455</x:v>
      </x:c>
      <x:c r="B31" s="3" t="s">
        <x:v>123</x:v>
      </x:c>
      <x:c r="C31" s="3" t="s">
        <x:v>124</x:v>
      </x:c>
      <x:c r="D31" s="3" t="s">
        <x:v>125</x:v>
      </x:c>
      <x:c r="E31" s="3" t="s">
        <x:v>249</x:v>
      </x:c>
      <x:c r="F31" s="3" t="s">
        <x:v>169</x:v>
      </x:c>
      <x:c r="G31" s="3" t="s">
        <x:v>456</x:v>
      </x:c>
      <x:c r="H31" s="3" t="s">
        <x:v>343</x:v>
      </x:c>
      <x:c r="I31" s="3" t="s">
        <x:v>102</x:v>
      </x:c>
      <x:c r="J31" s="3" t="s">
        <x:v>103</x:v>
      </x:c>
      <x:c r="K31" s="3" t="s">
        <x:v>104</x:v>
      </x:c>
      <x:c r="L31" s="3" t="s">
        <x:v>129</x:v>
      </x:c>
      <x:c r="M31" s="3" t="s">
        <x:v>130</x:v>
      </x:c>
      <x:c r="N31" s="3" t="s">
        <x:v>131</x:v>
      </x:c>
      <x:c r="O31" s="3" t="s">
        <x:v>132</x:v>
      </x:c>
      <x:c r="P31" s="3" t="s">
        <x:v>133</x:v>
      </x:c>
      <x:c r="Q31" s="3" t="s">
        <x:v>268</x:v>
      </x:c>
      <x:c r="R31" s="3" t="s">
        <x:v>391</x:v>
      </x:c>
      <x:c r="S31" s="3" t="s">
        <x:v>135</x:v>
      </x:c>
      <x:c r="T31" s="3" t="s">
        <x:v>135</x:v>
      </x:c>
      <x:c r="U31" s="3" t="s">
        <x:v>392</x:v>
      </x:c>
      <x:c r="V31" s="3" t="s">
        <x:v>312</x:v>
      </x:c>
      <x:c r="W31" s="3" t="s">
        <x:v>351</x:v>
      </x:c>
      <x:c r="X31" s="3" t="s">
        <x:v>314</x:v>
      </x:c>
      <x:c r="Y31" s="3" t="s">
        <x:v>352</x:v>
      </x:c>
      <x:c r="Z31" s="3" t="s">
        <x:v>393</x:v>
      </x:c>
      <x:c r="AA31" s="3" t="s">
        <x:v>394</x:v>
      </x:c>
      <x:c r="AB31" s="7" t="n">
        <x:v>46244.8611111111</x:v>
      </x:c>
      <x:c r="AC31" s="7" t="n">
        <x:v>46244.8652777778</x:v>
      </x:c>
      <x:c r="AD31" s="7" t="n">
        <x:v>46244.8673611111</x:v>
      </x:c>
      <x:c r="AE31" s="7" t="n">
        <x:v>46244.89375</x:v>
      </x:c>
      <x:c r="AF31" s="7" t="n">
        <x:v>46244.9368055556</x:v>
      </x:c>
      <x:c r="AG31" s="3" t="n">
        <x:v>47</x:v>
      </x:c>
      <x:c r="AH31" s="3" t="n">
        <x:v>54</x:v>
      </x:c>
      <x:c r="AI31" s="3" t="s">
        <x:v>135</x:v>
      </x:c>
      <x:c r="AJ31" s="3" t="s">
        <x:v>135</x:v>
      </x:c>
      <x:c r="AK31" s="3" t="n">
        <x:v>180</x:v>
      </x:c>
      <x:c r="AL31" s="3" t="n">
        <x:v>0</x:v>
      </x:c>
      <x:c r="AM31" s="8" t="n">
        <x:v>0.5611</x:v>
      </x:c>
      <x:c r="AN31" s="3" t="n">
        <x:v>0</x:v>
      </x:c>
      <x:c r="AO31" s="3" t="s">
        <x:v>9</x:v>
      </x:c>
      <x:c r="AP31" s="3" t="s">
        <x:v>142</x:v>
      </x:c>
      <x:c r="AQ31" s="3" t="s">
        <x:v>357</x:v>
      </x:c>
      <x:c r="AR31" s="9" t="n">
        <x:v>860.3</x:v>
      </x:c>
      <x:c r="AS31" s="3" t="s">
        <x:v>121</x:v>
      </x:c>
      <x:c r="AT31" s="7" t="n">
        <x:v>46301.9166666667</x:v>
      </x:c>
    </x:row>
    <x:row r="32" ht="31.299999237060547" hidden="0">
      <x:c r="A32" s="3" t="s">
        <x:v>457</x:v>
      </x:c>
      <x:c r="B32" s="3" t="s">
        <x:v>146</x:v>
      </x:c>
      <x:c r="C32" s="3" t="s">
        <x:v>147</x:v>
      </x:c>
      <x:c r="D32" s="3" t="s">
        <x:v>148</x:v>
      </x:c>
      <x:c r="E32" s="3" t="s">
        <x:v>249</x:v>
      </x:c>
      <x:c r="F32" s="3" t="s">
        <x:v>127</x:v>
      </x:c>
      <x:c r="G32" s="3" t="s">
        <x:v>458</x:v>
      </x:c>
      <x:c r="H32" s="3" t="s">
        <x:v>339</x:v>
      </x:c>
      <x:c r="I32" s="3" t="s">
        <x:v>102</x:v>
      </x:c>
      <x:c r="J32" s="3" t="s">
        <x:v>103</x:v>
      </x:c>
      <x:c r="K32" s="3" t="s">
        <x:v>104</x:v>
      </x:c>
      <x:c r="L32" s="3" t="s">
        <x:v>151</x:v>
      </x:c>
      <x:c r="M32" s="3" t="s">
        <x:v>152</x:v>
      </x:c>
      <x:c r="N32" s="3" t="s">
        <x:v>153</x:v>
      </x:c>
      <x:c r="O32" s="3" t="s">
        <x:v>154</x:v>
      </x:c>
      <x:c r="P32" s="3" t="s">
        <x:v>155</x:v>
      </x:c>
      <x:c r="Q32" s="3" t="s">
        <x:v>270</x:v>
      </x:c>
      <x:c r="R32" s="3" t="s">
        <x:v>391</x:v>
      </x:c>
      <x:c r="S32" s="3" t="s">
        <x:v>135</x:v>
      </x:c>
      <x:c r="T32" s="3" t="s">
        <x:v>135</x:v>
      </x:c>
      <x:c r="U32" s="3" t="s">
        <x:v>392</x:v>
      </x:c>
      <x:c r="V32" s="3" t="s">
        <x:v>312</x:v>
      </x:c>
      <x:c r="W32" s="3" t="s">
        <x:v>313</x:v>
      </x:c>
      <x:c r="X32" s="3" t="s">
        <x:v>314</x:v>
      </x:c>
      <x:c r="Y32" s="3" t="s">
        <x:v>315</x:v>
      </x:c>
      <x:c r="Z32" s="3" t="s">
        <x:v>393</x:v>
      </x:c>
      <x:c r="AA32" s="3" t="s">
        <x:v>394</x:v>
      </x:c>
      <x:c r="AB32" s="7" t="n">
        <x:v>46245.3770833333</x:v>
      </x:c>
      <x:c r="AC32" s="7" t="n">
        <x:v>46245.3819444444</x:v>
      </x:c>
      <x:c r="AD32" s="7" t="n">
        <x:v>46245.3833333333</x:v>
      </x:c>
      <x:c r="AE32" s="7" t="n">
        <x:v>46245.4006944444</x:v>
      </x:c>
      <x:c r="AF32" s="7" t="n">
        <x:v>46245.4243055556</x:v>
      </x:c>
      <x:c r="AG32" s="3" t="n">
        <x:v>34</x:v>
      </x:c>
      <x:c r="AH32" s="3" t="n">
        <x:v>28</x:v>
      </x:c>
      <x:c r="AI32" s="3" t="s">
        <x:v>135</x:v>
      </x:c>
      <x:c r="AJ32" s="3" t="s">
        <x:v>135</x:v>
      </x:c>
      <x:c r="AK32" s="3" t="n">
        <x:v>180</x:v>
      </x:c>
      <x:c r="AL32" s="3" t="n">
        <x:v>0</x:v>
      </x:c>
      <x:c r="AM32" s="8" t="n">
        <x:v>0.3444</x:v>
      </x:c>
      <x:c r="AN32" s="3" t="n">
        <x:v>0</x:v>
      </x:c>
      <x:c r="AO32" s="3" t="s">
        <x:v>9</x:v>
      </x:c>
      <x:c r="AP32" s="3" t="s">
        <x:v>142</x:v>
      </x:c>
      <x:c r="AQ32" s="3" t="s">
        <x:v>459</x:v>
      </x:c>
      <x:c r="AR32" s="9" t="n">
        <x:v>614.6</x:v>
      </x:c>
      <x:c r="AS32" s="3" t="s">
        <x:v>144</x:v>
      </x:c>
      <x:c r="AT32" s="7" t="n">
        <x:v>46301.9166666667</x:v>
      </x:c>
    </x:row>
    <x:row r="33" ht="31.299999237060547" hidden="0">
      <x:c r="A33" s="3" t="s">
        <x:v>460</x:v>
      </x:c>
      <x:c r="B33" s="3" t="s">
        <x:v>166</x:v>
      </x:c>
      <x:c r="C33" s="3" t="s">
        <x:v>167</x:v>
      </x:c>
      <x:c r="D33" s="3" t="s">
        <x:v>168</x:v>
      </x:c>
      <x:c r="E33" s="3" t="s">
        <x:v>249</x:v>
      </x:c>
      <x:c r="F33" s="3" t="s">
        <x:v>127</x:v>
      </x:c>
      <x:c r="G33" s="3" t="s">
        <x:v>461</x:v>
      </x:c>
      <x:c r="H33" s="3" t="s">
        <x:v>101</x:v>
      </x:c>
      <x:c r="I33" s="3" t="s">
        <x:v>102</x:v>
      </x:c>
      <x:c r="J33" s="3" t="s">
        <x:v>103</x:v>
      </x:c>
      <x:c r="K33" s="3" t="s">
        <x:v>104</x:v>
      </x:c>
      <x:c r="L33" s="3" t="s">
        <x:v>171</x:v>
      </x:c>
      <x:c r="M33" s="3" t="s">
        <x:v>172</x:v>
      </x:c>
      <x:c r="N33" s="3" t="s">
        <x:v>173</x:v>
      </x:c>
      <x:c r="O33" s="3" t="s">
        <x:v>174</x:v>
      </x:c>
      <x:c r="P33" s="3" t="s">
        <x:v>175</x:v>
      </x:c>
      <x:c r="Q33" s="3" t="s">
        <x:v>271</x:v>
      </x:c>
      <x:c r="R33" s="3" t="s">
        <x:v>156</x:v>
      </x:c>
      <x:c r="S33" s="3" t="s">
        <x:v>135</x:v>
      </x:c>
      <x:c r="T33" s="3" t="s">
        <x:v>111</x:v>
      </x:c>
      <x:c r="U33" s="3" t="s">
        <x:v>157</x:v>
      </x:c>
      <x:c r="V33" s="3" t="s">
        <x:v>158</x:v>
      </x:c>
      <x:c r="W33" s="3" t="s">
        <x:v>159</x:v>
      </x:c>
      <x:c r="X33" s="3" t="s">
        <x:v>160</x:v>
      </x:c>
      <x:c r="Y33" s="3" t="s">
        <x:v>360</x:v>
      </x:c>
      <x:c r="Z33" s="3" t="s">
        <x:v>162</x:v>
      </x:c>
      <x:c r="AA33" s="3" t="s">
        <x:v>118</x:v>
      </x:c>
      <x:c r="AB33" s="7" t="n">
        <x:v>46245.4006944444</x:v>
      </x:c>
      <x:c r="AC33" s="7" t="n">
        <x:v>46245.4041666667</x:v>
      </x:c>
      <x:c r="AD33" s="7" t="n">
        <x:v>46245.4055555556</x:v>
      </x:c>
      <x:c r="AE33" s="7" t="n">
        <x:v>46245.4270833333</x:v>
      </x:c>
      <x:c r="AF33" s="7" t="n">
        <x:v>46245.48125</x:v>
      </x:c>
      <x:c r="AG33" s="3" t="n">
        <x:v>38</x:v>
      </x:c>
      <x:c r="AH33" s="3" t="n">
        <x:v>71</x:v>
      </x:c>
      <x:c r="AI33" s="3" t="s">
        <x:v>135</x:v>
      </x:c>
      <x:c r="AJ33" s="3" t="s">
        <x:v>135</x:v>
      </x:c>
      <x:c r="AK33" s="3" t="n">
        <x:v>150</x:v>
      </x:c>
      <x:c r="AL33" s="3" t="n">
        <x:v>0</x:v>
      </x:c>
      <x:c r="AM33" s="8" t="n">
        <x:v>0.7267</x:v>
      </x:c>
      <x:c r="AN33" s="3" t="n">
        <x:v>0</x:v>
      </x:c>
      <x:c r="AO33" s="3" t="s">
        <x:v>14</x:v>
      </x:c>
      <x:c r="AP33" s="3" t="s">
        <x:v>347</x:v>
      </x:c>
      <x:c r="AQ33" s="3" t="s">
        <x:v>340</x:v>
      </x:c>
      <x:c r="AR33" s="9" t="n">
        <x:v>1322.2</x:v>
      </x:c>
      <x:c r="AS33" s="3" t="s">
        <x:v>121</x:v>
      </x:c>
      <x:c r="AT33" s="7" t="n">
        <x:v>46301.9166666667</x:v>
      </x:c>
    </x:row>
    <x:row r="34" ht="31.299999237060547" hidden="0">
      <x:c r="A34" s="3" t="s">
        <x:v>462</x:v>
      </x:c>
      <x:c r="B34" s="3" t="s">
        <x:v>166</x:v>
      </x:c>
      <x:c r="C34" s="3" t="s">
        <x:v>167</x:v>
      </x:c>
      <x:c r="D34" s="3" t="s">
        <x:v>168</x:v>
      </x:c>
      <x:c r="E34" s="3" t="s">
        <x:v>249</x:v>
      </x:c>
      <x:c r="F34" s="3" t="s">
        <x:v>169</x:v>
      </x:c>
      <x:c r="G34" s="3" t="s">
        <x:v>463</x:v>
      </x:c>
      <x:c r="H34" s="3" t="s">
        <x:v>101</x:v>
      </x:c>
      <x:c r="I34" s="3" t="s">
        <x:v>102</x:v>
      </x:c>
      <x:c r="J34" s="3" t="s">
        <x:v>103</x:v>
      </x:c>
      <x:c r="K34" s="3" t="s">
        <x:v>104</x:v>
      </x:c>
      <x:c r="L34" s="3" t="s">
        <x:v>171</x:v>
      </x:c>
      <x:c r="M34" s="3" t="s">
        <x:v>172</x:v>
      </x:c>
      <x:c r="N34" s="3" t="s">
        <x:v>173</x:v>
      </x:c>
      <x:c r="O34" s="3" t="s">
        <x:v>174</x:v>
      </x:c>
      <x:c r="P34" s="3" t="s">
        <x:v>175</x:v>
      </x:c>
      <x:c r="Q34" s="3" t="s">
        <x:v>271</x:v>
      </x:c>
      <x:c r="R34" s="3" t="s">
        <x:v>380</x:v>
      </x:c>
      <x:c r="S34" s="3" t="s">
        <x:v>111</x:v>
      </x:c>
      <x:c r="T34" s="3" t="s">
        <x:v>111</x:v>
      </x:c>
      <x:c r="U34" s="3" t="s">
        <x:v>381</x:v>
      </x:c>
      <x:c r="V34" s="3" t="s">
        <x:v>312</x:v>
      </x:c>
      <x:c r="W34" s="3" t="s">
        <x:v>351</x:v>
      </x:c>
      <x:c r="X34" s="3" t="s">
        <x:v>314</x:v>
      </x:c>
      <x:c r="Y34" s="3" t="s">
        <x:v>352</x:v>
      </x:c>
      <x:c r="Z34" s="3" t="s">
        <x:v>384</x:v>
      </x:c>
      <x:c r="AA34" s="3" t="s">
        <x:v>385</x:v>
      </x:c>
      <x:c r="AB34" s="7" t="n">
        <x:v>46245.4194444444</x:v>
      </x:c>
      <x:c r="AC34" s="7" t="n">
        <x:v>46245.4208333333</x:v>
      </x:c>
      <x:c r="AD34" s="7" t="n">
        <x:v>46245.4222222222</x:v>
      </x:c>
      <x:c r="AE34" s="7" t="n">
        <x:v>46245.4388888889</x:v>
      </x:c>
      <x:c r="AF34" s="7" t="n">
        <x:v>46245.4923611111</x:v>
      </x:c>
      <x:c r="AG34" s="3" t="n">
        <x:v>28</x:v>
      </x:c>
      <x:c r="AH34" s="3" t="n">
        <x:v>74</x:v>
      </x:c>
      <x:c r="AI34" s="3" t="s">
        <x:v>135</x:v>
      </x:c>
      <x:c r="AJ34" s="3" t="s">
        <x:v>135</x:v>
      </x:c>
      <x:c r="AK34" s="3" t="n">
        <x:v>120</x:v>
      </x:c>
      <x:c r="AL34" s="3" t="n">
        <x:v>0</x:v>
      </x:c>
      <x:c r="AM34" s="8" t="n">
        <x:v>0.85</x:v>
      </x:c>
      <x:c r="AN34" s="3" t="n">
        <x:v>0</x:v>
      </x:c>
      <x:c r="AO34" s="3" t="s">
        <x:v>19</x:v>
      </x:c>
      <x:c r="AP34" s="3" t="s">
        <x:v>369</x:v>
      </x:c>
      <x:c r="AQ34" s="3" t="s">
        <x:v>340</x:v>
      </x:c>
      <x:c r="AR34" s="9" t="n">
        <x:v>1298.8</x:v>
      </x:c>
      <x:c r="AS34" s="3" t="s">
        <x:v>185</x:v>
      </x:c>
      <x:c r="AT34" s="7" t="n">
        <x:v>46301.9166666667</x:v>
      </x:c>
    </x:row>
    <x:row r="35" ht="31.299999237060547" hidden="0">
      <x:c r="A35" s="3" t="s">
        <x:v>464</x:v>
      </x:c>
      <x:c r="B35" s="3" t="s">
        <x:v>166</x:v>
      </x:c>
      <x:c r="C35" s="3" t="s">
        <x:v>167</x:v>
      </x:c>
      <x:c r="D35" s="3" t="s">
        <x:v>168</x:v>
      </x:c>
      <x:c r="E35" s="3" t="s">
        <x:v>249</x:v>
      </x:c>
      <x:c r="F35" s="3" t="s">
        <x:v>169</x:v>
      </x:c>
      <x:c r="G35" s="3" t="s">
        <x:v>449</x:v>
      </x:c>
      <x:c r="H35" s="3" t="s">
        <x:v>343</x:v>
      </x:c>
      <x:c r="I35" s="3" t="s">
        <x:v>102</x:v>
      </x:c>
      <x:c r="J35" s="3" t="s">
        <x:v>103</x:v>
      </x:c>
      <x:c r="K35" s="3" t="s">
        <x:v>104</x:v>
      </x:c>
      <x:c r="L35" s="3" t="s">
        <x:v>171</x:v>
      </x:c>
      <x:c r="M35" s="3" t="s">
        <x:v>172</x:v>
      </x:c>
      <x:c r="N35" s="3" t="s">
        <x:v>173</x:v>
      </x:c>
      <x:c r="O35" s="3" t="s">
        <x:v>174</x:v>
      </x:c>
      <x:c r="P35" s="3" t="s">
        <x:v>175</x:v>
      </x:c>
      <x:c r="Q35" s="3" t="s">
        <x:v>271</x:v>
      </x:c>
      <x:c r="R35" s="3" t="s">
        <x:v>156</x:v>
      </x:c>
      <x:c r="S35" s="3" t="s">
        <x:v>135</x:v>
      </x:c>
      <x:c r="T35" s="3" t="s">
        <x:v>111</x:v>
      </x:c>
      <x:c r="U35" s="3" t="s">
        <x:v>157</x:v>
      </x:c>
      <x:c r="V35" s="3" t="s">
        <x:v>158</x:v>
      </x:c>
      <x:c r="W35" s="3" t="s">
        <x:v>450</x:v>
      </x:c>
      <x:c r="X35" s="3" t="s">
        <x:v>160</x:v>
      </x:c>
      <x:c r="Y35" s="3" t="s">
        <x:v>451</x:v>
      </x:c>
      <x:c r="Z35" s="3" t="s">
        <x:v>162</x:v>
      </x:c>
      <x:c r="AA35" s="3" t="s">
        <x:v>118</x:v>
      </x:c>
      <x:c r="AB35" s="7" t="n">
        <x:v>46245.4194444444</x:v>
      </x:c>
      <x:c r="AC35" s="7" t="n">
        <x:v>46245.4208333333</x:v>
      </x:c>
      <x:c r="AD35" s="7" t="n">
        <x:v>46245.4270833333</x:v>
      </x:c>
      <x:c r="AE35" s="7" t="n">
        <x:v>46245.4520833333</x:v>
      </x:c>
      <x:c r="AF35" s="7" t="n">
        <x:v>46245.4888888889</x:v>
      </x:c>
      <x:c r="AG35" s="3" t="n">
        <x:v>47</x:v>
      </x:c>
      <x:c r="AH35" s="3" t="n">
        <x:v>44</x:v>
      </x:c>
      <x:c r="AI35" s="3" t="s">
        <x:v>135</x:v>
      </x:c>
      <x:c r="AJ35" s="3" t="s">
        <x:v>135</x:v>
      </x:c>
      <x:c r="AK35" s="3" t="n">
        <x:v>150</x:v>
      </x:c>
      <x:c r="AL35" s="3" t="n">
        <x:v>0</x:v>
      </x:c>
      <x:c r="AM35" s="8" t="n">
        <x:v>0.6067</x:v>
      </x:c>
      <x:c r="AN35" s="3" t="n">
        <x:v>0</x:v>
      </x:c>
      <x:c r="AO35" s="3" t="s">
        <x:v>14</x:v>
      </x:c>
      <x:c r="AP35" s="3" t="s">
        <x:v>347</x:v>
      </x:c>
      <x:c r="AQ35" s="3" t="s">
        <x:v>361</x:v>
      </x:c>
      <x:c r="AR35" s="9" t="n">
        <x:v>1168.3</x:v>
      </x:c>
      <x:c r="AS35" s="3" t="s">
        <x:v>121</x:v>
      </x:c>
      <x:c r="AT35" s="7" t="n">
        <x:v>46301.9166666667</x:v>
      </x:c>
    </x:row>
    <x:row r="36" ht="31.299999237060547" hidden="0">
      <x:c r="A36" s="3" t="s">
        <x:v>465</x:v>
      </x:c>
      <x:c r="B36" s="3" t="s">
        <x:v>433</x:v>
      </x:c>
      <x:c r="C36" s="3" t="s">
        <x:v>434</x:v>
      </x:c>
      <x:c r="D36" s="3" t="s">
        <x:v>435</x:v>
      </x:c>
      <x:c r="E36" s="3" t="s">
        <x:v>249</x:v>
      </x:c>
      <x:c r="F36" s="3" t="s">
        <x:v>99</x:v>
      </x:c>
      <x:c r="G36" s="3" t="s">
        <x:v>324</x:v>
      </x:c>
      <x:c r="H36" s="3" t="s">
        <x:v>301</x:v>
      </x:c>
      <x:c r="I36" s="3" t="s">
        <x:v>302</x:v>
      </x:c>
      <x:c r="J36" s="3" t="s">
        <x:v>303</x:v>
      </x:c>
      <x:c r="K36" s="3" t="s">
        <x:v>104</x:v>
      </x:c>
      <x:c r="L36" s="3" t="s">
        <x:v>437</x:v>
      </x:c>
      <x:c r="M36" s="3" t="s">
        <x:v>106</x:v>
      </x:c>
      <x:c r="N36" s="3" t="s">
        <x:v>438</x:v>
      </x:c>
      <x:c r="O36" s="3" t="s">
        <x:v>439</x:v>
      </x:c>
      <x:c r="P36" s="3" t="s">
        <x:v>440</x:v>
      </x:c>
      <x:c r="Q36" s="3" t="s">
        <x:v>441</x:v>
      </x:c>
      <x:c r="R36" s="3" t="s">
        <x:v>330</x:v>
      </x:c>
      <x:c r="S36" s="3" t="s">
        <x:v>135</x:v>
      </x:c>
      <x:c r="T36" s="3" t="s">
        <x:v>111</x:v>
      </x:c>
      <x:c r="U36" s="3" t="s">
        <x:v>331</x:v>
      </x:c>
      <x:c r="V36" s="3" t="s">
        <x:v>178</x:v>
      </x:c>
      <x:c r="W36" s="3" t="s">
        <x:v>355</x:v>
      </x:c>
      <x:c r="X36" s="3" t="s">
        <x:v>180</x:v>
      </x:c>
      <x:c r="Y36" s="3" t="s">
        <x:v>356</x:v>
      </x:c>
      <x:c r="Z36" s="3" t="s">
        <x:v>334</x:v>
      </x:c>
      <x:c r="AA36" s="3" t="s">
        <x:v>118</x:v>
      </x:c>
      <x:c r="AB36" s="7" t="n">
        <x:v>46245.4340277778</x:v>
      </x:c>
      <x:c r="AC36" s="7" t="n">
        <x:v>46245.4381944445</x:v>
      </x:c>
      <x:c r="AD36" s="7" t="n">
        <x:v>46245.4402777778</x:v>
      </x:c>
      <x:c r="AE36" s="7" t="n">
        <x:v>46245.4625</x:v>
      </x:c>
      <x:c r="AF36" s="7" t="n">
        <x:v>46245.4736111111</x:v>
      </x:c>
      <x:c r="AG36" s="3" t="n">
        <x:v>41</x:v>
      </x:c>
      <x:c r="AH36" s="3" t="n">
        <x:v>12</x:v>
      </x:c>
      <x:c r="AI36" s="3" t="s">
        <x:v>135</x:v>
      </x:c>
      <x:c r="AJ36" s="3" t="s">
        <x:v>135</x:v>
      </x:c>
      <x:c r="AK36" s="3" t="n">
        <x:v>180</x:v>
      </x:c>
      <x:c r="AL36" s="3" t="n">
        <x:v>0</x:v>
      </x:c>
      <x:c r="AM36" s="8" t="n">
        <x:v>0.2944</x:v>
      </x:c>
      <x:c r="AN36" s="3" t="n">
        <x:v>0</x:v>
      </x:c>
      <x:c r="AO36" s="3" t="s">
        <x:v>9</x:v>
      </x:c>
      <x:c r="AP36" s="3" t="s">
        <x:v>142</x:v>
      </x:c>
      <x:c r="AQ36" s="3" t="s">
        <x:v>120</x:v>
      </x:c>
      <x:c r="AR36" s="9" t="n">
        <x:v>530.9</x:v>
      </x:c>
      <x:c r="AS36" s="3" t="s">
        <x:v>144</x:v>
      </x:c>
      <x:c r="AT36" s="7" t="n">
        <x:v>46301.9166666667</x:v>
      </x:c>
    </x:row>
    <x:row r="37" ht="31.299999237060547" hidden="0">
      <x:c r="A37" s="3" t="s">
        <x:v>466</x:v>
      </x:c>
      <x:c r="B37" s="3" t="s">
        <x:v>166</x:v>
      </x:c>
      <x:c r="C37" s="3" t="s">
        <x:v>167</x:v>
      </x:c>
      <x:c r="D37" s="3" t="s">
        <x:v>168</x:v>
      </x:c>
      <x:c r="E37" s="3" t="s">
        <x:v>249</x:v>
      </x:c>
      <x:c r="F37" s="3" t="s">
        <x:v>127</x:v>
      </x:c>
      <x:c r="G37" s="3" t="s">
        <x:v>467</x:v>
      </x:c>
      <x:c r="H37" s="3" t="s">
        <x:v>301</x:v>
      </x:c>
      <x:c r="I37" s="3" t="s">
        <x:v>302</x:v>
      </x:c>
      <x:c r="J37" s="3" t="s">
        <x:v>303</x:v>
      </x:c>
      <x:c r="K37" s="3" t="s">
        <x:v>104</x:v>
      </x:c>
      <x:c r="L37" s="3" t="s">
        <x:v>171</x:v>
      </x:c>
      <x:c r="M37" s="3" t="s">
        <x:v>172</x:v>
      </x:c>
      <x:c r="N37" s="3" t="s">
        <x:v>173</x:v>
      </x:c>
      <x:c r="O37" s="3" t="s">
        <x:v>174</x:v>
      </x:c>
      <x:c r="P37" s="3" t="s">
        <x:v>175</x:v>
      </x:c>
      <x:c r="Q37" s="3" t="s">
        <x:v>271</x:v>
      </x:c>
      <x:c r="R37" s="3" t="s">
        <x:v>214</x:v>
      </x:c>
      <x:c r="S37" s="3" t="s">
        <x:v>135</x:v>
      </x:c>
      <x:c r="T37" s="3" t="s">
        <x:v>111</x:v>
      </x:c>
      <x:c r="U37" s="3" t="s">
        <x:v>215</x:v>
      </x:c>
      <x:c r="V37" s="3" t="s">
        <x:v>216</x:v>
      </x:c>
      <x:c r="W37" s="3" t="s">
        <x:v>429</x:v>
      </x:c>
      <x:c r="X37" s="3" t="s">
        <x:v>430</x:v>
      </x:c>
      <x:c r="Y37" s="3" t="s">
        <x:v>431</x:v>
      </x:c>
      <x:c r="Z37" s="3" t="s">
        <x:v>219</x:v>
      </x:c>
      <x:c r="AA37" s="3" t="s">
        <x:v>118</x:v>
      </x:c>
      <x:c r="AB37" s="7" t="n">
        <x:v>46245.4923611111</x:v>
      </x:c>
      <x:c r="AC37" s="7" t="n">
        <x:v>46245.4944444444</x:v>
      </x:c>
      <x:c r="AD37" s="7" t="n">
        <x:v>46245.4979166667</x:v>
      </x:c>
      <x:c r="AE37" s="7" t="n">
        <x:v>46245.5236111111</x:v>
      </x:c>
      <x:c r="AF37" s="7" t="n">
        <x:v>46245.5784722222</x:v>
      </x:c>
      <x:c r="AG37" s="3" t="n">
        <x:v>45</x:v>
      </x:c>
      <x:c r="AH37" s="3" t="n">
        <x:v>73</x:v>
      </x:c>
      <x:c r="AI37" s="3" t="s">
        <x:v>135</x:v>
      </x:c>
      <x:c r="AJ37" s="3" t="s">
        <x:v>135</x:v>
      </x:c>
      <x:c r="AK37" s="3" t="n">
        <x:v>180</x:v>
      </x:c>
      <x:c r="AL37" s="3" t="n">
        <x:v>0</x:v>
      </x:c>
      <x:c r="AM37" s="8" t="n">
        <x:v>0.6556</x:v>
      </x:c>
      <x:c r="AN37" s="3" t="n">
        <x:v>0</x:v>
      </x:c>
      <x:c r="AO37" s="3" t="s">
        <x:v>14</x:v>
      </x:c>
      <x:c r="AP37" s="3" t="s">
        <x:v>347</x:v>
      </x:c>
      <x:c r="AQ37" s="3" t="s">
        <x:v>340</x:v>
      </x:c>
      <x:c r="AR37" s="9" t="n">
        <x:v>1368.1</x:v>
      </x:c>
      <x:c r="AS37" s="3" t="s">
        <x:v>185</x:v>
      </x:c>
      <x:c r="AT37" s="7" t="n">
        <x:v>46301.9166666667</x:v>
      </x:c>
    </x:row>
    <x:row r="38" ht="31.299999237060547" hidden="0">
      <x:c r="A38" s="3" t="s">
        <x:v>468</x:v>
      </x:c>
      <x:c r="B38" s="3" t="s">
        <x:v>321</x:v>
      </x:c>
      <x:c r="C38" s="3" t="s">
        <x:v>322</x:v>
      </x:c>
      <x:c r="D38" s="3" t="s">
        <x:v>323</x:v>
      </x:c>
      <x:c r="E38" s="3" t="s">
        <x:v>249</x:v>
      </x:c>
      <x:c r="F38" s="3" t="s">
        <x:v>99</x:v>
      </x:c>
      <x:c r="G38" s="3" t="s">
        <x:v>469</x:v>
      </x:c>
      <x:c r="H38" s="3" t="s">
        <x:v>301</x:v>
      </x:c>
      <x:c r="I38" s="3" t="s">
        <x:v>302</x:v>
      </x:c>
      <x:c r="J38" s="3" t="s">
        <x:v>303</x:v>
      </x:c>
      <x:c r="K38" s="3" t="s">
        <x:v>104</x:v>
      </x:c>
      <x:c r="L38" s="3" t="s">
        <x:v>325</x:v>
      </x:c>
      <x:c r="M38" s="3" t="s">
        <x:v>326</x:v>
      </x:c>
      <x:c r="N38" s="3" t="s">
        <x:v>131</x:v>
      </x:c>
      <x:c r="O38" s="3" t="s">
        <x:v>327</x:v>
      </x:c>
      <x:c r="P38" s="3" t="s">
        <x:v>328</x:v>
      </x:c>
      <x:c r="Q38" s="3" t="s">
        <x:v>329</x:v>
      </x:c>
      <x:c r="R38" s="3" t="s">
        <x:v>110</x:v>
      </x:c>
      <x:c r="S38" s="3" t="s">
        <x:v>111</x:v>
      </x:c>
      <x:c r="T38" s="3" t="s">
        <x:v>111</x:v>
      </x:c>
      <x:c r="U38" s="3" t="s">
        <x:v>112</x:v>
      </x:c>
      <x:c r="V38" s="3" t="s">
        <x:v>113</x:v>
      </x:c>
      <x:c r="W38" s="3" t="s">
        <x:v>419</x:v>
      </x:c>
      <x:c r="X38" s="3" t="s">
        <x:v>115</x:v>
      </x:c>
      <x:c r="Y38" s="3" t="s">
        <x:v>420</x:v>
      </x:c>
      <x:c r="Z38" s="3" t="s">
        <x:v>117</x:v>
      </x:c>
      <x:c r="AA38" s="3" t="s">
        <x:v>118</x:v>
      </x:c>
      <x:c r="AB38" s="7" t="n">
        <x:v>46245.54375</x:v>
      </x:c>
      <x:c r="AC38" s="7" t="n">
        <x:v>46245.5451388889</x:v>
      </x:c>
      <x:c r="AD38" s="7" t="n">
        <x:v>46245.5465277778</x:v>
      </x:c>
      <x:c r="AE38" s="7" t="n">
        <x:v>46245.5618055556</x:v>
      </x:c>
      <x:c r="AF38" s="7" t="n">
        <x:v>46245.5902777778</x:v>
      </x:c>
      <x:c r="AG38" s="3" t="n">
        <x:v>26</x:v>
      </x:c>
      <x:c r="AH38" s="3" t="n">
        <x:v>36</x:v>
      </x:c>
      <x:c r="AI38" s="3" t="s">
        <x:v>135</x:v>
      </x:c>
      <x:c r="AJ38" s="3" t="s">
        <x:v>111</x:v>
      </x:c>
      <x:c r="AK38" s="3" t="n">
        <x:v>120</x:v>
      </x:c>
      <x:c r="AL38" s="3" t="n">
        <x:v>0</x:v>
      </x:c>
      <x:c r="AM38" s="8" t="n">
        <x:v>0.5167</x:v>
      </x:c>
      <x:c r="AN38" s="3" t="n">
        <x:v>0</x:v>
      </x:c>
      <x:c r="AO38" s="3" t="s">
        <x:v>9</x:v>
      </x:c>
      <x:c r="AP38" s="3" t="s">
        <x:v>335</x:v>
      </x:c>
      <x:c r="AQ38" s="3" t="s">
        <x:v>336</x:v>
      </x:c>
      <x:c r="AR38" s="9" t="n">
        <x:v>636.2</x:v>
      </x:c>
      <x:c r="AS38" s="3" t="s">
        <x:v>121</x:v>
      </x:c>
      <x:c r="AT38" s="7" t="n">
        <x:v>46301.9166666667</x:v>
      </x:c>
    </x:row>
    <x:row r="39" ht="31.299999237060547" hidden="0">
      <x:c r="A39" s="3" t="s">
        <x:v>470</x:v>
      </x:c>
      <x:c r="B39" s="3" t="s">
        <x:v>123</x:v>
      </x:c>
      <x:c r="C39" s="3" t="s">
        <x:v>124</x:v>
      </x:c>
      <x:c r="D39" s="3" t="s">
        <x:v>125</x:v>
      </x:c>
      <x:c r="E39" s="3" t="s">
        <x:v>249</x:v>
      </x:c>
      <x:c r="F39" s="3" t="s">
        <x:v>99</x:v>
      </x:c>
      <x:c r="G39" s="3" t="s">
        <x:v>354</x:v>
      </x:c>
      <x:c r="H39" s="3" t="s">
        <x:v>101</x:v>
      </x:c>
      <x:c r="I39" s="3" t="s">
        <x:v>102</x:v>
      </x:c>
      <x:c r="J39" s="3" t="s">
        <x:v>103</x:v>
      </x:c>
      <x:c r="K39" s="3" t="s">
        <x:v>104</x:v>
      </x:c>
      <x:c r="L39" s="3" t="s">
        <x:v>129</x:v>
      </x:c>
      <x:c r="M39" s="3" t="s">
        <x:v>130</x:v>
      </x:c>
      <x:c r="N39" s="3" t="s">
        <x:v>131</x:v>
      </x:c>
      <x:c r="O39" s="3" t="s">
        <x:v>132</x:v>
      </x:c>
      <x:c r="P39" s="3" t="s">
        <x:v>133</x:v>
      </x:c>
      <x:c r="Q39" s="3" t="s">
        <x:v>268</x:v>
      </x:c>
      <x:c r="R39" s="3" t="s">
        <x:v>176</x:v>
      </x:c>
      <x:c r="S39" s="3" t="s">
        <x:v>135</x:v>
      </x:c>
      <x:c r="T39" s="3" t="s">
        <x:v>135</x:v>
      </x:c>
      <x:c r="U39" s="3" t="s">
        <x:v>177</x:v>
      </x:c>
      <x:c r="V39" s="3" t="s">
        <x:v>178</x:v>
      </x:c>
      <x:c r="W39" s="3" t="s">
        <x:v>355</x:v>
      </x:c>
      <x:c r="X39" s="3" t="s">
        <x:v>180</x:v>
      </x:c>
      <x:c r="Y39" s="3" t="s">
        <x:v>356</x:v>
      </x:c>
      <x:c r="Z39" s="3" t="s">
        <x:v>182</x:v>
      </x:c>
      <x:c r="AA39" s="3" t="s">
        <x:v>118</x:v>
      </x:c>
      <x:c r="AB39" s="7" t="n">
        <x:v>46245.5652777778</x:v>
      </x:c>
      <x:c r="AC39" s="7" t="n">
        <x:v>46245.5701388889</x:v>
      </x:c>
      <x:c r="AD39" s="7" t="n">
        <x:v>46245.5763888889</x:v>
      </x:c>
      <x:c r="AE39" s="7" t="n">
        <x:v>46245.6020833333</x:v>
      </x:c>
      <x:c r="AF39" s="7" t="n">
        <x:v>46245.6534722222</x:v>
      </x:c>
      <x:c r="AG39" s="3" t="n">
        <x:v>53</x:v>
      </x:c>
      <x:c r="AH39" s="3" t="n">
        <x:v>64</x:v>
      </x:c>
      <x:c r="AI39" s="3" t="s">
        <x:v>135</x:v>
      </x:c>
      <x:c r="AJ39" s="3" t="s">
        <x:v>135</x:v>
      </x:c>
      <x:c r="AK39" s="3" t="n">
        <x:v>180</x:v>
      </x:c>
      <x:c r="AL39" s="3" t="n">
        <x:v>0</x:v>
      </x:c>
      <x:c r="AM39" s="8" t="n">
        <x:v>0.65</x:v>
      </x:c>
      <x:c r="AN39" s="3" t="n">
        <x:v>1</x:v>
      </x:c>
      <x:c r="AO39" s="3" t="s">
        <x:v>14</x:v>
      </x:c>
      <x:c r="AP39" s="3" t="s">
        <x:v>471</x:v>
      </x:c>
      <x:c r="AQ39" s="3" t="s">
        <x:v>472</x:v>
      </x:c>
      <x:c r="AR39" s="9" t="n">
        <x:v>959.3</x:v>
      </x:c>
      <x:c r="AS39" s="3" t="s">
        <x:v>185</x:v>
      </x:c>
      <x:c r="AT39" s="7" t="n">
        <x:v>46301.9166666667</x:v>
      </x:c>
    </x:row>
    <x:row r="40" ht="31.299999237060547" hidden="0">
      <x:c r="A40" s="3" t="s">
        <x:v>473</x:v>
      </x:c>
      <x:c r="B40" s="3" t="s">
        <x:v>433</x:v>
      </x:c>
      <x:c r="C40" s="3" t="s">
        <x:v>434</x:v>
      </x:c>
      <x:c r="D40" s="3" t="s">
        <x:v>435</x:v>
      </x:c>
      <x:c r="E40" s="3" t="s">
        <x:v>249</x:v>
      </x:c>
      <x:c r="F40" s="3" t="s">
        <x:v>149</x:v>
      </x:c>
      <x:c r="G40" s="3" t="s">
        <x:v>469</x:v>
      </x:c>
      <x:c r="H40" s="3" t="s">
        <x:v>301</x:v>
      </x:c>
      <x:c r="I40" s="3" t="s">
        <x:v>302</x:v>
      </x:c>
      <x:c r="J40" s="3" t="s">
        <x:v>303</x:v>
      </x:c>
      <x:c r="K40" s="3" t="s">
        <x:v>104</x:v>
      </x:c>
      <x:c r="L40" s="3" t="s">
        <x:v>437</x:v>
      </x:c>
      <x:c r="M40" s="3" t="s">
        <x:v>106</x:v>
      </x:c>
      <x:c r="N40" s="3" t="s">
        <x:v>438</x:v>
      </x:c>
      <x:c r="O40" s="3" t="s">
        <x:v>439</x:v>
      </x:c>
      <x:c r="P40" s="3" t="s">
        <x:v>440</x:v>
      </x:c>
      <x:c r="Q40" s="3" t="s">
        <x:v>441</x:v>
      </x:c>
      <x:c r="R40" s="3" t="s">
        <x:v>110</x:v>
      </x:c>
      <x:c r="S40" s="3" t="s">
        <x:v>111</x:v>
      </x:c>
      <x:c r="T40" s="3" t="s">
        <x:v>111</x:v>
      </x:c>
      <x:c r="U40" s="3" t="s">
        <x:v>112</x:v>
      </x:c>
      <x:c r="V40" s="3" t="s">
        <x:v>113</x:v>
      </x:c>
      <x:c r="W40" s="3" t="s">
        <x:v>419</x:v>
      </x:c>
      <x:c r="X40" s="3" t="s">
        <x:v>115</x:v>
      </x:c>
      <x:c r="Y40" s="3" t="s">
        <x:v>420</x:v>
      </x:c>
      <x:c r="Z40" s="3" t="s">
        <x:v>117</x:v>
      </x:c>
      <x:c r="AA40" s="3" t="s">
        <x:v>118</x:v>
      </x:c>
      <x:c r="AB40" s="7" t="n">
        <x:v>46245.61875</x:v>
      </x:c>
      <x:c r="AC40" s="7" t="n">
        <x:v>46245.6236111111</x:v>
      </x:c>
      <x:c r="AD40" s="7" t="n">
        <x:v>46245.625</x:v>
      </x:c>
      <x:c r="AE40" s="7" t="n">
        <x:v>46245.6347222222</x:v>
      </x:c>
      <x:c r="AF40" s="7" t="n">
        <x:v>46245.6583333333</x:v>
      </x:c>
      <x:c r="AG40" s="3" t="n">
        <x:v>23</x:v>
      </x:c>
      <x:c r="AH40" s="3" t="n">
        <x:v>29</x:v>
      </x:c>
      <x:c r="AI40" s="3" t="s">
        <x:v>135</x:v>
      </x:c>
      <x:c r="AJ40" s="3" t="s">
        <x:v>135</x:v>
      </x:c>
      <x:c r="AK40" s="3" t="n">
        <x:v>120</x:v>
      </x:c>
      <x:c r="AL40" s="3" t="n">
        <x:v>0</x:v>
      </x:c>
      <x:c r="AM40" s="8" t="n">
        <x:v>0.4333</x:v>
      </x:c>
      <x:c r="AN40" s="3" t="n">
        <x:v>0</x:v>
      </x:c>
      <x:c r="AO40" s="3" t="s">
        <x:v>9</x:v>
      </x:c>
      <x:c r="AP40" s="3" t="s">
        <x:v>142</x:v>
      </x:c>
      <x:c r="AQ40" s="3" t="s">
        <x:v>422</x:v>
      </x:c>
      <x:c r="AR40" s="9" t="n">
        <x:v>572.3</x:v>
      </x:c>
      <x:c r="AS40" s="3" t="s">
        <x:v>121</x:v>
      </x:c>
      <x:c r="AT40" s="7" t="n">
        <x:v>46301.9166666667</x:v>
      </x:c>
    </x:row>
    <x:row r="41" ht="31.299999237060547" hidden="0">
      <x:c r="A41" s="3" t="s">
        <x:v>474</x:v>
      </x:c>
      <x:c r="B41" s="3" t="s">
        <x:v>83</x:v>
      </x:c>
      <x:c r="C41" s="3" t="s">
        <x:v>96</x:v>
      </x:c>
      <x:c r="D41" s="3" t="s">
        <x:v>97</x:v>
      </x:c>
      <x:c r="E41" s="3" t="s">
        <x:v>249</x:v>
      </x:c>
      <x:c r="F41" s="3" t="s">
        <x:v>99</x:v>
      </x:c>
      <x:c r="G41" s="3" t="s">
        <x:v>359</x:v>
      </x:c>
      <x:c r="H41" s="3" t="s">
        <x:v>101</x:v>
      </x:c>
      <x:c r="I41" s="3" t="s">
        <x:v>102</x:v>
      </x:c>
      <x:c r="J41" s="3" t="s">
        <x:v>103</x:v>
      </x:c>
      <x:c r="K41" s="3" t="s">
        <x:v>104</x:v>
      </x:c>
      <x:c r="L41" s="3" t="s">
        <x:v>105</x:v>
      </x:c>
      <x:c r="M41" s="3" t="s">
        <x:v>106</x:v>
      </x:c>
      <x:c r="N41" s="3" t="s">
        <x:v>107</x:v>
      </x:c>
      <x:c r="O41" s="3" t="s">
        <x:v>108</x:v>
      </x:c>
      <x:c r="P41" s="3" t="s">
        <x:v>109</x:v>
      </x:c>
      <x:c r="Q41" s="3" t="s">
        <x:v>250</x:v>
      </x:c>
      <x:c r="R41" s="3" t="s">
        <x:v>156</x:v>
      </x:c>
      <x:c r="S41" s="3" t="s">
        <x:v>135</x:v>
      </x:c>
      <x:c r="T41" s="3" t="s">
        <x:v>111</x:v>
      </x:c>
      <x:c r="U41" s="3" t="s">
        <x:v>157</x:v>
      </x:c>
      <x:c r="V41" s="3" t="s">
        <x:v>158</x:v>
      </x:c>
      <x:c r="W41" s="3" t="s">
        <x:v>159</x:v>
      </x:c>
      <x:c r="X41" s="3" t="s">
        <x:v>160</x:v>
      </x:c>
      <x:c r="Y41" s="3" t="s">
        <x:v>360</x:v>
      </x:c>
      <x:c r="Z41" s="3" t="s">
        <x:v>162</x:v>
      </x:c>
      <x:c r="AA41" s="3" t="s">
        <x:v>118</x:v>
      </x:c>
      <x:c r="AB41" s="7" t="n">
        <x:v>46245.6597222222</x:v>
      </x:c>
      <x:c r="AC41" s="7" t="n">
        <x:v>46245.6611111111</x:v>
      </x:c>
      <x:c r="AD41" s="7" t="n">
        <x:v>46245.6638888889</x:v>
      </x:c>
      <x:c r="AE41" s="7" t="n">
        <x:v>46245.6854166667</x:v>
      </x:c>
      <x:c r="AF41" s="7" t="n">
        <x:v>46245.7125</x:v>
      </x:c>
      <x:c r="AG41" s="3" t="n">
        <x:v>37</x:v>
      </x:c>
      <x:c r="AH41" s="3" t="n">
        <x:v>34</x:v>
      </x:c>
      <x:c r="AI41" s="3" t="s">
        <x:v>111</x:v>
      </x:c>
      <x:c r="AJ41" s="3" t="s">
        <x:v>111</x:v>
      </x:c>
      <x:c r="AK41" s="3" t="n">
        <x:v>60</x:v>
      </x:c>
      <x:c r="AL41" s="3" t="n">
        <x:v>0</x:v>
      </x:c>
      <x:c r="AM41" s="8" t="n">
        <x:v>1.1833</x:v>
      </x:c>
      <x:c r="AN41" s="3" t="n">
        <x:v>0</x:v>
      </x:c>
      <x:c r="AO41" s="3" t="s">
        <x:v>24</x:v>
      </x:c>
      <x:c r="AP41" s="3" t="s">
        <x:v>421</x:v>
      </x:c>
      <x:c r="AQ41" s="3" t="s">
        <x:v>422</x:v>
      </x:c>
      <x:c r="AR41" s="9" t="n">
        <x:v>991.3</x:v>
      </x:c>
      <x:c r="AS41" s="3" t="s">
        <x:v>185</x:v>
      </x:c>
      <x:c r="AT41" s="7" t="n">
        <x:v>46301.9166666667</x:v>
      </x:c>
    </x:row>
    <x:row r="42" ht="31.299999237060547" hidden="0">
      <x:c r="A42" s="3" t="s">
        <x:v>475</x:v>
      </x:c>
      <x:c r="B42" s="3" t="s">
        <x:v>123</x:v>
      </x:c>
      <x:c r="C42" s="3" t="s">
        <x:v>124</x:v>
      </x:c>
      <x:c r="D42" s="3" t="s">
        <x:v>125</x:v>
      </x:c>
      <x:c r="E42" s="3" t="s">
        <x:v>249</x:v>
      </x:c>
      <x:c r="F42" s="3" t="s">
        <x:v>127</x:v>
      </x:c>
      <x:c r="G42" s="3" t="s">
        <x:v>413</x:v>
      </x:c>
      <x:c r="H42" s="3" t="s">
        <x:v>101</x:v>
      </x:c>
      <x:c r="I42" s="3" t="s">
        <x:v>102</x:v>
      </x:c>
      <x:c r="J42" s="3" t="s">
        <x:v>103</x:v>
      </x:c>
      <x:c r="K42" s="3" t="s">
        <x:v>104</x:v>
      </x:c>
      <x:c r="L42" s="3" t="s">
        <x:v>129</x:v>
      </x:c>
      <x:c r="M42" s="3" t="s">
        <x:v>130</x:v>
      </x:c>
      <x:c r="N42" s="3" t="s">
        <x:v>131</x:v>
      </x:c>
      <x:c r="O42" s="3" t="s">
        <x:v>132</x:v>
      </x:c>
      <x:c r="P42" s="3" t="s">
        <x:v>133</x:v>
      </x:c>
      <x:c r="Q42" s="3" t="s">
        <x:v>268</x:v>
      </x:c>
      <x:c r="R42" s="3" t="s">
        <x:v>330</x:v>
      </x:c>
      <x:c r="S42" s="3" t="s">
        <x:v>135</x:v>
      </x:c>
      <x:c r="T42" s="3" t="s">
        <x:v>111</x:v>
      </x:c>
      <x:c r="U42" s="3" t="s">
        <x:v>331</x:v>
      </x:c>
      <x:c r="V42" s="3" t="s">
        <x:v>178</x:v>
      </x:c>
      <x:c r="W42" s="3" t="s">
        <x:v>179</x:v>
      </x:c>
      <x:c r="X42" s="3" t="s">
        <x:v>180</x:v>
      </x:c>
      <x:c r="Y42" s="3" t="s">
        <x:v>414</x:v>
      </x:c>
      <x:c r="Z42" s="3" t="s">
        <x:v>334</x:v>
      </x:c>
      <x:c r="AA42" s="3" t="s">
        <x:v>118</x:v>
      </x:c>
      <x:c r="AB42" s="7" t="n">
        <x:v>46245.6736111111</x:v>
      </x:c>
      <x:c r="AC42" s="7" t="n">
        <x:v>46245.6756944444</x:v>
      </x:c>
      <x:c r="AD42" s="7" t="n">
        <x:v>46245.68125</x:v>
      </x:c>
      <x:c r="AE42" s="7" t="n">
        <x:v>46245.6868055556</x:v>
      </x:c>
      <x:c r="AF42" s="7" t="n">
        <x:v>46245.7125</x:v>
      </x:c>
      <x:c r="AG42" s="3" t="n">
        <x:v>19</x:v>
      </x:c>
      <x:c r="AH42" s="3" t="n">
        <x:v>28</x:v>
      </x:c>
      <x:c r="AI42" s="3" t="s">
        <x:v>135</x:v>
      </x:c>
      <x:c r="AJ42" s="3" t="s">
        <x:v>135</x:v>
      </x:c>
      <x:c r="AK42" s="3" t="n">
        <x:v>180</x:v>
      </x:c>
      <x:c r="AL42" s="3" t="n">
        <x:v>0</x:v>
      </x:c>
      <x:c r="AM42" s="8" t="n">
        <x:v>0.2611</x:v>
      </x:c>
      <x:c r="AN42" s="3" t="n">
        <x:v>0</x:v>
      </x:c>
      <x:c r="AO42" s="3" t="s">
        <x:v>9</x:v>
      </x:c>
      <x:c r="AP42" s="3" t="s">
        <x:v>142</x:v>
      </x:c>
      <x:c r="AQ42" s="3" t="s">
        <x:v>357</x:v>
      </x:c>
      <x:c r="AR42" s="9" t="n">
        <x:v>547.1</x:v>
      </x:c>
      <x:c r="AS42" s="3" t="s">
        <x:v>144</x:v>
      </x:c>
      <x:c r="AT42" s="7" t="n">
        <x:v>46301.9166666667</x:v>
      </x:c>
    </x:row>
    <x:row r="43" ht="31.299999237060547" hidden="0">
      <x:c r="A43" s="3" t="s">
        <x:v>476</x:v>
      </x:c>
      <x:c r="B43" s="3" t="s">
        <x:v>205</x:v>
      </x:c>
      <x:c r="C43" s="3" t="s">
        <x:v>206</x:v>
      </x:c>
      <x:c r="D43" s="3" t="s">
        <x:v>207</x:v>
      </x:c>
      <x:c r="E43" s="3" t="s">
        <x:v>249</x:v>
      </x:c>
      <x:c r="F43" s="3" t="s">
        <x:v>127</x:v>
      </x:c>
      <x:c r="G43" s="3" t="s">
        <x:v>477</x:v>
      </x:c>
      <x:c r="H43" s="3" t="s">
        <x:v>343</x:v>
      </x:c>
      <x:c r="I43" s="3" t="s">
        <x:v>102</x:v>
      </x:c>
      <x:c r="J43" s="3" t="s">
        <x:v>103</x:v>
      </x:c>
      <x:c r="K43" s="3" t="s">
        <x:v>104</x:v>
      </x:c>
      <x:c r="L43" s="3" t="s">
        <x:v>209</x:v>
      </x:c>
      <x:c r="M43" s="3" t="s">
        <x:v>210</x:v>
      </x:c>
      <x:c r="N43" s="3" t="s">
        <x:v>211</x:v>
      </x:c>
      <x:c r="O43" s="3" t="s">
        <x:v>212</x:v>
      </x:c>
      <x:c r="P43" s="3" t="s">
        <x:v>213</x:v>
      </x:c>
      <x:c r="Q43" s="3" t="s">
        <x:v>254</x:v>
      </x:c>
      <x:c r="R43" s="3" t="s">
        <x:v>214</x:v>
      </x:c>
      <x:c r="S43" s="3" t="s">
        <x:v>135</x:v>
      </x:c>
      <x:c r="T43" s="3" t="s">
        <x:v>111</x:v>
      </x:c>
      <x:c r="U43" s="3" t="s">
        <x:v>215</x:v>
      </x:c>
      <x:c r="V43" s="3" t="s">
        <x:v>216</x:v>
      </x:c>
      <x:c r="W43" s="3" t="s">
        <x:v>429</x:v>
      </x:c>
      <x:c r="X43" s="3" t="s">
        <x:v>430</x:v>
      </x:c>
      <x:c r="Y43" s="3" t="s">
        <x:v>431</x:v>
      </x:c>
      <x:c r="Z43" s="3" t="s">
        <x:v>219</x:v>
      </x:c>
      <x:c r="AA43" s="3" t="s">
        <x:v>118</x:v>
      </x:c>
      <x:c r="AB43" s="7" t="n">
        <x:v>46245.6888888889</x:v>
      </x:c>
      <x:c r="AC43" s="7" t="n">
        <x:v>46245.6923611111</x:v>
      </x:c>
      <x:c r="AD43" s="7" t="n">
        <x:v>46245.6972222222</x:v>
      </x:c>
      <x:c r="AE43" s="7" t="n">
        <x:v>46245.7090277778</x:v>
      </x:c>
      <x:c r="AF43" s="7" t="n">
        <x:v>46245.7708333333</x:v>
      </x:c>
      <x:c r="AG43" s="3" t="n">
        <x:v>29</x:v>
      </x:c>
      <x:c r="AH43" s="3" t="n">
        <x:v>79</x:v>
      </x:c>
      <x:c r="AI43" s="3" t="s">
        <x:v>135</x:v>
      </x:c>
      <x:c r="AJ43" s="3" t="s">
        <x:v>135</x:v>
      </x:c>
      <x:c r="AK43" s="3" t="n">
        <x:v>180</x:v>
      </x:c>
      <x:c r="AL43" s="3" t="n">
        <x:v>0</x:v>
      </x:c>
      <x:c r="AM43" s="8" t="n">
        <x:v>0.6</x:v>
      </x:c>
      <x:c r="AN43" s="3" t="n">
        <x:v>0</x:v>
      </x:c>
      <x:c r="AO43" s="3" t="s">
        <x:v>14</x:v>
      </x:c>
      <x:c r="AP43" s="3" t="s">
        <x:v>347</x:v>
      </x:c>
      <x:c r="AQ43" s="3" t="s">
        <x:v>478</x:v>
      </x:c>
      <x:c r="AR43" s="9" t="n">
        <x:v>959.3</x:v>
      </x:c>
      <x:c r="AS43" s="3" t="s">
        <x:v>185</x:v>
      </x:c>
      <x:c r="AT43" s="7" t="n">
        <x:v>46301.9166666667</x:v>
      </x:c>
    </x:row>
    <x:row r="44" ht="31.299999237060547" hidden="0">
      <x:c r="A44" s="3" t="s">
        <x:v>479</x:v>
      </x:c>
      <x:c r="B44" s="3" t="s">
        <x:v>321</x:v>
      </x:c>
      <x:c r="C44" s="3" t="s">
        <x:v>322</x:v>
      </x:c>
      <x:c r="D44" s="3" t="s">
        <x:v>323</x:v>
      </x:c>
      <x:c r="E44" s="3" t="s">
        <x:v>249</x:v>
      </x:c>
      <x:c r="F44" s="3" t="s">
        <x:v>169</x:v>
      </x:c>
      <x:c r="G44" s="3" t="s">
        <x:v>480</x:v>
      </x:c>
      <x:c r="H44" s="3" t="s">
        <x:v>301</x:v>
      </x:c>
      <x:c r="I44" s="3" t="s">
        <x:v>302</x:v>
      </x:c>
      <x:c r="J44" s="3" t="s">
        <x:v>303</x:v>
      </x:c>
      <x:c r="K44" s="3" t="s">
        <x:v>104</x:v>
      </x:c>
      <x:c r="L44" s="3" t="s">
        <x:v>325</x:v>
      </x:c>
      <x:c r="M44" s="3" t="s">
        <x:v>326</x:v>
      </x:c>
      <x:c r="N44" s="3" t="s">
        <x:v>131</x:v>
      </x:c>
      <x:c r="O44" s="3" t="s">
        <x:v>327</x:v>
      </x:c>
      <x:c r="P44" s="3" t="s">
        <x:v>328</x:v>
      </x:c>
      <x:c r="Q44" s="3" t="s">
        <x:v>329</x:v>
      </x:c>
      <x:c r="R44" s="3" t="s">
        <x:v>134</x:v>
      </x:c>
      <x:c r="S44" s="3" t="s">
        <x:v>135</x:v>
      </x:c>
      <x:c r="T44" s="3" t="s">
        <x:v>111</x:v>
      </x:c>
      <x:c r="U44" s="3" t="s">
        <x:v>136</x:v>
      </x:c>
      <x:c r="V44" s="3" t="s">
        <x:v>137</x:v>
      </x:c>
      <x:c r="W44" s="3" t="s">
        <x:v>138</x:v>
      </x:c>
      <x:c r="X44" s="3" t="s">
        <x:v>139</x:v>
      </x:c>
      <x:c r="Y44" s="3" t="s">
        <x:v>454</x:v>
      </x:c>
      <x:c r="Z44" s="3" t="s">
        <x:v>141</x:v>
      </x:c>
      <x:c r="AA44" s="3" t="s">
        <x:v>118</x:v>
      </x:c>
      <x:c r="AB44" s="7" t="n">
        <x:v>46245.6986111111</x:v>
      </x:c>
      <x:c r="AC44" s="7" t="n">
        <x:v>46245.7027777778</x:v>
      </x:c>
      <x:c r="AD44" s="7" t="n">
        <x:v>46245.7083333333</x:v>
      </x:c>
      <x:c r="AE44" s="7" t="n">
        <x:v>46245.7243055556</x:v>
      </x:c>
      <x:c r="AF44" s="7" t="n">
        <x:v>46245.7701388889</x:v>
      </x:c>
      <x:c r="AG44" s="3" t="n">
        <x:v>37</x:v>
      </x:c>
      <x:c r="AH44" s="3" t="n">
        <x:v>59</x:v>
      </x:c>
      <x:c r="AI44" s="3" t="s">
        <x:v>135</x:v>
      </x:c>
      <x:c r="AJ44" s="3" t="s">
        <x:v>111</x:v>
      </x:c>
      <x:c r="AK44" s="3" t="n">
        <x:v>180</x:v>
      </x:c>
      <x:c r="AL44" s="3" t="n">
        <x:v>0</x:v>
      </x:c>
      <x:c r="AM44" s="8" t="n">
        <x:v>0.5333</x:v>
      </x:c>
      <x:c r="AN44" s="3" t="n">
        <x:v>0</x:v>
      </x:c>
      <x:c r="AO44" s="3" t="s">
        <x:v>9</x:v>
      </x:c>
      <x:c r="AP44" s="3" t="s">
        <x:v>335</x:v>
      </x:c>
      <x:c r="AQ44" s="3" t="s">
        <x:v>336</x:v>
      </x:c>
      <x:c r="AR44" s="9" t="n">
        <x:v>851.3</x:v>
      </x:c>
      <x:c r="AS44" s="3" t="s">
        <x:v>121</x:v>
      </x:c>
      <x:c r="AT44" s="7" t="n">
        <x:v>46301.9166666667</x:v>
      </x:c>
    </x:row>
    <x:row r="45" ht="31.299999237060547" hidden="0">
      <x:c r="A45" s="3" t="s">
        <x:v>481</x:v>
      </x:c>
      <x:c r="B45" s="3" t="s">
        <x:v>123</x:v>
      </x:c>
      <x:c r="C45" s="3" t="s">
        <x:v>124</x:v>
      </x:c>
      <x:c r="D45" s="3" t="s">
        <x:v>125</x:v>
      </x:c>
      <x:c r="E45" s="3" t="s">
        <x:v>249</x:v>
      </x:c>
      <x:c r="F45" s="3" t="s">
        <x:v>127</x:v>
      </x:c>
      <x:c r="G45" s="3" t="s">
        <x:v>349</x:v>
      </x:c>
      <x:c r="H45" s="3" t="s">
        <x:v>343</x:v>
      </x:c>
      <x:c r="I45" s="3" t="s">
        <x:v>102</x:v>
      </x:c>
      <x:c r="J45" s="3" t="s">
        <x:v>103</x:v>
      </x:c>
      <x:c r="K45" s="3" t="s">
        <x:v>104</x:v>
      </x:c>
      <x:c r="L45" s="3" t="s">
        <x:v>129</x:v>
      </x:c>
      <x:c r="M45" s="3" t="s">
        <x:v>130</x:v>
      </x:c>
      <x:c r="N45" s="3" t="s">
        <x:v>131</x:v>
      </x:c>
      <x:c r="O45" s="3" t="s">
        <x:v>132</x:v>
      </x:c>
      <x:c r="P45" s="3" t="s">
        <x:v>133</x:v>
      </x:c>
      <x:c r="Q45" s="3" t="s">
        <x:v>268</x:v>
      </x:c>
      <x:c r="R45" s="3" t="s">
        <x:v>344</x:v>
      </x:c>
      <x:c r="S45" s="3" t="s">
        <x:v>111</x:v>
      </x:c>
      <x:c r="T45" s="3" t="s">
        <x:v>111</x:v>
      </x:c>
      <x:c r="U45" s="3" t="s">
        <x:v>345</x:v>
      </x:c>
      <x:c r="V45" s="3" t="s">
        <x:v>178</x:v>
      </x:c>
      <x:c r="W45" s="3" t="s">
        <x:v>355</x:v>
      </x:c>
      <x:c r="X45" s="3" t="s">
        <x:v>180</x:v>
      </x:c>
      <x:c r="Y45" s="3" t="s">
        <x:v>356</x:v>
      </x:c>
      <x:c r="Z45" s="3" t="s">
        <x:v>346</x:v>
      </x:c>
      <x:c r="AA45" s="3" t="s">
        <x:v>118</x:v>
      </x:c>
      <x:c r="AB45" s="7" t="n">
        <x:v>46245.7125</x:v>
      </x:c>
      <x:c r="AC45" s="7" t="n">
        <x:v>46245.7145833333</x:v>
      </x:c>
      <x:c r="AD45" s="7" t="n">
        <x:v>46245.7173611111</x:v>
      </x:c>
      <x:c r="AE45" s="7" t="n">
        <x:v>46245.74375</x:v>
      </x:c>
      <x:c r="AF45" s="7" t="n">
        <x:v>46245.7597222222</x:v>
      </x:c>
      <x:c r="AG45" s="3" t="n">
        <x:v>45</x:v>
      </x:c>
      <x:c r="AH45" s="3" t="n">
        <x:v>19</x:v>
      </x:c>
      <x:c r="AI45" s="3" t="s">
        <x:v>135</x:v>
      </x:c>
      <x:c r="AJ45" s="3" t="s">
        <x:v>135</x:v>
      </x:c>
      <x:c r="AK45" s="3" t="n">
        <x:v>120</x:v>
      </x:c>
      <x:c r="AL45" s="3" t="n">
        <x:v>0</x:v>
      </x:c>
      <x:c r="AM45" s="8" t="n">
        <x:v>0.5333</x:v>
      </x:c>
      <x:c r="AN45" s="3" t="n">
        <x:v>0</x:v>
      </x:c>
      <x:c r="AO45" s="3" t="s">
        <x:v>9</x:v>
      </x:c>
      <x:c r="AP45" s="3" t="s">
        <x:v>142</x:v>
      </x:c>
      <x:c r="AQ45" s="3" t="s">
        <x:v>482</x:v>
      </x:c>
      <x:c r="AR45" s="9" t="n">
        <x:v>599.3</x:v>
      </x:c>
      <x:c r="AS45" s="3" t="s">
        <x:v>185</x:v>
      </x:c>
      <x:c r="AT45" s="7" t="n">
        <x:v>46301.9166666667</x:v>
      </x:c>
    </x:row>
    <x:row r="46" ht="31.299999237060547" hidden="0">
      <x:c r="A46" s="3" t="s">
        <x:v>483</x:v>
      </x:c>
      <x:c r="B46" s="3" t="s">
        <x:v>123</x:v>
      </x:c>
      <x:c r="C46" s="3" t="s">
        <x:v>124</x:v>
      </x:c>
      <x:c r="D46" s="3" t="s">
        <x:v>125</x:v>
      </x:c>
      <x:c r="E46" s="3" t="s">
        <x:v>249</x:v>
      </x:c>
      <x:c r="F46" s="3" t="s">
        <x:v>127</x:v>
      </x:c>
      <x:c r="G46" s="3" t="s">
        <x:v>484</x:v>
      </x:c>
      <x:c r="H46" s="3" t="s">
        <x:v>101</x:v>
      </x:c>
      <x:c r="I46" s="3" t="s">
        <x:v>102</x:v>
      </x:c>
      <x:c r="J46" s="3" t="s">
        <x:v>103</x:v>
      </x:c>
      <x:c r="K46" s="3" t="s">
        <x:v>104</x:v>
      </x:c>
      <x:c r="L46" s="3" t="s">
        <x:v>129</x:v>
      </x:c>
      <x:c r="M46" s="3" t="s">
        <x:v>130</x:v>
      </x:c>
      <x:c r="N46" s="3" t="s">
        <x:v>131</x:v>
      </x:c>
      <x:c r="O46" s="3" t="s">
        <x:v>132</x:v>
      </x:c>
      <x:c r="P46" s="3" t="s">
        <x:v>133</x:v>
      </x:c>
      <x:c r="Q46" s="3" t="s">
        <x:v>268</x:v>
      </x:c>
      <x:c r="R46" s="3" t="s">
        <x:v>156</x:v>
      </x:c>
      <x:c r="S46" s="3" t="s">
        <x:v>135</x:v>
      </x:c>
      <x:c r="T46" s="3" t="s">
        <x:v>111</x:v>
      </x:c>
      <x:c r="U46" s="3" t="s">
        <x:v>157</x:v>
      </x:c>
      <x:c r="V46" s="3" t="s">
        <x:v>158</x:v>
      </x:c>
      <x:c r="W46" s="3" t="s">
        <x:v>450</x:v>
      </x:c>
      <x:c r="X46" s="3" t="s">
        <x:v>160</x:v>
      </x:c>
      <x:c r="Y46" s="3" t="s">
        <x:v>451</x:v>
      </x:c>
      <x:c r="Z46" s="3" t="s">
        <x:v>162</x:v>
      </x:c>
      <x:c r="AA46" s="3" t="s">
        <x:v>118</x:v>
      </x:c>
      <x:c r="AB46" s="7" t="n">
        <x:v>46246.4034722222</x:v>
      </x:c>
      <x:c r="AC46" s="7" t="n">
        <x:v>46246.40625</x:v>
      </x:c>
      <x:c r="AD46" s="7" t="n">
        <x:v>46246.4083333333</x:v>
      </x:c>
      <x:c r="AE46" s="7" t="n">
        <x:v>46246.4298611111</x:v>
      </x:c>
      <x:c r="AF46" s="7" t="n">
        <x:v>46246.4645833333</x:v>
      </x:c>
      <x:c r="AG46" s="3" t="n">
        <x:v>38</x:v>
      </x:c>
      <x:c r="AH46" s="3" t="n">
        <x:v>43</x:v>
      </x:c>
      <x:c r="AI46" s="3" t="s">
        <x:v>135</x:v>
      </x:c>
      <x:c r="AJ46" s="3" t="s">
        <x:v>135</x:v>
      </x:c>
      <x:c r="AK46" s="3" t="n">
        <x:v>180</x:v>
      </x:c>
      <x:c r="AL46" s="3" t="n">
        <x:v>0</x:v>
      </x:c>
      <x:c r="AM46" s="8" t="n">
        <x:v>0.45</x:v>
      </x:c>
      <x:c r="AN46" s="3" t="n">
        <x:v>0</x:v>
      </x:c>
      <x:c r="AO46" s="3" t="s">
        <x:v>9</x:v>
      </x:c>
      <x:c r="AP46" s="3" t="s">
        <x:v>142</x:v>
      </x:c>
      <x:c r="AQ46" s="3" t="s">
        <x:v>357</x:v>
      </x:c>
      <x:c r="AR46" s="9" t="n">
        <x:v>740.6</x:v>
      </x:c>
      <x:c r="AS46" s="3" t="s">
        <x:v>121</x:v>
      </x:c>
      <x:c r="AT46" s="7" t="n">
        <x:v>46301.9166666667</x:v>
      </x:c>
    </x:row>
    <x:row r="47" ht="31.299999237060547" hidden="0">
      <x:c r="A47" s="3" t="s">
        <x:v>485</x:v>
      </x:c>
      <x:c r="B47" s="3" t="s">
        <x:v>222</x:v>
      </x:c>
      <x:c r="C47" s="3" t="s">
        <x:v>223</x:v>
      </x:c>
      <x:c r="D47" s="3" t="s">
        <x:v>224</x:v>
      </x:c>
      <x:c r="E47" s="3" t="s">
        <x:v>249</x:v>
      </x:c>
      <x:c r="F47" s="3" t="s">
        <x:v>127</x:v>
      </x:c>
      <x:c r="G47" s="3" t="s">
        <x:v>486</x:v>
      </x:c>
      <x:c r="H47" s="3" t="s">
        <x:v>101</x:v>
      </x:c>
      <x:c r="I47" s="3" t="s">
        <x:v>102</x:v>
      </x:c>
      <x:c r="J47" s="3" t="s">
        <x:v>103</x:v>
      </x:c>
      <x:c r="K47" s="3" t="s">
        <x:v>104</x:v>
      </x:c>
      <x:c r="L47" s="3" t="s">
        <x:v>226</x:v>
      </x:c>
      <x:c r="M47" s="3" t="s">
        <x:v>227</x:v>
      </x:c>
      <x:c r="N47" s="3" t="s">
        <x:v>228</x:v>
      </x:c>
      <x:c r="O47" s="3" t="s">
        <x:v>229</x:v>
      </x:c>
      <x:c r="P47" s="3" t="s">
        <x:v>230</x:v>
      </x:c>
      <x:c r="Q47" s="3" t="s">
        <x:v>274</x:v>
      </x:c>
      <x:c r="R47" s="3" t="s">
        <x:v>176</x:v>
      </x:c>
      <x:c r="S47" s="3" t="s">
        <x:v>135</x:v>
      </x:c>
      <x:c r="T47" s="3" t="s">
        <x:v>135</x:v>
      </x:c>
      <x:c r="U47" s="3" t="s">
        <x:v>177</x:v>
      </x:c>
      <x:c r="V47" s="3" t="s">
        <x:v>178</x:v>
      </x:c>
      <x:c r="W47" s="3" t="s">
        <x:v>332</x:v>
      </x:c>
      <x:c r="X47" s="3" t="s">
        <x:v>180</x:v>
      </x:c>
      <x:c r="Y47" s="3" t="s">
        <x:v>333</x:v>
      </x:c>
      <x:c r="Z47" s="3" t="s">
        <x:v>182</x:v>
      </x:c>
      <x:c r="AA47" s="3" t="s">
        <x:v>118</x:v>
      </x:c>
      <x:c r="AB47" s="7" t="n">
        <x:v>46246.4763888889</x:v>
      </x:c>
      <x:c r="AC47" s="7" t="n">
        <x:v>46246.4798611111</x:v>
      </x:c>
      <x:c r="AD47" s="7" t="n">
        <x:v>46246.4854166667</x:v>
      </x:c>
      <x:c r="AE47" s="7" t="n">
        <x:v>46246.5027777778</x:v>
      </x:c>
      <x:c r="AF47" s="7" t="n">
        <x:v>46246.5284722222</x:v>
      </x:c>
      <x:c r="AG47" s="3" t="n">
        <x:v>38</x:v>
      </x:c>
      <x:c r="AH47" s="3" t="n">
        <x:v>32</x:v>
      </x:c>
      <x:c r="AI47" s="3" t="s">
        <x:v>135</x:v>
      </x:c>
      <x:c r="AJ47" s="3" t="s">
        <x:v>135</x:v>
      </x:c>
      <x:c r="AK47" s="3" t="n">
        <x:v>180</x:v>
      </x:c>
      <x:c r="AL47" s="3" t="n">
        <x:v>0</x:v>
      </x:c>
      <x:c r="AM47" s="8" t="n">
        <x:v>0.3889</x:v>
      </x:c>
      <x:c r="AN47" s="3" t="n">
        <x:v>0</x:v>
      </x:c>
      <x:c r="AO47" s="3" t="s">
        <x:v>9</x:v>
      </x:c>
      <x:c r="AP47" s="3" t="s">
        <x:v>142</x:v>
      </x:c>
      <x:c r="AQ47" s="3" t="s">
        <x:v>452</x:v>
      </x:c>
      <x:c r="AR47" s="9" t="n">
        <x:v>661.4</x:v>
      </x:c>
      <x:c r="AS47" s="3" t="s">
        <x:v>121</x:v>
      </x:c>
      <x:c r="AT47" s="7" t="n">
        <x:v>46301.9166666667</x:v>
      </x:c>
    </x:row>
    <x:row r="48" ht="31.299999237060547" hidden="0">
      <x:c r="A48" s="3" t="s">
        <x:v>487</x:v>
      </x:c>
      <x:c r="B48" s="3" t="s">
        <x:v>222</x:v>
      </x:c>
      <x:c r="C48" s="3" t="s">
        <x:v>223</x:v>
      </x:c>
      <x:c r="D48" s="3" t="s">
        <x:v>224</x:v>
      </x:c>
      <x:c r="E48" s="3" t="s">
        <x:v>249</x:v>
      </x:c>
      <x:c r="F48" s="3" t="s">
        <x:v>127</x:v>
      </x:c>
      <x:c r="G48" s="3" t="s">
        <x:v>428</x:v>
      </x:c>
      <x:c r="H48" s="3" t="s">
        <x:v>339</x:v>
      </x:c>
      <x:c r="I48" s="3" t="s">
        <x:v>102</x:v>
      </x:c>
      <x:c r="J48" s="3" t="s">
        <x:v>103</x:v>
      </x:c>
      <x:c r="K48" s="3" t="s">
        <x:v>104</x:v>
      </x:c>
      <x:c r="L48" s="3" t="s">
        <x:v>226</x:v>
      </x:c>
      <x:c r="M48" s="3" t="s">
        <x:v>227</x:v>
      </x:c>
      <x:c r="N48" s="3" t="s">
        <x:v>228</x:v>
      </x:c>
      <x:c r="O48" s="3" t="s">
        <x:v>229</x:v>
      </x:c>
      <x:c r="P48" s="3" t="s">
        <x:v>230</x:v>
      </x:c>
      <x:c r="Q48" s="3" t="s">
        <x:v>274</x:v>
      </x:c>
      <x:c r="R48" s="3" t="s">
        <x:v>214</x:v>
      </x:c>
      <x:c r="S48" s="3" t="s">
        <x:v>135</x:v>
      </x:c>
      <x:c r="T48" s="3" t="s">
        <x:v>111</x:v>
      </x:c>
      <x:c r="U48" s="3" t="s">
        <x:v>215</x:v>
      </x:c>
      <x:c r="V48" s="3" t="s">
        <x:v>216</x:v>
      </x:c>
      <x:c r="W48" s="3" t="s">
        <x:v>429</x:v>
      </x:c>
      <x:c r="X48" s="3" t="s">
        <x:v>430</x:v>
      </x:c>
      <x:c r="Y48" s="3" t="s">
        <x:v>431</x:v>
      </x:c>
      <x:c r="Z48" s="3" t="s">
        <x:v>219</x:v>
      </x:c>
      <x:c r="AA48" s="3" t="s">
        <x:v>118</x:v>
      </x:c>
      <x:c r="AB48" s="7" t="n">
        <x:v>46246.4875</x:v>
      </x:c>
      <x:c r="AC48" s="7" t="n">
        <x:v>46246.4916666667</x:v>
      </x:c>
      <x:c r="AD48" s="7" t="n">
        <x:v>46246.4958333333</x:v>
      </x:c>
      <x:c r="AE48" s="7" t="n">
        <x:v>46246.5145833333</x:v>
      </x:c>
      <x:c r="AF48" s="7" t="n">
        <x:v>46246.5458333333</x:v>
      </x:c>
      <x:c r="AG48" s="3" t="n">
        <x:v>39</x:v>
      </x:c>
      <x:c r="AH48" s="3" t="n">
        <x:v>41</x:v>
      </x:c>
      <x:c r="AI48" s="3" t="s">
        <x:v>135</x:v>
      </x:c>
      <x:c r="AJ48" s="3" t="s">
        <x:v>135</x:v>
      </x:c>
      <x:c r="AK48" s="3" t="n">
        <x:v>180</x:v>
      </x:c>
      <x:c r="AL48" s="3" t="n">
        <x:v>0</x:v>
      </x:c>
      <x:c r="AM48" s="8" t="n">
        <x:v>0.4444</x:v>
      </x:c>
      <x:c r="AN48" s="3" t="n">
        <x:v>0</x:v>
      </x:c>
      <x:c r="AO48" s="3" t="s">
        <x:v>9</x:v>
      </x:c>
      <x:c r="AP48" s="3" t="s">
        <x:v>142</x:v>
      </x:c>
      <x:c r="AQ48" s="3" t="s">
        <x:v>452</x:v>
      </x:c>
      <x:c r="AR48" s="9" t="n">
        <x:v>730.7</x:v>
      </x:c>
      <x:c r="AS48" s="3" t="s">
        <x:v>144</x:v>
      </x:c>
      <x:c r="AT48" s="7" t="n">
        <x:v>46301.9166666667</x:v>
      </x:c>
    </x:row>
    <x:row r="49" ht="31.299999237060547" hidden="0">
      <x:c r="A49" s="3" t="s">
        <x:v>488</x:v>
      </x:c>
      <x:c r="B49" s="3" t="s">
        <x:v>166</x:v>
      </x:c>
      <x:c r="C49" s="3" t="s">
        <x:v>167</x:v>
      </x:c>
      <x:c r="D49" s="3" t="s">
        <x:v>168</x:v>
      </x:c>
      <x:c r="E49" s="3" t="s">
        <x:v>249</x:v>
      </x:c>
      <x:c r="F49" s="3" t="s">
        <x:v>127</x:v>
      </x:c>
      <x:c r="G49" s="3" t="s">
        <x:v>489</x:v>
      </x:c>
      <x:c r="H49" s="3" t="s">
        <x:v>301</x:v>
      </x:c>
      <x:c r="I49" s="3" t="s">
        <x:v>302</x:v>
      </x:c>
      <x:c r="J49" s="3" t="s">
        <x:v>303</x:v>
      </x:c>
      <x:c r="K49" s="3" t="s">
        <x:v>104</x:v>
      </x:c>
      <x:c r="L49" s="3" t="s">
        <x:v>171</x:v>
      </x:c>
      <x:c r="M49" s="3" t="s">
        <x:v>172</x:v>
      </x:c>
      <x:c r="N49" s="3" t="s">
        <x:v>173</x:v>
      </x:c>
      <x:c r="O49" s="3" t="s">
        <x:v>174</x:v>
      </x:c>
      <x:c r="P49" s="3" t="s">
        <x:v>175</x:v>
      </x:c>
      <x:c r="Q49" s="3" t="s">
        <x:v>271</x:v>
      </x:c>
      <x:c r="R49" s="3" t="s">
        <x:v>134</x:v>
      </x:c>
      <x:c r="S49" s="3" t="s">
        <x:v>135</x:v>
      </x:c>
      <x:c r="T49" s="3" t="s">
        <x:v>111</x:v>
      </x:c>
      <x:c r="U49" s="3" t="s">
        <x:v>136</x:v>
      </x:c>
      <x:c r="V49" s="3" t="s">
        <x:v>137</x:v>
      </x:c>
      <x:c r="W49" s="3" t="s">
        <x:v>138</x:v>
      </x:c>
      <x:c r="X49" s="3" t="s">
        <x:v>139</x:v>
      </x:c>
      <x:c r="Y49" s="3" t="s">
        <x:v>454</x:v>
      </x:c>
      <x:c r="Z49" s="3" t="s">
        <x:v>141</x:v>
      </x:c>
      <x:c r="AA49" s="3" t="s">
        <x:v>118</x:v>
      </x:c>
      <x:c r="AB49" s="7" t="n">
        <x:v>46246.5180555556</x:v>
      </x:c>
      <x:c r="AC49" s="7" t="n">
        <x:v>46246.5222222222</x:v>
      </x:c>
      <x:c r="AD49" s="7" t="n">
        <x:v>46246.525</x:v>
      </x:c>
      <x:c r="AE49" s="7" t="n">
        <x:v>46246.5465277778</x:v>
      </x:c>
      <x:c r="AF49" s="7" t="n">
        <x:v>46246.6097222222</x:v>
      </x:c>
      <x:c r="AG49" s="3" t="n">
        <x:v>41</x:v>
      </x:c>
      <x:c r="AH49" s="3" t="n">
        <x:v>88</x:v>
      </x:c>
      <x:c r="AI49" s="3" t="s">
        <x:v>135</x:v>
      </x:c>
      <x:c r="AJ49" s="3" t="s">
        <x:v>135</x:v>
      </x:c>
      <x:c r="AK49" s="3" t="n">
        <x:v>180</x:v>
      </x:c>
      <x:c r="AL49" s="3" t="n">
        <x:v>0</x:v>
      </x:c>
      <x:c r="AM49" s="8" t="n">
        <x:v>0.7167</x:v>
      </x:c>
      <x:c r="AN49" s="3" t="n">
        <x:v>0</x:v>
      </x:c>
      <x:c r="AO49" s="3" t="s">
        <x:v>14</x:v>
      </x:c>
      <x:c r="AP49" s="3" t="s">
        <x:v>347</x:v>
      </x:c>
      <x:c r="AQ49" s="3" t="s">
        <x:v>340</x:v>
      </x:c>
      <x:c r="AR49" s="9" t="n">
        <x:v>1458.1</x:v>
      </x:c>
      <x:c r="AS49" s="3" t="s">
        <x:v>185</x:v>
      </x:c>
      <x:c r="AT49" s="7" t="n">
        <x:v>46301.9166666667</x:v>
      </x:c>
    </x:row>
    <x:row r="50" ht="31.299999237060547" hidden="0">
      <x:c r="A50" s="3" t="s">
        <x:v>490</x:v>
      </x:c>
      <x:c r="B50" s="3" t="s">
        <x:v>222</x:v>
      </x:c>
      <x:c r="C50" s="3" t="s">
        <x:v>223</x:v>
      </x:c>
      <x:c r="D50" s="3" t="s">
        <x:v>224</x:v>
      </x:c>
      <x:c r="E50" s="3" t="s">
        <x:v>249</x:v>
      </x:c>
      <x:c r="F50" s="3" t="s">
        <x:v>169</x:v>
      </x:c>
      <x:c r="G50" s="3" t="s">
        <x:v>491</x:v>
      </x:c>
      <x:c r="H50" s="3" t="s">
        <x:v>101</x:v>
      </x:c>
      <x:c r="I50" s="3" t="s">
        <x:v>102</x:v>
      </x:c>
      <x:c r="J50" s="3" t="s">
        <x:v>103</x:v>
      </x:c>
      <x:c r="K50" s="3" t="s">
        <x:v>104</x:v>
      </x:c>
      <x:c r="L50" s="3" t="s">
        <x:v>226</x:v>
      </x:c>
      <x:c r="M50" s="3" t="s">
        <x:v>227</x:v>
      </x:c>
      <x:c r="N50" s="3" t="s">
        <x:v>228</x:v>
      </x:c>
      <x:c r="O50" s="3" t="s">
        <x:v>229</x:v>
      </x:c>
      <x:c r="P50" s="3" t="s">
        <x:v>230</x:v>
      </x:c>
      <x:c r="Q50" s="3" t="s">
        <x:v>274</x:v>
      </x:c>
      <x:c r="R50" s="3" t="s">
        <x:v>373</x:v>
      </x:c>
      <x:c r="S50" s="3" t="s">
        <x:v>135</x:v>
      </x:c>
      <x:c r="T50" s="3" t="s">
        <x:v>111</x:v>
      </x:c>
      <x:c r="U50" s="3" t="s">
        <x:v>374</x:v>
      </x:c>
      <x:c r="V50" s="3" t="s">
        <x:v>178</x:v>
      </x:c>
      <x:c r="W50" s="3" t="s">
        <x:v>355</x:v>
      </x:c>
      <x:c r="X50" s="3" t="s">
        <x:v>180</x:v>
      </x:c>
      <x:c r="Y50" s="3" t="s">
        <x:v>356</x:v>
      </x:c>
      <x:c r="Z50" s="3" t="s">
        <x:v>375</x:v>
      </x:c>
      <x:c r="AA50" s="3" t="s">
        <x:v>118</x:v>
      </x:c>
      <x:c r="AB50" s="7" t="n">
        <x:v>46246.5430555556</x:v>
      </x:c>
      <x:c r="AC50" s="7" t="n">
        <x:v>46246.5465277778</x:v>
      </x:c>
      <x:c r="AD50" s="7" t="n">
        <x:v>46246.5486111111</x:v>
      </x:c>
      <x:c r="AE50" s="7" t="n">
        <x:v>46246.5659722222</x:v>
      </x:c>
      <x:c r="AF50" s="7" t="n">
        <x:v>46246.58125</x:v>
      </x:c>
      <x:c r="AG50" s="3" t="n">
        <x:v>33</x:v>
      </x:c>
      <x:c r="AH50" s="3" t="n">
        <x:v>12</x:v>
      </x:c>
      <x:c r="AI50" s="3" t="s">
        <x:v>135</x:v>
      </x:c>
      <x:c r="AJ50" s="3" t="s">
        <x:v>135</x:v>
      </x:c>
      <x:c r="AK50" s="3" t="n">
        <x:v>180</x:v>
      </x:c>
      <x:c r="AL50" s="3" t="n">
        <x:v>0</x:v>
      </x:c>
      <x:c r="AM50" s="8" t="n">
        <x:v>0.25</x:v>
      </x:c>
      <x:c r="AN50" s="3" t="n">
        <x:v>0</x:v>
      </x:c>
      <x:c r="AO50" s="3" t="s">
        <x:v>9</x:v>
      </x:c>
      <x:c r="AP50" s="3" t="s">
        <x:v>142</x:v>
      </x:c>
      <x:c r="AQ50" s="3" t="s">
        <x:v>452</x:v>
      </x:c>
      <x:c r="AR50" s="9" t="n">
        <x:v>494.9</x:v>
      </x:c>
      <x:c r="AS50" s="3" t="s">
        <x:v>144</x:v>
      </x:c>
      <x:c r="AT50" s="7" t="n">
        <x:v>46301.9166666667</x:v>
      </x:c>
    </x:row>
    <x:row r="51" ht="31.299999237060547" hidden="0">
      <x:c r="A51" s="3" t="s">
        <x:v>492</x:v>
      </x:c>
      <x:c r="B51" s="3" t="s">
        <x:v>222</x:v>
      </x:c>
      <x:c r="C51" s="3" t="s">
        <x:v>223</x:v>
      </x:c>
      <x:c r="D51" s="3" t="s">
        <x:v>224</x:v>
      </x:c>
      <x:c r="E51" s="3" t="s">
        <x:v>249</x:v>
      </x:c>
      <x:c r="F51" s="3" t="s">
        <x:v>99</x:v>
      </x:c>
      <x:c r="G51" s="3" t="s">
        <x:v>463</x:v>
      </x:c>
      <x:c r="H51" s="3" t="s">
        <x:v>101</x:v>
      </x:c>
      <x:c r="I51" s="3" t="s">
        <x:v>102</x:v>
      </x:c>
      <x:c r="J51" s="3" t="s">
        <x:v>103</x:v>
      </x:c>
      <x:c r="K51" s="3" t="s">
        <x:v>104</x:v>
      </x:c>
      <x:c r="L51" s="3" t="s">
        <x:v>226</x:v>
      </x:c>
      <x:c r="M51" s="3" t="s">
        <x:v>227</x:v>
      </x:c>
      <x:c r="N51" s="3" t="s">
        <x:v>228</x:v>
      </x:c>
      <x:c r="O51" s="3" t="s">
        <x:v>229</x:v>
      </x:c>
      <x:c r="P51" s="3" t="s">
        <x:v>230</x:v>
      </x:c>
      <x:c r="Q51" s="3" t="s">
        <x:v>274</x:v>
      </x:c>
      <x:c r="R51" s="3" t="s">
        <x:v>380</x:v>
      </x:c>
      <x:c r="S51" s="3" t="s">
        <x:v>111</x:v>
      </x:c>
      <x:c r="T51" s="3" t="s">
        <x:v>111</x:v>
      </x:c>
      <x:c r="U51" s="3" t="s">
        <x:v>381</x:v>
      </x:c>
      <x:c r="V51" s="3" t="s">
        <x:v>312</x:v>
      </x:c>
      <x:c r="W51" s="3" t="s">
        <x:v>351</x:v>
      </x:c>
      <x:c r="X51" s="3" t="s">
        <x:v>314</x:v>
      </x:c>
      <x:c r="Y51" s="3" t="s">
        <x:v>352</x:v>
      </x:c>
      <x:c r="Z51" s="3" t="s">
        <x:v>384</x:v>
      </x:c>
      <x:c r="AA51" s="3" t="s">
        <x:v>385</x:v>
      </x:c>
      <x:c r="AB51" s="7" t="n">
        <x:v>46246.6222222222</x:v>
      </x:c>
      <x:c r="AC51" s="7" t="n">
        <x:v>46246.625</x:v>
      </x:c>
      <x:c r="AD51" s="7" t="n">
        <x:v>46246.6284722222</x:v>
      </x:c>
      <x:c r="AE51" s="7" t="n">
        <x:v>46246.6368055556</x:v>
      </x:c>
      <x:c r="AF51" s="7" t="n">
        <x:v>46246.6854166667</x:v>
      </x:c>
      <x:c r="AG51" s="3" t="n">
        <x:v>21</x:v>
      </x:c>
      <x:c r="AH51" s="3" t="n">
        <x:v>63</x:v>
      </x:c>
      <x:c r="AI51" s="3" t="s">
        <x:v>135</x:v>
      </x:c>
      <x:c r="AJ51" s="3" t="s">
        <x:v>135</x:v>
      </x:c>
      <x:c r="AK51" s="3" t="n">
        <x:v>120</x:v>
      </x:c>
      <x:c r="AL51" s="3" t="n">
        <x:v>0</x:v>
      </x:c>
      <x:c r="AM51" s="8" t="n">
        <x:v>0.7</x:v>
      </x:c>
      <x:c r="AN51" s="3" t="n">
        <x:v>0</x:v>
      </x:c>
      <x:c r="AO51" s="3" t="s">
        <x:v>14</x:v>
      </x:c>
      <x:c r="AP51" s="3" t="s">
        <x:v>347</x:v>
      </x:c>
      <x:c r="AQ51" s="3" t="s">
        <x:v>370</x:v>
      </x:c>
      <x:c r="AR51" s="9" t="n">
        <x:v>808.1</x:v>
      </x:c>
      <x:c r="AS51" s="3" t="s">
        <x:v>121</x:v>
      </x:c>
      <x:c r="AT51" s="7" t="n">
        <x:v>46301.9166666667</x:v>
      </x:c>
    </x:row>
    <x:row r="52" ht="31.299999237060547" hidden="0">
      <x:c r="A52" s="3" t="s">
        <x:v>493</x:v>
      </x:c>
      <x:c r="B52" s="3" t="s">
        <x:v>166</x:v>
      </x:c>
      <x:c r="C52" s="3" t="s">
        <x:v>167</x:v>
      </x:c>
      <x:c r="D52" s="3" t="s">
        <x:v>168</x:v>
      </x:c>
      <x:c r="E52" s="3" t="s">
        <x:v>249</x:v>
      </x:c>
      <x:c r="F52" s="3" t="s">
        <x:v>169</x:v>
      </x:c>
      <x:c r="G52" s="3" t="s">
        <x:v>390</x:v>
      </x:c>
      <x:c r="H52" s="3" t="s">
        <x:v>301</x:v>
      </x:c>
      <x:c r="I52" s="3" t="s">
        <x:v>302</x:v>
      </x:c>
      <x:c r="J52" s="3" t="s">
        <x:v>303</x:v>
      </x:c>
      <x:c r="K52" s="3" t="s">
        <x:v>104</x:v>
      </x:c>
      <x:c r="L52" s="3" t="s">
        <x:v>171</x:v>
      </x:c>
      <x:c r="M52" s="3" t="s">
        <x:v>172</x:v>
      </x:c>
      <x:c r="N52" s="3" t="s">
        <x:v>173</x:v>
      </x:c>
      <x:c r="O52" s="3" t="s">
        <x:v>174</x:v>
      </x:c>
      <x:c r="P52" s="3" t="s">
        <x:v>175</x:v>
      </x:c>
      <x:c r="Q52" s="3" t="s">
        <x:v>271</x:v>
      </x:c>
      <x:c r="R52" s="3" t="s">
        <x:v>391</x:v>
      </x:c>
      <x:c r="S52" s="3" t="s">
        <x:v>135</x:v>
      </x:c>
      <x:c r="T52" s="3" t="s">
        <x:v>135</x:v>
      </x:c>
      <x:c r="U52" s="3" t="s">
        <x:v>392</x:v>
      </x:c>
      <x:c r="V52" s="3" t="s">
        <x:v>312</x:v>
      </x:c>
      <x:c r="W52" s="3" t="s">
        <x:v>351</x:v>
      </x:c>
      <x:c r="X52" s="3" t="s">
        <x:v>314</x:v>
      </x:c>
      <x:c r="Y52" s="3" t="s">
        <x:v>352</x:v>
      </x:c>
      <x:c r="Z52" s="3" t="s">
        <x:v>393</x:v>
      </x:c>
      <x:c r="AA52" s="3" t="s">
        <x:v>394</x:v>
      </x:c>
      <x:c r="AB52" s="7" t="n">
        <x:v>46246.6340277778</x:v>
      </x:c>
      <x:c r="AC52" s="7" t="n">
        <x:v>46246.6368055556</x:v>
      </x:c>
      <x:c r="AD52" s="7" t="n">
        <x:v>46246.6402777778</x:v>
      </x:c>
      <x:c r="AE52" s="7" t="n">
        <x:v>46246.6618055556</x:v>
      </x:c>
      <x:c r="AF52" s="7" t="n">
        <x:v>46246.7125</x:v>
      </x:c>
      <x:c r="AG52" s="3" t="n">
        <x:v>40</x:v>
      </x:c>
      <x:c r="AH52" s="3" t="n">
        <x:v>64</x:v>
      </x:c>
      <x:c r="AI52" s="3" t="s">
        <x:v>135</x:v>
      </x:c>
      <x:c r="AJ52" s="3" t="s">
        <x:v>135</x:v>
      </x:c>
      <x:c r="AK52" s="3" t="n">
        <x:v>180</x:v>
      </x:c>
      <x:c r="AL52" s="3" t="n">
        <x:v>0</x:v>
      </x:c>
      <x:c r="AM52" s="8" t="n">
        <x:v>0.5778</x:v>
      </x:c>
      <x:c r="AN52" s="3" t="n">
        <x:v>0</x:v>
      </x:c>
      <x:c r="AO52" s="3" t="s">
        <x:v>9</x:v>
      </x:c>
      <x:c r="AP52" s="3" t="s">
        <x:v>142</x:v>
      </x:c>
      <x:c r="AQ52" s="3" t="s">
        <x:v>340</x:v>
      </x:c>
      <x:c r="AR52" s="9" t="n">
        <x:v>1280.8</x:v>
      </x:c>
      <x:c r="AS52" s="3" t="s">
        <x:v>121</x:v>
      </x:c>
      <x:c r="AT52" s="7" t="n">
        <x:v>46301.9166666667</x:v>
      </x:c>
    </x:row>
    <x:row r="53" ht="31.299999237060547" hidden="0">
      <x:c r="A53" s="3" t="s">
        <x:v>494</x:v>
      </x:c>
      <x:c r="B53" s="3" t="s">
        <x:v>166</x:v>
      </x:c>
      <x:c r="C53" s="3" t="s">
        <x:v>167</x:v>
      </x:c>
      <x:c r="D53" s="3" t="s">
        <x:v>168</x:v>
      </x:c>
      <x:c r="E53" s="3" t="s">
        <x:v>249</x:v>
      </x:c>
      <x:c r="F53" s="3" t="s">
        <x:v>99</x:v>
      </x:c>
      <x:c r="G53" s="3" t="s">
        <x:v>379</x:v>
      </x:c>
      <x:c r="H53" s="3" t="s">
        <x:v>339</x:v>
      </x:c>
      <x:c r="I53" s="3" t="s">
        <x:v>102</x:v>
      </x:c>
      <x:c r="J53" s="3" t="s">
        <x:v>103</x:v>
      </x:c>
      <x:c r="K53" s="3" t="s">
        <x:v>104</x:v>
      </x:c>
      <x:c r="L53" s="3" t="s">
        <x:v>171</x:v>
      </x:c>
      <x:c r="M53" s="3" t="s">
        <x:v>172</x:v>
      </x:c>
      <x:c r="N53" s="3" t="s">
        <x:v>173</x:v>
      </x:c>
      <x:c r="O53" s="3" t="s">
        <x:v>174</x:v>
      </x:c>
      <x:c r="P53" s="3" t="s">
        <x:v>175</x:v>
      </x:c>
      <x:c r="Q53" s="3" t="s">
        <x:v>271</x:v>
      </x:c>
      <x:c r="R53" s="3" t="s">
        <x:v>380</x:v>
      </x:c>
      <x:c r="S53" s="3" t="s">
        <x:v>111</x:v>
      </x:c>
      <x:c r="T53" s="3" t="s">
        <x:v>111</x:v>
      </x:c>
      <x:c r="U53" s="3" t="s">
        <x:v>381</x:v>
      </x:c>
      <x:c r="V53" s="3" t="s">
        <x:v>312</x:v>
      </x:c>
      <x:c r="W53" s="3" t="s">
        <x:v>351</x:v>
      </x:c>
      <x:c r="X53" s="3" t="s">
        <x:v>314</x:v>
      </x:c>
      <x:c r="Y53" s="3" t="s">
        <x:v>352</x:v>
      </x:c>
      <x:c r="Z53" s="3" t="s">
        <x:v>384</x:v>
      </x:c>
      <x:c r="AA53" s="3" t="s">
        <x:v>385</x:v>
      </x:c>
      <x:c r="AB53" s="7" t="n">
        <x:v>46246.6361111111</x:v>
      </x:c>
      <x:c r="AC53" s="7" t="n">
        <x:v>46246.6402777778</x:v>
      </x:c>
      <x:c r="AD53" s="7" t="n">
        <x:v>46246.6423611111</x:v>
      </x:c>
      <x:c r="AE53" s="7" t="n">
        <x:v>46246.6722222222</x:v>
      </x:c>
      <x:c r="AF53" s="7" t="n">
        <x:v>46246.7319444444</x:v>
      </x:c>
      <x:c r="AG53" s="3" t="n">
        <x:v>52</x:v>
      </x:c>
      <x:c r="AH53" s="3" t="n">
        <x:v>80</x:v>
      </x:c>
      <x:c r="AI53" s="3" t="s">
        <x:v>135</x:v>
      </x:c>
      <x:c r="AJ53" s="3" t="s">
        <x:v>135</x:v>
      </x:c>
      <x:c r="AK53" s="3" t="n">
        <x:v>120</x:v>
      </x:c>
      <x:c r="AL53" s="3" t="n">
        <x:v>0</x:v>
      </x:c>
      <x:c r="AM53" s="8" t="n">
        <x:v>1.1</x:v>
      </x:c>
      <x:c r="AN53" s="3" t="n">
        <x:v>0</x:v>
      </x:c>
      <x:c r="AO53" s="3" t="s">
        <x:v>24</x:v>
      </x:c>
      <x:c r="AP53" s="3" t="s">
        <x:v>495</x:v>
      </x:c>
      <x:c r="AQ53" s="3" t="s">
        <x:v>340</x:v>
      </x:c>
      <x:c r="AR53" s="9" t="n">
        <x:v>1450</x:v>
      </x:c>
      <x:c r="AS53" s="3" t="s">
        <x:v>185</x:v>
      </x:c>
      <x:c r="AT53" s="7" t="n">
        <x:v>46301.9166666667</x:v>
      </x:c>
    </x:row>
    <x:row r="54" ht="31.299999237060547" hidden="0">
      <x:c r="A54" s="3" t="s">
        <x:v>496</x:v>
      </x:c>
      <x:c r="B54" s="3" t="s">
        <x:v>233</x:v>
      </x:c>
      <x:c r="C54" s="3" t="s">
        <x:v>234</x:v>
      </x:c>
      <x:c r="D54" s="3" t="s">
        <x:v>235</x:v>
      </x:c>
      <x:c r="E54" s="3" t="s">
        <x:v>249</x:v>
      </x:c>
      <x:c r="F54" s="3" t="s">
        <x:v>127</x:v>
      </x:c>
      <x:c r="G54" s="3" t="s">
        <x:v>354</x:v>
      </x:c>
      <x:c r="H54" s="3" t="s">
        <x:v>101</x:v>
      </x:c>
      <x:c r="I54" s="3" t="s">
        <x:v>102</x:v>
      </x:c>
      <x:c r="J54" s="3" t="s">
        <x:v>103</x:v>
      </x:c>
      <x:c r="K54" s="3" t="s">
        <x:v>104</x:v>
      </x:c>
      <x:c r="L54" s="3" t="s">
        <x:v>237</x:v>
      </x:c>
      <x:c r="M54" s="3" t="s">
        <x:v>172</x:v>
      </x:c>
      <x:c r="N54" s="3" t="s">
        <x:v>238</x:v>
      </x:c>
      <x:c r="O54" s="3" t="s">
        <x:v>239</x:v>
      </x:c>
      <x:c r="P54" s="3" t="s">
        <x:v>240</x:v>
      </x:c>
      <x:c r="Q54" s="3" t="s">
        <x:v>276</x:v>
      </x:c>
      <x:c r="R54" s="3" t="s">
        <x:v>176</x:v>
      </x:c>
      <x:c r="S54" s="3" t="s">
        <x:v>135</x:v>
      </x:c>
      <x:c r="T54" s="3" t="s">
        <x:v>135</x:v>
      </x:c>
      <x:c r="U54" s="3" t="s">
        <x:v>177</x:v>
      </x:c>
      <x:c r="V54" s="3" t="s">
        <x:v>178</x:v>
      </x:c>
      <x:c r="W54" s="3" t="s">
        <x:v>332</x:v>
      </x:c>
      <x:c r="X54" s="3" t="s">
        <x:v>180</x:v>
      </x:c>
      <x:c r="Y54" s="3" t="s">
        <x:v>333</x:v>
      </x:c>
      <x:c r="Z54" s="3" t="s">
        <x:v>182</x:v>
      </x:c>
      <x:c r="AA54" s="3" t="s">
        <x:v>118</x:v>
      </x:c>
      <x:c r="AB54" s="7" t="n">
        <x:v>46246.68125</x:v>
      </x:c>
      <x:c r="AC54" s="7" t="n">
        <x:v>46246.6833333333</x:v>
      </x:c>
      <x:c r="AD54" s="7" t="n">
        <x:v>46246.6847222222</x:v>
      </x:c>
      <x:c r="AE54" s="7" t="n">
        <x:v>46246.7048611111</x:v>
      </x:c>
      <x:c r="AF54" s="7" t="n">
        <x:v>46246.7569444444</x:v>
      </x:c>
      <x:c r="AG54" s="3" t="n">
        <x:v>34</x:v>
      </x:c>
      <x:c r="AH54" s="3" t="n">
        <x:v>65</x:v>
      </x:c>
      <x:c r="AI54" s="3" t="s">
        <x:v>135</x:v>
      </x:c>
      <x:c r="AJ54" s="3" t="s">
        <x:v>111</x:v>
      </x:c>
      <x:c r="AK54" s="3" t="n">
        <x:v>150</x:v>
      </x:c>
      <x:c r="AL54" s="3" t="n">
        <x:v>0</x:v>
      </x:c>
      <x:c r="AM54" s="8" t="n">
        <x:v>0.66</x:v>
      </x:c>
      <x:c r="AN54" s="3" t="n">
        <x:v>0</x:v>
      </x:c>
      <x:c r="AO54" s="3" t="s">
        <x:v>14</x:v>
      </x:c>
      <x:c r="AP54" s="3" t="s">
        <x:v>318</x:v>
      </x:c>
      <x:c r="AQ54" s="3" t="s">
        <x:v>340</x:v>
      </x:c>
      <x:c r="AR54" s="9" t="n">
        <x:v>881</x:v>
      </x:c>
      <x:c r="AS54" s="3" t="s">
        <x:v>185</x:v>
      </x:c>
      <x:c r="AT54" s="7" t="n">
        <x:v>46301.9166666667</x:v>
      </x:c>
    </x:row>
    <x:row r="55" ht="31.299999237060547" hidden="0">
      <x:c r="A55" s="3" t="s">
        <x:v>497</x:v>
      </x:c>
      <x:c r="B55" s="3" t="s">
        <x:v>83</x:v>
      </x:c>
      <x:c r="C55" s="3" t="s">
        <x:v>96</x:v>
      </x:c>
      <x:c r="D55" s="3" t="s">
        <x:v>97</x:v>
      </x:c>
      <x:c r="E55" s="3" t="s">
        <x:v>249</x:v>
      </x:c>
      <x:c r="F55" s="3" t="s">
        <x:v>169</x:v>
      </x:c>
      <x:c r="G55" s="3" t="s">
        <x:v>498</x:v>
      </x:c>
      <x:c r="H55" s="3" t="s">
        <x:v>101</x:v>
      </x:c>
      <x:c r="I55" s="3" t="s">
        <x:v>102</x:v>
      </x:c>
      <x:c r="J55" s="3" t="s">
        <x:v>103</x:v>
      </x:c>
      <x:c r="K55" s="3" t="s">
        <x:v>104</x:v>
      </x:c>
      <x:c r="L55" s="3" t="s">
        <x:v>105</x:v>
      </x:c>
      <x:c r="M55" s="3" t="s">
        <x:v>106</x:v>
      </x:c>
      <x:c r="N55" s="3" t="s">
        <x:v>107</x:v>
      </x:c>
      <x:c r="O55" s="3" t="s">
        <x:v>108</x:v>
      </x:c>
      <x:c r="P55" s="3" t="s">
        <x:v>109</x:v>
      </x:c>
      <x:c r="Q55" s="3" t="s">
        <x:v>250</x:v>
      </x:c>
      <x:c r="R55" s="3" t="s">
        <x:v>310</x:v>
      </x:c>
      <x:c r="S55" s="3" t="s">
        <x:v>135</x:v>
      </x:c>
      <x:c r="T55" s="3" t="s">
        <x:v>111</x:v>
      </x:c>
      <x:c r="U55" s="3" t="s">
        <x:v>311</x:v>
      </x:c>
      <x:c r="V55" s="3" t="s">
        <x:v>312</x:v>
      </x:c>
      <x:c r="W55" s="3" t="s">
        <x:v>313</x:v>
      </x:c>
      <x:c r="X55" s="3" t="s">
        <x:v>314</x:v>
      </x:c>
      <x:c r="Y55" s="3" t="s">
        <x:v>315</x:v>
      </x:c>
      <x:c r="Z55" s="3" t="s">
        <x:v>316</x:v>
      </x:c>
      <x:c r="AA55" s="3" t="s">
        <x:v>317</x:v>
      </x:c>
      <x:c r="AB55" s="7" t="n">
        <x:v>46246.6965277778</x:v>
      </x:c>
      <x:c r="AC55" s="7" t="n">
        <x:v>46246.7</x:v>
      </x:c>
      <x:c r="AD55" s="7" t="n">
        <x:v>46246.7048611111</x:v>
      </x:c>
      <x:c r="AE55" s="7" t="n">
        <x:v>46246.7215277778</x:v>
      </x:c>
      <x:c r="AF55" s="7" t="n">
        <x:v>46246.7416666667</x:v>
      </x:c>
      <x:c r="AG55" s="3" t="n">
        <x:v>36</x:v>
      </x:c>
      <x:c r="AH55" s="3" t="n">
        <x:v>25</x:v>
      </x:c>
      <x:c r="AI55" s="3" t="s">
        <x:v>111</x:v>
      </x:c>
      <x:c r="AJ55" s="3" t="s">
        <x:v>111</x:v>
      </x:c>
      <x:c r="AK55" s="3" t="n">
        <x:v>60</x:v>
      </x:c>
      <x:c r="AL55" s="3" t="n">
        <x:v>0</x:v>
      </x:c>
      <x:c r="AM55" s="8" t="n">
        <x:v>1.0167</x:v>
      </x:c>
      <x:c r="AN55" s="3" t="n">
        <x:v>0</x:v>
      </x:c>
      <x:c r="AO55" s="3" t="s">
        <x:v>24</x:v>
      </x:c>
      <x:c r="AP55" s="3" t="s">
        <x:v>421</x:v>
      </x:c>
      <x:c r="AQ55" s="3" t="s">
        <x:v>422</x:v>
      </x:c>
      <x:c r="AR55" s="9" t="n">
        <x:v>922</x:v>
      </x:c>
      <x:c r="AS55" s="3" t="s">
        <x:v>185</x:v>
      </x:c>
      <x:c r="AT55" s="7" t="n">
        <x:v>46301.9166666667</x:v>
      </x:c>
    </x:row>
    <x:row r="56" ht="31.299999237060547" hidden="0">
      <x:c r="A56" s="3" t="s">
        <x:v>499</x:v>
      </x:c>
      <x:c r="B56" s="3" t="s">
        <x:v>166</x:v>
      </x:c>
      <x:c r="C56" s="3" t="s">
        <x:v>167</x:v>
      </x:c>
      <x:c r="D56" s="3" t="s">
        <x:v>168</x:v>
      </x:c>
      <x:c r="E56" s="3" t="s">
        <x:v>249</x:v>
      </x:c>
      <x:c r="F56" s="3" t="s">
        <x:v>169</x:v>
      </x:c>
      <x:c r="G56" s="3" t="s">
        <x:v>390</x:v>
      </x:c>
      <x:c r="H56" s="3" t="s">
        <x:v>301</x:v>
      </x:c>
      <x:c r="I56" s="3" t="s">
        <x:v>302</x:v>
      </x:c>
      <x:c r="J56" s="3" t="s">
        <x:v>303</x:v>
      </x:c>
      <x:c r="K56" s="3" t="s">
        <x:v>104</x:v>
      </x:c>
      <x:c r="L56" s="3" t="s">
        <x:v>171</x:v>
      </x:c>
      <x:c r="M56" s="3" t="s">
        <x:v>172</x:v>
      </x:c>
      <x:c r="N56" s="3" t="s">
        <x:v>173</x:v>
      </x:c>
      <x:c r="O56" s="3" t="s">
        <x:v>174</x:v>
      </x:c>
      <x:c r="P56" s="3" t="s">
        <x:v>175</x:v>
      </x:c>
      <x:c r="Q56" s="3" t="s">
        <x:v>271</x:v>
      </x:c>
      <x:c r="R56" s="3" t="s">
        <x:v>391</x:v>
      </x:c>
      <x:c r="S56" s="3" t="s">
        <x:v>135</x:v>
      </x:c>
      <x:c r="T56" s="3" t="s">
        <x:v>135</x:v>
      </x:c>
      <x:c r="U56" s="3" t="s">
        <x:v>392</x:v>
      </x:c>
      <x:c r="V56" s="3" t="s">
        <x:v>312</x:v>
      </x:c>
      <x:c r="W56" s="3" t="s">
        <x:v>382</x:v>
      </x:c>
      <x:c r="X56" s="3" t="s">
        <x:v>314</x:v>
      </x:c>
      <x:c r="Y56" s="3" t="s">
        <x:v>383</x:v>
      </x:c>
      <x:c r="Z56" s="3" t="s">
        <x:v>393</x:v>
      </x:c>
      <x:c r="AA56" s="3" t="s">
        <x:v>394</x:v>
      </x:c>
      <x:c r="AB56" s="7" t="n">
        <x:v>46247.3916666667</x:v>
      </x:c>
      <x:c r="AC56" s="7" t="n">
        <x:v>46247.3958333333</x:v>
      </x:c>
      <x:c r="AD56" s="7" t="n">
        <x:v>46247.4</x:v>
      </x:c>
      <x:c r="AE56" s="7" t="n">
        <x:v>46247.4256944444</x:v>
      </x:c>
      <x:c r="AF56" s="7" t="n">
        <x:v>46247.4604166667</x:v>
      </x:c>
      <x:c r="AG56" s="3" t="n">
        <x:v>49</x:v>
      </x:c>
      <x:c r="AH56" s="3" t="n">
        <x:v>40</x:v>
      </x:c>
      <x:c r="AI56" s="3" t="s">
        <x:v>135</x:v>
      </x:c>
      <x:c r="AJ56" s="3" t="s">
        <x:v>135</x:v>
      </x:c>
      <x:c r="AK56" s="3" t="n">
        <x:v>180</x:v>
      </x:c>
      <x:c r="AL56" s="3" t="n">
        <x:v>0</x:v>
      </x:c>
      <x:c r="AM56" s="8" t="n">
        <x:v>0.4944</x:v>
      </x:c>
      <x:c r="AN56" s="3" t="n">
        <x:v>1</x:v>
      </x:c>
      <x:c r="AO56" s="3" t="s">
        <x:v>9</x:v>
      </x:c>
      <x:c r="AP56" s="3" t="s">
        <x:v>500</x:v>
      </x:c>
      <x:c r="AQ56" s="3" t="s">
        <x:v>501</x:v>
      </x:c>
      <x:c r="AR56" s="9" t="n">
        <x:v>1148.5</x:v>
      </x:c>
      <x:c r="AS56" s="3" t="s">
        <x:v>121</x:v>
      </x:c>
      <x:c r="AT56" s="7" t="n">
        <x:v>46301.9166666667</x:v>
      </x:c>
    </x:row>
    <x:row r="57" ht="31.299999237060547" hidden="0">
      <x:c r="A57" s="3" t="s">
        <x:v>502</x:v>
      </x:c>
      <x:c r="B57" s="3" t="s">
        <x:v>205</x:v>
      </x:c>
      <x:c r="C57" s="3" t="s">
        <x:v>206</x:v>
      </x:c>
      <x:c r="D57" s="3" t="s">
        <x:v>207</x:v>
      </x:c>
      <x:c r="E57" s="3" t="s">
        <x:v>249</x:v>
      </x:c>
      <x:c r="F57" s="3" t="s">
        <x:v>99</x:v>
      </x:c>
      <x:c r="G57" s="3" t="s">
        <x:v>463</x:v>
      </x:c>
      <x:c r="H57" s="3" t="s">
        <x:v>101</x:v>
      </x:c>
      <x:c r="I57" s="3" t="s">
        <x:v>102</x:v>
      </x:c>
      <x:c r="J57" s="3" t="s">
        <x:v>103</x:v>
      </x:c>
      <x:c r="K57" s="3" t="s">
        <x:v>104</x:v>
      </x:c>
      <x:c r="L57" s="3" t="s">
        <x:v>209</x:v>
      </x:c>
      <x:c r="M57" s="3" t="s">
        <x:v>210</x:v>
      </x:c>
      <x:c r="N57" s="3" t="s">
        <x:v>211</x:v>
      </x:c>
      <x:c r="O57" s="3" t="s">
        <x:v>212</x:v>
      </x:c>
      <x:c r="P57" s="3" t="s">
        <x:v>213</x:v>
      </x:c>
      <x:c r="Q57" s="3" t="s">
        <x:v>254</x:v>
      </x:c>
      <x:c r="R57" s="3" t="s">
        <x:v>380</x:v>
      </x:c>
      <x:c r="S57" s="3" t="s">
        <x:v>111</x:v>
      </x:c>
      <x:c r="T57" s="3" t="s">
        <x:v>111</x:v>
      </x:c>
      <x:c r="U57" s="3" t="s">
        <x:v>381</x:v>
      </x:c>
      <x:c r="V57" s="3" t="s">
        <x:v>312</x:v>
      </x:c>
      <x:c r="W57" s="3" t="s">
        <x:v>313</x:v>
      </x:c>
      <x:c r="X57" s="3" t="s">
        <x:v>314</x:v>
      </x:c>
      <x:c r="Y57" s="3" t="s">
        <x:v>315</x:v>
      </x:c>
      <x:c r="Z57" s="3" t="s">
        <x:v>384</x:v>
      </x:c>
      <x:c r="AA57" s="3" t="s">
        <x:v>385</x:v>
      </x:c>
      <x:c r="AB57" s="7" t="n">
        <x:v>46247.4173611111</x:v>
      </x:c>
      <x:c r="AC57" s="7" t="n">
        <x:v>46247.4194444444</x:v>
      </x:c>
      <x:c r="AD57" s="7" t="n">
        <x:v>46247.4222222222</x:v>
      </x:c>
      <x:c r="AE57" s="7" t="n">
        <x:v>46247.44375</x:v>
      </x:c>
      <x:c r="AF57" s="7" t="n">
        <x:v>46247.4555555556</x:v>
      </x:c>
      <x:c r="AG57" s="3" t="n">
        <x:v>38</x:v>
      </x:c>
      <x:c r="AH57" s="3" t="n">
        <x:v>12</x:v>
      </x:c>
      <x:c r="AI57" s="3" t="s">
        <x:v>135</x:v>
      </x:c>
      <x:c r="AJ57" s="3" t="s">
        <x:v>135</x:v>
      </x:c>
      <x:c r="AK57" s="3" t="n">
        <x:v>120</x:v>
      </x:c>
      <x:c r="AL57" s="3" t="n">
        <x:v>0</x:v>
      </x:c>
      <x:c r="AM57" s="8" t="n">
        <x:v>0.4167</x:v>
      </x:c>
      <x:c r="AN57" s="3" t="n">
        <x:v>0</x:v>
      </x:c>
      <x:c r="AO57" s="3" t="s">
        <x:v>9</x:v>
      </x:c>
      <x:c r="AP57" s="3" t="s">
        <x:v>142</x:v>
      </x:c>
      <x:c r="AQ57" s="3" t="s">
        <x:v>220</x:v>
      </x:c>
      <x:c r="AR57" s="9" t="n">
        <x:v>517.4</x:v>
      </x:c>
      <x:c r="AS57" s="3" t="s">
        <x:v>121</x:v>
      </x:c>
      <x:c r="AT57" s="7" t="n">
        <x:v>46301.9166666667</x:v>
      </x:c>
    </x:row>
    <x:row r="58" ht="31.299999237060547" hidden="0">
      <x:c r="A58" s="3" t="s">
        <x:v>503</x:v>
      </x:c>
      <x:c r="B58" s="3" t="s">
        <x:v>205</x:v>
      </x:c>
      <x:c r="C58" s="3" t="s">
        <x:v>206</x:v>
      </x:c>
      <x:c r="D58" s="3" t="s">
        <x:v>207</x:v>
      </x:c>
      <x:c r="E58" s="3" t="s">
        <x:v>249</x:v>
      </x:c>
      <x:c r="F58" s="3" t="s">
        <x:v>169</x:v>
      </x:c>
      <x:c r="G58" s="3" t="s">
        <x:v>504</x:v>
      </x:c>
      <x:c r="H58" s="3" t="s">
        <x:v>343</x:v>
      </x:c>
      <x:c r="I58" s="3" t="s">
        <x:v>102</x:v>
      </x:c>
      <x:c r="J58" s="3" t="s">
        <x:v>103</x:v>
      </x:c>
      <x:c r="K58" s="3" t="s">
        <x:v>104</x:v>
      </x:c>
      <x:c r="L58" s="3" t="s">
        <x:v>209</x:v>
      </x:c>
      <x:c r="M58" s="3" t="s">
        <x:v>210</x:v>
      </x:c>
      <x:c r="N58" s="3" t="s">
        <x:v>211</x:v>
      </x:c>
      <x:c r="O58" s="3" t="s">
        <x:v>212</x:v>
      </x:c>
      <x:c r="P58" s="3" t="s">
        <x:v>213</x:v>
      </x:c>
      <x:c r="Q58" s="3" t="s">
        <x:v>254</x:v>
      </x:c>
      <x:c r="R58" s="3" t="s">
        <x:v>344</x:v>
      </x:c>
      <x:c r="S58" s="3" t="s">
        <x:v>111</x:v>
      </x:c>
      <x:c r="T58" s="3" t="s">
        <x:v>111</x:v>
      </x:c>
      <x:c r="U58" s="3" t="s">
        <x:v>345</x:v>
      </x:c>
      <x:c r="V58" s="3" t="s">
        <x:v>178</x:v>
      </x:c>
      <x:c r="W58" s="3" t="s">
        <x:v>332</x:v>
      </x:c>
      <x:c r="X58" s="3" t="s">
        <x:v>180</x:v>
      </x:c>
      <x:c r="Y58" s="3" t="s">
        <x:v>333</x:v>
      </x:c>
      <x:c r="Z58" s="3" t="s">
        <x:v>346</x:v>
      </x:c>
      <x:c r="AA58" s="3" t="s">
        <x:v>118</x:v>
      </x:c>
      <x:c r="AB58" s="7" t="n">
        <x:v>46247.4381944445</x:v>
      </x:c>
      <x:c r="AC58" s="7" t="n">
        <x:v>46247.4416666667</x:v>
      </x:c>
      <x:c r="AD58" s="7" t="n">
        <x:v>46247.4479166667</x:v>
      </x:c>
      <x:c r="AE58" s="7" t="n">
        <x:v>46247.4638888889</x:v>
      </x:c>
      <x:c r="AF58" s="7" t="n">
        <x:v>46247.5055555556</x:v>
      </x:c>
      <x:c r="AG58" s="3" t="n">
        <x:v>37</x:v>
      </x:c>
      <x:c r="AH58" s="3" t="n">
        <x:v>54</x:v>
      </x:c>
      <x:c r="AI58" s="3" t="s">
        <x:v>135</x:v>
      </x:c>
      <x:c r="AJ58" s="3" t="s">
        <x:v>135</x:v>
      </x:c>
      <x:c r="AK58" s="3" t="n">
        <x:v>120</x:v>
      </x:c>
      <x:c r="AL58" s="3" t="n">
        <x:v>0</x:v>
      </x:c>
      <x:c r="AM58" s="8" t="n">
        <x:v>0.7583</x:v>
      </x:c>
      <x:c r="AN58" s="3" t="n">
        <x:v>0</x:v>
      </x:c>
      <x:c r="AO58" s="3" t="s">
        <x:v>14</x:v>
      </x:c>
      <x:c r="AP58" s="3" t="s">
        <x:v>347</x:v>
      </x:c>
      <x:c r="AQ58" s="3" t="s">
        <x:v>478</x:v>
      </x:c>
      <x:c r="AR58" s="9" t="n">
        <x:v>815.3</x:v>
      </x:c>
      <x:c r="AS58" s="3" t="s">
        <x:v>185</x:v>
      </x:c>
      <x:c r="AT58" s="7" t="n">
        <x:v>46301.9166666667</x:v>
      </x:c>
    </x:row>
    <x:row r="59" ht="31.299999237060547" hidden="0">
      <x:c r="A59" s="3" t="s">
        <x:v>505</x:v>
      </x:c>
      <x:c r="B59" s="3" t="s">
        <x:v>321</x:v>
      </x:c>
      <x:c r="C59" s="3" t="s">
        <x:v>322</x:v>
      </x:c>
      <x:c r="D59" s="3" t="s">
        <x:v>323</x:v>
      </x:c>
      <x:c r="E59" s="3" t="s">
        <x:v>249</x:v>
      </x:c>
      <x:c r="F59" s="3" t="s">
        <x:v>149</x:v>
      </x:c>
      <x:c r="G59" s="3" t="s">
        <x:v>436</x:v>
      </x:c>
      <x:c r="H59" s="3" t="s">
        <x:v>301</x:v>
      </x:c>
      <x:c r="I59" s="3" t="s">
        <x:v>302</x:v>
      </x:c>
      <x:c r="J59" s="3" t="s">
        <x:v>303</x:v>
      </x:c>
      <x:c r="K59" s="3" t="s">
        <x:v>104</x:v>
      </x:c>
      <x:c r="L59" s="3" t="s">
        <x:v>325</x:v>
      </x:c>
      <x:c r="M59" s="3" t="s">
        <x:v>326</x:v>
      </x:c>
      <x:c r="N59" s="3" t="s">
        <x:v>131</x:v>
      </x:c>
      <x:c r="O59" s="3" t="s">
        <x:v>327</x:v>
      </x:c>
      <x:c r="P59" s="3" t="s">
        <x:v>328</x:v>
      </x:c>
      <x:c r="Q59" s="3" t="s">
        <x:v>329</x:v>
      </x:c>
      <x:c r="R59" s="3" t="s">
        <x:v>391</x:v>
      </x:c>
      <x:c r="S59" s="3" t="s">
        <x:v>135</x:v>
      </x:c>
      <x:c r="T59" s="3" t="s">
        <x:v>135</x:v>
      </x:c>
      <x:c r="U59" s="3" t="s">
        <x:v>392</x:v>
      </x:c>
      <x:c r="V59" s="3" t="s">
        <x:v>312</x:v>
      </x:c>
      <x:c r="W59" s="3" t="s">
        <x:v>351</x:v>
      </x:c>
      <x:c r="X59" s="3" t="s">
        <x:v>314</x:v>
      </x:c>
      <x:c r="Y59" s="3" t="s">
        <x:v>352</x:v>
      </x:c>
      <x:c r="Z59" s="3" t="s">
        <x:v>393</x:v>
      </x:c>
      <x:c r="AA59" s="3" t="s">
        <x:v>394</x:v>
      </x:c>
      <x:c r="AB59" s="7" t="n">
        <x:v>46247.4465277778</x:v>
      </x:c>
      <x:c r="AC59" s="7" t="n">
        <x:v>46247.4479166667</x:v>
      </x:c>
      <x:c r="AD59" s="7" t="n">
        <x:v>46247.4534722222</x:v>
      </x:c>
      <x:c r="AE59" s="7" t="n">
        <x:v>46247.475</x:v>
      </x:c>
      <x:c r="AF59" s="7" t="n">
        <x:v>46247.5298611111</x:v>
      </x:c>
      <x:c r="AG59" s="3" t="n">
        <x:v>41</x:v>
      </x:c>
      <x:c r="AH59" s="3" t="n">
        <x:v>76</x:v>
      </x:c>
      <x:c r="AI59" s="3" t="s">
        <x:v>135</x:v>
      </x:c>
      <x:c r="AJ59" s="3" t="s">
        <x:v>111</x:v>
      </x:c>
      <x:c r="AK59" s="3" t="n">
        <x:v>180</x:v>
      </x:c>
      <x:c r="AL59" s="3" t="n">
        <x:v>0</x:v>
      </x:c>
      <x:c r="AM59" s="8" t="n">
        <x:v>0.65</x:v>
      </x:c>
      <x:c r="AN59" s="3" t="n">
        <x:v>0</x:v>
      </x:c>
      <x:c r="AO59" s="3" t="s">
        <x:v>14</x:v>
      </x:c>
      <x:c r="AP59" s="3" t="s">
        <x:v>318</x:v>
      </x:c>
      <x:c r="AQ59" s="3" t="s">
        <x:v>336</x:v>
      </x:c>
      <x:c r="AR59" s="9" t="n">
        <x:v>991.7</x:v>
      </x:c>
      <x:c r="AS59" s="3" t="s">
        <x:v>121</x:v>
      </x:c>
      <x:c r="AT59" s="7" t="n">
        <x:v>46301.9166666667</x:v>
      </x:c>
    </x:row>
    <x:row r="60" ht="31.299999237060547" hidden="0">
      <x:c r="A60" s="3" t="s">
        <x:v>506</x:v>
      </x:c>
      <x:c r="B60" s="3" t="s">
        <x:v>233</x:v>
      </x:c>
      <x:c r="C60" s="3" t="s">
        <x:v>234</x:v>
      </x:c>
      <x:c r="D60" s="3" t="s">
        <x:v>235</x:v>
      </x:c>
      <x:c r="E60" s="3" t="s">
        <x:v>249</x:v>
      </x:c>
      <x:c r="F60" s="3" t="s">
        <x:v>99</x:v>
      </x:c>
      <x:c r="G60" s="3" t="s">
        <x:v>507</x:v>
      </x:c>
      <x:c r="H60" s="3" t="s">
        <x:v>101</x:v>
      </x:c>
      <x:c r="I60" s="3" t="s">
        <x:v>102</x:v>
      </x:c>
      <x:c r="J60" s="3" t="s">
        <x:v>103</x:v>
      </x:c>
      <x:c r="K60" s="3" t="s">
        <x:v>104</x:v>
      </x:c>
      <x:c r="L60" s="3" t="s">
        <x:v>237</x:v>
      </x:c>
      <x:c r="M60" s="3" t="s">
        <x:v>172</x:v>
      </x:c>
      <x:c r="N60" s="3" t="s">
        <x:v>238</x:v>
      </x:c>
      <x:c r="O60" s="3" t="s">
        <x:v>239</x:v>
      </x:c>
      <x:c r="P60" s="3" t="s">
        <x:v>240</x:v>
      </x:c>
      <x:c r="Q60" s="3" t="s">
        <x:v>276</x:v>
      </x:c>
      <x:c r="R60" s="3" t="s">
        <x:v>373</x:v>
      </x:c>
      <x:c r="S60" s="3" t="s">
        <x:v>135</x:v>
      </x:c>
      <x:c r="T60" s="3" t="s">
        <x:v>111</x:v>
      </x:c>
      <x:c r="U60" s="3" t="s">
        <x:v>374</x:v>
      </x:c>
      <x:c r="V60" s="3" t="s">
        <x:v>178</x:v>
      </x:c>
      <x:c r="W60" s="3" t="s">
        <x:v>355</x:v>
      </x:c>
      <x:c r="X60" s="3" t="s">
        <x:v>180</x:v>
      </x:c>
      <x:c r="Y60" s="3" t="s">
        <x:v>356</x:v>
      </x:c>
      <x:c r="Z60" s="3" t="s">
        <x:v>375</x:v>
      </x:c>
      <x:c r="AA60" s="3" t="s">
        <x:v>118</x:v>
      </x:c>
      <x:c r="AB60" s="7" t="n">
        <x:v>46247.4611111111</x:v>
      </x:c>
      <x:c r="AC60" s="7" t="n">
        <x:v>46247.4625</x:v>
      </x:c>
      <x:c r="AD60" s="7" t="n">
        <x:v>46247.4638888889</x:v>
      </x:c>
      <x:c r="AE60" s="7" t="n">
        <x:v>46247.4763888889</x:v>
      </x:c>
      <x:c r="AF60" s="7" t="n">
        <x:v>46247.5229166667</x:v>
      </x:c>
      <x:c r="AG60" s="3" t="n">
        <x:v>22</x:v>
      </x:c>
      <x:c r="AH60" s="3" t="n">
        <x:v>60</x:v>
      </x:c>
      <x:c r="AI60" s="3" t="s">
        <x:v>135</x:v>
      </x:c>
      <x:c r="AJ60" s="3" t="s">
        <x:v>111</x:v>
      </x:c>
      <x:c r="AK60" s="3" t="n">
        <x:v>150</x:v>
      </x:c>
      <x:c r="AL60" s="3" t="n">
        <x:v>0</x:v>
      </x:c>
      <x:c r="AM60" s="8" t="n">
        <x:v>0.5467</x:v>
      </x:c>
      <x:c r="AN60" s="3" t="n">
        <x:v>0</x:v>
      </x:c>
      <x:c r="AO60" s="3" t="s">
        <x:v>9</x:v>
      </x:c>
      <x:c r="AP60" s="3" t="s">
        <x:v>335</x:v>
      </x:c>
      <x:c r="AQ60" s="3" t="s">
        <x:v>361</x:v>
      </x:c>
      <x:c r="AR60" s="9" t="n">
        <x:v>791</x:v>
      </x:c>
      <x:c r="AS60" s="3" t="s">
        <x:v>121</x:v>
      </x:c>
      <x:c r="AT60" s="7" t="n">
        <x:v>46301.9166666667</x:v>
      </x:c>
    </x:row>
    <x:row r="61" ht="31.299999237060547" hidden="0">
      <x:c r="A61" s="3" t="s">
        <x:v>508</x:v>
      </x:c>
      <x:c r="B61" s="3" t="s">
        <x:v>233</x:v>
      </x:c>
      <x:c r="C61" s="3" t="s">
        <x:v>234</x:v>
      </x:c>
      <x:c r="D61" s="3" t="s">
        <x:v>235</x:v>
      </x:c>
      <x:c r="E61" s="3" t="s">
        <x:v>249</x:v>
      </x:c>
      <x:c r="F61" s="3" t="s">
        <x:v>127</x:v>
      </x:c>
      <x:c r="G61" s="3" t="s">
        <x:v>447</x:v>
      </x:c>
      <x:c r="H61" s="3" t="s">
        <x:v>343</x:v>
      </x:c>
      <x:c r="I61" s="3" t="s">
        <x:v>102</x:v>
      </x:c>
      <x:c r="J61" s="3" t="s">
        <x:v>103</x:v>
      </x:c>
      <x:c r="K61" s="3" t="s">
        <x:v>104</x:v>
      </x:c>
      <x:c r="L61" s="3" t="s">
        <x:v>237</x:v>
      </x:c>
      <x:c r="M61" s="3" t="s">
        <x:v>172</x:v>
      </x:c>
      <x:c r="N61" s="3" t="s">
        <x:v>238</x:v>
      </x:c>
      <x:c r="O61" s="3" t="s">
        <x:v>239</x:v>
      </x:c>
      <x:c r="P61" s="3" t="s">
        <x:v>240</x:v>
      </x:c>
      <x:c r="Q61" s="3" t="s">
        <x:v>276</x:v>
      </x:c>
      <x:c r="R61" s="3" t="s">
        <x:v>344</x:v>
      </x:c>
      <x:c r="S61" s="3" t="s">
        <x:v>111</x:v>
      </x:c>
      <x:c r="T61" s="3" t="s">
        <x:v>111</x:v>
      </x:c>
      <x:c r="U61" s="3" t="s">
        <x:v>345</x:v>
      </x:c>
      <x:c r="V61" s="3" t="s">
        <x:v>178</x:v>
      </x:c>
      <x:c r="W61" s="3" t="s">
        <x:v>355</x:v>
      </x:c>
      <x:c r="X61" s="3" t="s">
        <x:v>180</x:v>
      </x:c>
      <x:c r="Y61" s="3" t="s">
        <x:v>356</x:v>
      </x:c>
      <x:c r="Z61" s="3" t="s">
        <x:v>346</x:v>
      </x:c>
      <x:c r="AA61" s="3" t="s">
        <x:v>118</x:v>
      </x:c>
      <x:c r="AB61" s="7" t="n">
        <x:v>46247.4847222222</x:v>
      </x:c>
      <x:c r="AC61" s="7" t="n">
        <x:v>46247.4875</x:v>
      </x:c>
      <x:c r="AD61" s="7" t="n">
        <x:v>46247.4930555556</x:v>
      </x:c>
      <x:c r="AE61" s="7" t="n">
        <x:v>46247.5104166667</x:v>
      </x:c>
      <x:c r="AF61" s="7" t="n">
        <x:v>46247.5423611111</x:v>
      </x:c>
      <x:c r="AG61" s="3" t="n">
        <x:v>37</x:v>
      </x:c>
      <x:c r="AH61" s="3" t="n">
        <x:v>42</x:v>
      </x:c>
      <x:c r="AI61" s="3" t="s">
        <x:v>135</x:v>
      </x:c>
      <x:c r="AJ61" s="3" t="s">
        <x:v>111</x:v>
      </x:c>
      <x:c r="AK61" s="3" t="n">
        <x:v>120</x:v>
      </x:c>
      <x:c r="AL61" s="3" t="n">
        <x:v>0</x:v>
      </x:c>
      <x:c r="AM61" s="8" t="n">
        <x:v>0.6583</x:v>
      </x:c>
      <x:c r="AN61" s="3" t="n">
        <x:v>0</x:v>
      </x:c>
      <x:c r="AO61" s="3" t="s">
        <x:v>14</x:v>
      </x:c>
      <x:c r="AP61" s="3" t="s">
        <x:v>318</x:v>
      </x:c>
      <x:c r="AQ61" s="3" t="s">
        <x:v>340</x:v>
      </x:c>
      <x:c r="AR61" s="9" t="n">
        <x:v>728.9</x:v>
      </x:c>
      <x:c r="AS61" s="3" t="s">
        <x:v>121</x:v>
      </x:c>
      <x:c r="AT61" s="7" t="n">
        <x:v>46301.9166666667</x:v>
      </x:c>
    </x:row>
    <x:row r="62" ht="31.299999237060547" hidden="0">
      <x:c r="A62" s="3" t="s">
        <x:v>509</x:v>
      </x:c>
      <x:c r="B62" s="3" t="s">
        <x:v>222</x:v>
      </x:c>
      <x:c r="C62" s="3" t="s">
        <x:v>223</x:v>
      </x:c>
      <x:c r="D62" s="3" t="s">
        <x:v>224</x:v>
      </x:c>
      <x:c r="E62" s="3" t="s">
        <x:v>249</x:v>
      </x:c>
      <x:c r="F62" s="3" t="s">
        <x:v>99</x:v>
      </x:c>
      <x:c r="G62" s="3" t="s">
        <x:v>413</x:v>
      </x:c>
      <x:c r="H62" s="3" t="s">
        <x:v>101</x:v>
      </x:c>
      <x:c r="I62" s="3" t="s">
        <x:v>102</x:v>
      </x:c>
      <x:c r="J62" s="3" t="s">
        <x:v>103</x:v>
      </x:c>
      <x:c r="K62" s="3" t="s">
        <x:v>104</x:v>
      </x:c>
      <x:c r="L62" s="3" t="s">
        <x:v>226</x:v>
      </x:c>
      <x:c r="M62" s="3" t="s">
        <x:v>227</x:v>
      </x:c>
      <x:c r="N62" s="3" t="s">
        <x:v>228</x:v>
      </x:c>
      <x:c r="O62" s="3" t="s">
        <x:v>229</x:v>
      </x:c>
      <x:c r="P62" s="3" t="s">
        <x:v>230</x:v>
      </x:c>
      <x:c r="Q62" s="3" t="s">
        <x:v>274</x:v>
      </x:c>
      <x:c r="R62" s="3" t="s">
        <x:v>330</x:v>
      </x:c>
      <x:c r="S62" s="3" t="s">
        <x:v>135</x:v>
      </x:c>
      <x:c r="T62" s="3" t="s">
        <x:v>111</x:v>
      </x:c>
      <x:c r="U62" s="3" t="s">
        <x:v>331</x:v>
      </x:c>
      <x:c r="V62" s="3" t="s">
        <x:v>178</x:v>
      </x:c>
      <x:c r="W62" s="3" t="s">
        <x:v>332</x:v>
      </x:c>
      <x:c r="X62" s="3" t="s">
        <x:v>180</x:v>
      </x:c>
      <x:c r="Y62" s="3" t="s">
        <x:v>333</x:v>
      </x:c>
      <x:c r="Z62" s="3" t="s">
        <x:v>334</x:v>
      </x:c>
      <x:c r="AA62" s="3" t="s">
        <x:v>118</x:v>
      </x:c>
      <x:c r="AB62" s="7" t="n">
        <x:v>46247.54375</x:v>
      </x:c>
      <x:c r="AC62" s="7" t="n">
        <x:v>46247.5472222222</x:v>
      </x:c>
      <x:c r="AD62" s="7" t="n">
        <x:v>46247.5486111111</x:v>
      </x:c>
      <x:c r="AE62" s="7" t="n">
        <x:v>46247.5659722222</x:v>
      </x:c>
      <x:c r="AF62" s="7" t="n">
        <x:v>46247.6034722222</x:v>
      </x:c>
      <x:c r="AG62" s="3" t="n">
        <x:v>32</x:v>
      </x:c>
      <x:c r="AH62" s="3" t="n">
        <x:v>51</x:v>
      </x:c>
      <x:c r="AI62" s="3" t="s">
        <x:v>135</x:v>
      </x:c>
      <x:c r="AJ62" s="3" t="s">
        <x:v>135</x:v>
      </x:c>
      <x:c r="AK62" s="3" t="n">
        <x:v>180</x:v>
      </x:c>
      <x:c r="AL62" s="3" t="n">
        <x:v>0</x:v>
      </x:c>
      <x:c r="AM62" s="8" t="n">
        <x:v>0.4611</x:v>
      </x:c>
      <x:c r="AN62" s="3" t="n">
        <x:v>0</x:v>
      </x:c>
      <x:c r="AO62" s="3" t="s">
        <x:v>9</x:v>
      </x:c>
      <x:c r="AP62" s="3" t="s">
        <x:v>142</x:v>
      </x:c>
      <x:c r="AQ62" s="3" t="s">
        <x:v>452</x:v>
      </x:c>
      <x:c r="AR62" s="9" t="n">
        <x:v>771.2</x:v>
      </x:c>
      <x:c r="AS62" s="3" t="s">
        <x:v>144</x:v>
      </x:c>
      <x:c r="AT62" s="7" t="n">
        <x:v>46301.9166666667</x:v>
      </x:c>
    </x:row>
    <x:row r="63" ht="31.299999237060547" hidden="0">
      <x:c r="A63" s="3" t="s">
        <x:v>510</x:v>
      </x:c>
      <x:c r="B63" s="3" t="s">
        <x:v>146</x:v>
      </x:c>
      <x:c r="C63" s="3" t="s">
        <x:v>147</x:v>
      </x:c>
      <x:c r="D63" s="3" t="s">
        <x:v>148</x:v>
      </x:c>
      <x:c r="E63" s="3" t="s">
        <x:v>249</x:v>
      </x:c>
      <x:c r="F63" s="3" t="s">
        <x:v>127</x:v>
      </x:c>
      <x:c r="G63" s="3" t="s">
        <x:v>507</x:v>
      </x:c>
      <x:c r="H63" s="3" t="s">
        <x:v>101</x:v>
      </x:c>
      <x:c r="I63" s="3" t="s">
        <x:v>102</x:v>
      </x:c>
      <x:c r="J63" s="3" t="s">
        <x:v>103</x:v>
      </x:c>
      <x:c r="K63" s="3" t="s">
        <x:v>104</x:v>
      </x:c>
      <x:c r="L63" s="3" t="s">
        <x:v>151</x:v>
      </x:c>
      <x:c r="M63" s="3" t="s">
        <x:v>152</x:v>
      </x:c>
      <x:c r="N63" s="3" t="s">
        <x:v>153</x:v>
      </x:c>
      <x:c r="O63" s="3" t="s">
        <x:v>154</x:v>
      </x:c>
      <x:c r="P63" s="3" t="s">
        <x:v>155</x:v>
      </x:c>
      <x:c r="Q63" s="3" t="s">
        <x:v>270</x:v>
      </x:c>
      <x:c r="R63" s="3" t="s">
        <x:v>373</x:v>
      </x:c>
      <x:c r="S63" s="3" t="s">
        <x:v>135</x:v>
      </x:c>
      <x:c r="T63" s="3" t="s">
        <x:v>111</x:v>
      </x:c>
      <x:c r="U63" s="3" t="s">
        <x:v>374</x:v>
      </x:c>
      <x:c r="V63" s="3" t="s">
        <x:v>178</x:v>
      </x:c>
      <x:c r="W63" s="3" t="s">
        <x:v>355</x:v>
      </x:c>
      <x:c r="X63" s="3" t="s">
        <x:v>180</x:v>
      </x:c>
      <x:c r="Y63" s="3" t="s">
        <x:v>356</x:v>
      </x:c>
      <x:c r="Z63" s="3" t="s">
        <x:v>375</x:v>
      </x:c>
      <x:c r="AA63" s="3" t="s">
        <x:v>118</x:v>
      </x:c>
      <x:c r="AB63" s="7" t="n">
        <x:v>46247.5486111111</x:v>
      </x:c>
      <x:c r="AC63" s="7" t="n">
        <x:v>46247.55</x:v>
      </x:c>
      <x:c r="AD63" s="7" t="n">
        <x:v>46247.5534722222</x:v>
      </x:c>
      <x:c r="AE63" s="7" t="n">
        <x:v>46247.5784722222</x:v>
      </x:c>
      <x:c r="AF63" s="7" t="n">
        <x:v>46247.6159722222</x:v>
      </x:c>
      <x:c r="AG63" s="3" t="n">
        <x:v>43</x:v>
      </x:c>
      <x:c r="AH63" s="3" t="n">
        <x:v>51</x:v>
      </x:c>
      <x:c r="AI63" s="3" t="s">
        <x:v>135</x:v>
      </x:c>
      <x:c r="AJ63" s="3" t="s">
        <x:v>135</x:v>
      </x:c>
      <x:c r="AK63" s="3" t="n">
        <x:v>180</x:v>
      </x:c>
      <x:c r="AL63" s="3" t="n">
        <x:v>0</x:v>
      </x:c>
      <x:c r="AM63" s="8" t="n">
        <x:v>0.5222</x:v>
      </x:c>
      <x:c r="AN63" s="3" t="n">
        <x:v>0</x:v>
      </x:c>
      <x:c r="AO63" s="3" t="s">
        <x:v>9</x:v>
      </x:c>
      <x:c r="AP63" s="3" t="s">
        <x:v>142</x:v>
      </x:c>
      <x:c r="AQ63" s="3" t="s">
        <x:v>459</x:v>
      </x:c>
      <x:c r="AR63" s="9" t="n">
        <x:v>820.7</x:v>
      </x:c>
      <x:c r="AS63" s="3" t="s">
        <x:v>144</x:v>
      </x:c>
      <x:c r="AT63" s="7" t="n">
        <x:v>46301.9166666667</x:v>
      </x:c>
    </x:row>
    <x:row r="64" ht="31.299999237060547" hidden="0">
      <x:c r="A64" s="3" t="s">
        <x:v>511</x:v>
      </x:c>
      <x:c r="B64" s="3" t="s">
        <x:v>297</x:v>
      </x:c>
      <x:c r="C64" s="3" t="s">
        <x:v>298</x:v>
      </x:c>
      <x:c r="D64" s="3" t="s">
        <x:v>299</x:v>
      </x:c>
      <x:c r="E64" s="3" t="s">
        <x:v>249</x:v>
      </x:c>
      <x:c r="F64" s="3" t="s">
        <x:v>99</x:v>
      </x:c>
      <x:c r="G64" s="3" t="s">
        <x:v>512</x:v>
      </x:c>
      <x:c r="H64" s="3" t="s">
        <x:v>301</x:v>
      </x:c>
      <x:c r="I64" s="3" t="s">
        <x:v>302</x:v>
      </x:c>
      <x:c r="J64" s="3" t="s">
        <x:v>303</x:v>
      </x:c>
      <x:c r="K64" s="3" t="s">
        <x:v>104</x:v>
      </x:c>
      <x:c r="L64" s="3" t="s">
        <x:v>304</x:v>
      </x:c>
      <x:c r="M64" s="3" t="s">
        <x:v>305</x:v>
      </x:c>
      <x:c r="N64" s="3" t="s">
        <x:v>306</x:v>
      </x:c>
      <x:c r="O64" s="3" t="s">
        <x:v>307</x:v>
      </x:c>
      <x:c r="P64" s="3" t="s">
        <x:v>308</x:v>
      </x:c>
      <x:c r="Q64" s="3" t="s">
        <x:v>309</x:v>
      </x:c>
      <x:c r="R64" s="3" t="s">
        <x:v>214</x:v>
      </x:c>
      <x:c r="S64" s="3" t="s">
        <x:v>135</x:v>
      </x:c>
      <x:c r="T64" s="3" t="s">
        <x:v>111</x:v>
      </x:c>
      <x:c r="U64" s="3" t="s">
        <x:v>215</x:v>
      </x:c>
      <x:c r="V64" s="3" t="s">
        <x:v>216</x:v>
      </x:c>
      <x:c r="W64" s="3" t="s">
        <x:v>429</x:v>
      </x:c>
      <x:c r="X64" s="3" t="s">
        <x:v>430</x:v>
      </x:c>
      <x:c r="Y64" s="3" t="s">
        <x:v>431</x:v>
      </x:c>
      <x:c r="Z64" s="3" t="s">
        <x:v>219</x:v>
      </x:c>
      <x:c r="AA64" s="3" t="s">
        <x:v>118</x:v>
      </x:c>
      <x:c r="AB64" s="7" t="n">
        <x:v>46247.55625</x:v>
      </x:c>
      <x:c r="AC64" s="7" t="n">
        <x:v>46247.5590277778</x:v>
      </x:c>
      <x:c r="AD64" s="7" t="n">
        <x:v>46247.5618055556</x:v>
      </x:c>
      <x:c r="AE64" s="7" t="n">
        <x:v>46247.5798611111</x:v>
      </x:c>
      <x:c r="AF64" s="7" t="n">
        <x:v>46247.6118055556</x:v>
      </x:c>
      <x:c r="AG64" s="3" t="n">
        <x:v>34</x:v>
      </x:c>
      <x:c r="AH64" s="3" t="n">
        <x:v>36</x:v>
      </x:c>
      <x:c r="AI64" s="3" t="s">
        <x:v>135</x:v>
      </x:c>
      <x:c r="AJ64" s="3" t="s">
        <x:v>111</x:v>
      </x:c>
      <x:c r="AK64" s="3" t="n">
        <x:v>180</x:v>
      </x:c>
      <x:c r="AL64" s="3" t="n">
        <x:v>0</x:v>
      </x:c>
      <x:c r="AM64" s="8" t="n">
        <x:v>0.3889</x:v>
      </x:c>
      <x:c r="AN64" s="3" t="n">
        <x:v>0</x:v>
      </x:c>
      <x:c r="AO64" s="3" t="s">
        <x:v>9</x:v>
      </x:c>
      <x:c r="AP64" s="3" t="s">
        <x:v>335</x:v>
      </x:c>
      <x:c r="AQ64" s="3" t="s">
        <x:v>395</x:v>
      </x:c>
      <x:c r="AR64" s="9" t="n">
        <x:v>1052.2</x:v>
      </x:c>
      <x:c r="AS64" s="3" t="s">
        <x:v>121</x:v>
      </x:c>
      <x:c r="AT64" s="7" t="n">
        <x:v>46301.9166666667</x:v>
      </x:c>
    </x:row>
    <x:row r="65" ht="31.299999237060547" hidden="0">
      <x:c r="A65" s="3" t="s">
        <x:v>513</x:v>
      </x:c>
      <x:c r="B65" s="3" t="s">
        <x:v>433</x:v>
      </x:c>
      <x:c r="C65" s="3" t="s">
        <x:v>434</x:v>
      </x:c>
      <x:c r="D65" s="3" t="s">
        <x:v>435</x:v>
      </x:c>
      <x:c r="E65" s="3" t="s">
        <x:v>249</x:v>
      </x:c>
      <x:c r="F65" s="3" t="s">
        <x:v>169</x:v>
      </x:c>
      <x:c r="G65" s="3" t="s">
        <x:v>300</x:v>
      </x:c>
      <x:c r="H65" s="3" t="s">
        <x:v>301</x:v>
      </x:c>
      <x:c r="I65" s="3" t="s">
        <x:v>302</x:v>
      </x:c>
      <x:c r="J65" s="3" t="s">
        <x:v>303</x:v>
      </x:c>
      <x:c r="K65" s="3" t="s">
        <x:v>104</x:v>
      </x:c>
      <x:c r="L65" s="3" t="s">
        <x:v>437</x:v>
      </x:c>
      <x:c r="M65" s="3" t="s">
        <x:v>106</x:v>
      </x:c>
      <x:c r="N65" s="3" t="s">
        <x:v>438</x:v>
      </x:c>
      <x:c r="O65" s="3" t="s">
        <x:v>439</x:v>
      </x:c>
      <x:c r="P65" s="3" t="s">
        <x:v>440</x:v>
      </x:c>
      <x:c r="Q65" s="3" t="s">
        <x:v>441</x:v>
      </x:c>
      <x:c r="R65" s="3" t="s">
        <x:v>310</x:v>
      </x:c>
      <x:c r="S65" s="3" t="s">
        <x:v>135</x:v>
      </x:c>
      <x:c r="T65" s="3" t="s">
        <x:v>111</x:v>
      </x:c>
      <x:c r="U65" s="3" t="s">
        <x:v>311</x:v>
      </x:c>
      <x:c r="V65" s="3" t="s">
        <x:v>312</x:v>
      </x:c>
      <x:c r="W65" s="3" t="s">
        <x:v>313</x:v>
      </x:c>
      <x:c r="X65" s="3" t="s">
        <x:v>314</x:v>
      </x:c>
      <x:c r="Y65" s="3" t="s">
        <x:v>315</x:v>
      </x:c>
      <x:c r="Z65" s="3" t="s">
        <x:v>316</x:v>
      </x:c>
      <x:c r="AA65" s="3" t="s">
        <x:v>317</x:v>
      </x:c>
      <x:c r="AB65" s="7" t="n">
        <x:v>46247.5826388889</x:v>
      </x:c>
      <x:c r="AC65" s="7" t="n">
        <x:v>46247.5840277778</x:v>
      </x:c>
      <x:c r="AD65" s="7" t="n">
        <x:v>46247.5861111111</x:v>
      </x:c>
      <x:c r="AE65" s="7" t="n">
        <x:v>46247.6166666667</x:v>
      </x:c>
      <x:c r="AF65" s="7" t="n">
        <x:v>46247.64375</x:v>
      </x:c>
      <x:c r="AG65" s="3" t="n">
        <x:v>49</x:v>
      </x:c>
      <x:c r="AH65" s="3" t="n">
        <x:v>33</x:v>
      </x:c>
      <x:c r="AI65" s="3" t="s">
        <x:v>135</x:v>
      </x:c>
      <x:c r="AJ65" s="3" t="s">
        <x:v>135</x:v>
      </x:c>
      <x:c r="AK65" s="3" t="n">
        <x:v>180</x:v>
      </x:c>
      <x:c r="AL65" s="3" t="n">
        <x:v>0</x:v>
      </x:c>
      <x:c r="AM65" s="8" t="n">
        <x:v>0.4556</x:v>
      </x:c>
      <x:c r="AN65" s="3" t="n">
        <x:v>0</x:v>
      </x:c>
      <x:c r="AO65" s="3" t="s">
        <x:v>9</x:v>
      </x:c>
      <x:c r="AP65" s="3" t="s">
        <x:v>142</x:v>
      </x:c>
      <x:c r="AQ65" s="3" t="s">
        <x:v>422</x:v>
      </x:c>
      <x:c r="AR65" s="9" t="n">
        <x:v>718.1</x:v>
      </x:c>
      <x:c r="AS65" s="3" t="s">
        <x:v>121</x:v>
      </x:c>
      <x:c r="AT65" s="7" t="n">
        <x:v>46301.9166666667</x:v>
      </x:c>
    </x:row>
    <x:row r="66" ht="31.299999237060547" hidden="0">
      <x:c r="A66" s="3" t="s">
        <x:v>514</x:v>
      </x:c>
      <x:c r="B66" s="3" t="s">
        <x:v>321</x:v>
      </x:c>
      <x:c r="C66" s="3" t="s">
        <x:v>322</x:v>
      </x:c>
      <x:c r="D66" s="3" t="s">
        <x:v>323</x:v>
      </x:c>
      <x:c r="E66" s="3" t="s">
        <x:v>249</x:v>
      </x:c>
      <x:c r="F66" s="3" t="s">
        <x:v>99</x:v>
      </x:c>
      <x:c r="G66" s="3" t="s">
        <x:v>469</x:v>
      </x:c>
      <x:c r="H66" s="3" t="s">
        <x:v>301</x:v>
      </x:c>
      <x:c r="I66" s="3" t="s">
        <x:v>302</x:v>
      </x:c>
      <x:c r="J66" s="3" t="s">
        <x:v>303</x:v>
      </x:c>
      <x:c r="K66" s="3" t="s">
        <x:v>104</x:v>
      </x:c>
      <x:c r="L66" s="3" t="s">
        <x:v>325</x:v>
      </x:c>
      <x:c r="M66" s="3" t="s">
        <x:v>326</x:v>
      </x:c>
      <x:c r="N66" s="3" t="s">
        <x:v>131</x:v>
      </x:c>
      <x:c r="O66" s="3" t="s">
        <x:v>327</x:v>
      </x:c>
      <x:c r="P66" s="3" t="s">
        <x:v>328</x:v>
      </x:c>
      <x:c r="Q66" s="3" t="s">
        <x:v>329</x:v>
      </x:c>
      <x:c r="R66" s="3" t="s">
        <x:v>110</x:v>
      </x:c>
      <x:c r="S66" s="3" t="s">
        <x:v>111</x:v>
      </x:c>
      <x:c r="T66" s="3" t="s">
        <x:v>111</x:v>
      </x:c>
      <x:c r="U66" s="3" t="s">
        <x:v>112</x:v>
      </x:c>
      <x:c r="V66" s="3" t="s">
        <x:v>113</x:v>
      </x:c>
      <x:c r="W66" s="3" t="s">
        <x:v>419</x:v>
      </x:c>
      <x:c r="X66" s="3" t="s">
        <x:v>115</x:v>
      </x:c>
      <x:c r="Y66" s="3" t="s">
        <x:v>420</x:v>
      </x:c>
      <x:c r="Z66" s="3" t="s">
        <x:v>117</x:v>
      </x:c>
      <x:c r="AA66" s="3" t="s">
        <x:v>118</x:v>
      </x:c>
      <x:c r="AB66" s="7" t="n">
        <x:v>46247.6284722222</x:v>
      </x:c>
      <x:c r="AC66" s="7" t="n">
        <x:v>46247.6298611111</x:v>
      </x:c>
      <x:c r="AD66" s="7" t="n">
        <x:v>46247.6354166667</x:v>
      </x:c>
      <x:c r="AE66" s="7" t="n">
        <x:v>46247.65625</x:v>
      </x:c>
      <x:c r="AF66" s="7" t="n">
        <x:v>46247.7083333333</x:v>
      </x:c>
      <x:c r="AG66" s="3" t="n">
        <x:v>40</x:v>
      </x:c>
      <x:c r="AH66" s="3" t="n">
        <x:v>68</x:v>
      </x:c>
      <x:c r="AI66" s="3" t="s">
        <x:v>135</x:v>
      </x:c>
      <x:c r="AJ66" s="3" t="s">
        <x:v>111</x:v>
      </x:c>
      <x:c r="AK66" s="3" t="n">
        <x:v>120</x:v>
      </x:c>
      <x:c r="AL66" s="3" t="n">
        <x:v>0</x:v>
      </x:c>
      <x:c r="AM66" s="8" t="n">
        <x:v>0.9</x:v>
      </x:c>
      <x:c r="AN66" s="3" t="n">
        <x:v>1</x:v>
      </x:c>
      <x:c r="AO66" s="3" t="s">
        <x:v>19</x:v>
      </x:c>
      <x:c r="AP66" s="3" t="s">
        <x:v>515</x:v>
      </x:c>
      <x:c r="AQ66" s="3" t="s">
        <x:v>516</x:v>
      </x:c>
      <x:c r="AR66" s="9" t="n">
        <x:v>929.6</x:v>
      </x:c>
      <x:c r="AS66" s="3" t="s">
        <x:v>185</x:v>
      </x:c>
      <x:c r="AT66" s="7" t="n">
        <x:v>46301.9166666667</x:v>
      </x:c>
    </x:row>
    <x:row r="67" ht="31.299999237060547" hidden="0">
      <x:c r="A67" s="3" t="s">
        <x:v>517</x:v>
      </x:c>
      <x:c r="B67" s="3" t="s">
        <x:v>166</x:v>
      </x:c>
      <x:c r="C67" s="3" t="s">
        <x:v>167</x:v>
      </x:c>
      <x:c r="D67" s="3" t="s">
        <x:v>168</x:v>
      </x:c>
      <x:c r="E67" s="3" t="s">
        <x:v>249</x:v>
      </x:c>
      <x:c r="F67" s="3" t="s">
        <x:v>127</x:v>
      </x:c>
      <x:c r="G67" s="3" t="s">
        <x:v>498</x:v>
      </x:c>
      <x:c r="H67" s="3" t="s">
        <x:v>101</x:v>
      </x:c>
      <x:c r="I67" s="3" t="s">
        <x:v>102</x:v>
      </x:c>
      <x:c r="J67" s="3" t="s">
        <x:v>103</x:v>
      </x:c>
      <x:c r="K67" s="3" t="s">
        <x:v>104</x:v>
      </x:c>
      <x:c r="L67" s="3" t="s">
        <x:v>171</x:v>
      </x:c>
      <x:c r="M67" s="3" t="s">
        <x:v>172</x:v>
      </x:c>
      <x:c r="N67" s="3" t="s">
        <x:v>173</x:v>
      </x:c>
      <x:c r="O67" s="3" t="s">
        <x:v>174</x:v>
      </x:c>
      <x:c r="P67" s="3" t="s">
        <x:v>175</x:v>
      </x:c>
      <x:c r="Q67" s="3" t="s">
        <x:v>271</x:v>
      </x:c>
      <x:c r="R67" s="3" t="s">
        <x:v>310</x:v>
      </x:c>
      <x:c r="S67" s="3" t="s">
        <x:v>135</x:v>
      </x:c>
      <x:c r="T67" s="3" t="s">
        <x:v>111</x:v>
      </x:c>
      <x:c r="U67" s="3" t="s">
        <x:v>311</x:v>
      </x:c>
      <x:c r="V67" s="3" t="s">
        <x:v>312</x:v>
      </x:c>
      <x:c r="W67" s="3" t="s">
        <x:v>351</x:v>
      </x:c>
      <x:c r="X67" s="3" t="s">
        <x:v>314</x:v>
      </x:c>
      <x:c r="Y67" s="3" t="s">
        <x:v>352</x:v>
      </x:c>
      <x:c r="Z67" s="3" t="s">
        <x:v>316</x:v>
      </x:c>
      <x:c r="AA67" s="3" t="s">
        <x:v>317</x:v>
      </x:c>
      <x:c r="AB67" s="7" t="n">
        <x:v>46247.6409722222</x:v>
      </x:c>
      <x:c r="AC67" s="7" t="n">
        <x:v>46247.6430555556</x:v>
      </x:c>
      <x:c r="AD67" s="7" t="n">
        <x:v>46247.6458333333</x:v>
      </x:c>
      <x:c r="AE67" s="7" t="n">
        <x:v>46247.6756944444</x:v>
      </x:c>
      <x:c r="AF67" s="7" t="n">
        <x:v>46247.7597222222</x:v>
      </x:c>
      <x:c r="AG67" s="3" t="n">
        <x:v>50</x:v>
      </x:c>
      <x:c r="AH67" s="3" t="n">
        <x:v>111</x:v>
      </x:c>
      <x:c r="AI67" s="3" t="s">
        <x:v>135</x:v>
      </x:c>
      <x:c r="AJ67" s="3" t="s">
        <x:v>135</x:v>
      </x:c>
      <x:c r="AK67" s="3" t="n">
        <x:v>150</x:v>
      </x:c>
      <x:c r="AL67" s="3" t="n">
        <x:v>0</x:v>
      </x:c>
      <x:c r="AM67" s="8" t="n">
        <x:v>1.0733</x:v>
      </x:c>
      <x:c r="AN67" s="3" t="n">
        <x:v>0</x:v>
      </x:c>
      <x:c r="AO67" s="3" t="s">
        <x:v>19</x:v>
      </x:c>
      <x:c r="AP67" s="3" t="s">
        <x:v>495</x:v>
      </x:c>
      <x:c r="AQ67" s="3" t="s">
        <x:v>340</x:v>
      </x:c>
      <x:c r="AR67" s="9" t="n">
        <x:v>1664.2</x:v>
      </x:c>
      <x:c r="AS67" s="3" t="s">
        <x:v>185</x:v>
      </x:c>
      <x:c r="AT67" s="7" t="n">
        <x:v>46301.9166666667</x:v>
      </x:c>
    </x:row>
    <x:row r="68" ht="31.299999237060547" hidden="0">
      <x:c r="A68" s="3" t="s">
        <x:v>518</x:v>
      </x:c>
      <x:c r="B68" s="3" t="s">
        <x:v>297</x:v>
      </x:c>
      <x:c r="C68" s="3" t="s">
        <x:v>298</x:v>
      </x:c>
      <x:c r="D68" s="3" t="s">
        <x:v>299</x:v>
      </x:c>
      <x:c r="E68" s="3" t="s">
        <x:v>249</x:v>
      </x:c>
      <x:c r="F68" s="3" t="s">
        <x:v>149</x:v>
      </x:c>
      <x:c r="G68" s="3" t="s">
        <x:v>425</x:v>
      </x:c>
      <x:c r="H68" s="3" t="s">
        <x:v>301</x:v>
      </x:c>
      <x:c r="I68" s="3" t="s">
        <x:v>302</x:v>
      </x:c>
      <x:c r="J68" s="3" t="s">
        <x:v>303</x:v>
      </x:c>
      <x:c r="K68" s="3" t="s">
        <x:v>104</x:v>
      </x:c>
      <x:c r="L68" s="3" t="s">
        <x:v>304</x:v>
      </x:c>
      <x:c r="M68" s="3" t="s">
        <x:v>305</x:v>
      </x:c>
      <x:c r="N68" s="3" t="s">
        <x:v>306</x:v>
      </x:c>
      <x:c r="O68" s="3" t="s">
        <x:v>307</x:v>
      </x:c>
      <x:c r="P68" s="3" t="s">
        <x:v>308</x:v>
      </x:c>
      <x:c r="Q68" s="3" t="s">
        <x:v>309</x:v>
      </x:c>
      <x:c r="R68" s="3" t="s">
        <x:v>134</x:v>
      </x:c>
      <x:c r="S68" s="3" t="s">
        <x:v>135</x:v>
      </x:c>
      <x:c r="T68" s="3" t="s">
        <x:v>111</x:v>
      </x:c>
      <x:c r="U68" s="3" t="s">
        <x:v>136</x:v>
      </x:c>
      <x:c r="V68" s="3" t="s">
        <x:v>137</x:v>
      </x:c>
      <x:c r="W68" s="3" t="s">
        <x:v>407</x:v>
      </x:c>
      <x:c r="X68" s="3" t="s">
        <x:v>139</x:v>
      </x:c>
      <x:c r="Y68" s="3" t="s">
        <x:v>140</x:v>
      </x:c>
      <x:c r="Z68" s="3" t="s">
        <x:v>141</x:v>
      </x:c>
      <x:c r="AA68" s="3" t="s">
        <x:v>118</x:v>
      </x:c>
      <x:c r="AB68" s="7" t="n">
        <x:v>46247.6798611111</x:v>
      </x:c>
      <x:c r="AC68" s="7" t="n">
        <x:v>46247.6847222222</x:v>
      </x:c>
      <x:c r="AD68" s="7" t="n">
        <x:v>46247.6868055556</x:v>
      </x:c>
      <x:c r="AE68" s="7" t="n">
        <x:v>46247.6923611111</x:v>
      </x:c>
      <x:c r="AF68" s="7" t="n">
        <x:v>46247.74375</x:v>
      </x:c>
      <x:c r="AG68" s="3" t="n">
        <x:v>18</x:v>
      </x:c>
      <x:c r="AH68" s="3" t="n">
        <x:v>71</x:v>
      </x:c>
      <x:c r="AI68" s="3" t="s">
        <x:v>135</x:v>
      </x:c>
      <x:c r="AJ68" s="3" t="s">
        <x:v>111</x:v>
      </x:c>
      <x:c r="AK68" s="3" t="n">
        <x:v>180</x:v>
      </x:c>
      <x:c r="AL68" s="3" t="n">
        <x:v>0</x:v>
      </x:c>
      <x:c r="AM68" s="8" t="n">
        <x:v>0.4944</x:v>
      </x:c>
      <x:c r="AN68" s="3" t="n">
        <x:v>0</x:v>
      </x:c>
      <x:c r="AO68" s="3" t="s">
        <x:v>9</x:v>
      </x:c>
      <x:c r="AP68" s="3" t="s">
        <x:v>335</x:v>
      </x:c>
      <x:c r="AQ68" s="3" t="s">
        <x:v>395</x:v>
      </x:c>
      <x:c r="AR68" s="9" t="n">
        <x:v>1232.2</x:v>
      </x:c>
      <x:c r="AS68" s="3" t="s">
        <x:v>121</x:v>
      </x:c>
      <x:c r="AT68" s="7" t="n">
        <x:v>46301.9166666667</x:v>
      </x:c>
    </x:row>
    <x:row r="69" ht="31.299999237060547" hidden="0">
      <x:c r="A69" s="3" t="s">
        <x:v>519</x:v>
      </x:c>
      <x:c r="B69" s="3" t="s">
        <x:v>146</x:v>
      </x:c>
      <x:c r="C69" s="3" t="s">
        <x:v>147</x:v>
      </x:c>
      <x:c r="D69" s="3" t="s">
        <x:v>148</x:v>
      </x:c>
      <x:c r="E69" s="3" t="s">
        <x:v>249</x:v>
      </x:c>
      <x:c r="F69" s="3" t="s">
        <x:v>127</x:v>
      </x:c>
      <x:c r="G69" s="3" t="s">
        <x:v>520</x:v>
      </x:c>
      <x:c r="H69" s="3" t="s">
        <x:v>343</x:v>
      </x:c>
      <x:c r="I69" s="3" t="s">
        <x:v>102</x:v>
      </x:c>
      <x:c r="J69" s="3" t="s">
        <x:v>103</x:v>
      </x:c>
      <x:c r="K69" s="3" t="s">
        <x:v>104</x:v>
      </x:c>
      <x:c r="L69" s="3" t="s">
        <x:v>151</x:v>
      </x:c>
      <x:c r="M69" s="3" t="s">
        <x:v>152</x:v>
      </x:c>
      <x:c r="N69" s="3" t="s">
        <x:v>153</x:v>
      </x:c>
      <x:c r="O69" s="3" t="s">
        <x:v>154</x:v>
      </x:c>
      <x:c r="P69" s="3" t="s">
        <x:v>155</x:v>
      </x:c>
      <x:c r="Q69" s="3" t="s">
        <x:v>270</x:v>
      </x:c>
      <x:c r="R69" s="3" t="s">
        <x:v>380</x:v>
      </x:c>
      <x:c r="S69" s="3" t="s">
        <x:v>111</x:v>
      </x:c>
      <x:c r="T69" s="3" t="s">
        <x:v>111</x:v>
      </x:c>
      <x:c r="U69" s="3" t="s">
        <x:v>381</x:v>
      </x:c>
      <x:c r="V69" s="3" t="s">
        <x:v>312</x:v>
      </x:c>
      <x:c r="W69" s="3" t="s">
        <x:v>351</x:v>
      </x:c>
      <x:c r="X69" s="3" t="s">
        <x:v>314</x:v>
      </x:c>
      <x:c r="Y69" s="3" t="s">
        <x:v>352</x:v>
      </x:c>
      <x:c r="Z69" s="3" t="s">
        <x:v>384</x:v>
      </x:c>
      <x:c r="AA69" s="3" t="s">
        <x:v>385</x:v>
      </x:c>
      <x:c r="AB69" s="7" t="n">
        <x:v>46247.7055555556</x:v>
      </x:c>
      <x:c r="AC69" s="7" t="n">
        <x:v>46247.7076388889</x:v>
      </x:c>
      <x:c r="AD69" s="7" t="n">
        <x:v>46247.7090277778</x:v>
      </x:c>
      <x:c r="AE69" s="7" t="n">
        <x:v>46247.7291666667</x:v>
      </x:c>
      <x:c r="AF69" s="7" t="n">
        <x:v>46247.775</x:v>
      </x:c>
      <x:c r="AG69" s="3" t="n">
        <x:v>34</x:v>
      </x:c>
      <x:c r="AH69" s="3" t="n">
        <x:v>57</x:v>
      </x:c>
      <x:c r="AI69" s="3" t="s">
        <x:v>135</x:v>
      </x:c>
      <x:c r="AJ69" s="3" t="s">
        <x:v>135</x:v>
      </x:c>
      <x:c r="AK69" s="3" t="n">
        <x:v>120</x:v>
      </x:c>
      <x:c r="AL69" s="3" t="n">
        <x:v>0</x:v>
      </x:c>
      <x:c r="AM69" s="8" t="n">
        <x:v>0.7583</x:v>
      </x:c>
      <x:c r="AN69" s="3" t="n">
        <x:v>0</x:v>
      </x:c>
      <x:c r="AO69" s="3" t="s">
        <x:v>14</x:v>
      </x:c>
      <x:c r="AP69" s="3" t="s">
        <x:v>347</x:v>
      </x:c>
      <x:c r="AQ69" s="3" t="s">
        <x:v>411</x:v>
      </x:c>
      <x:c r="AR69" s="9" t="n">
        <x:v>823.4</x:v>
      </x:c>
      <x:c r="AS69" s="3" t="s">
        <x:v>185</x:v>
      </x:c>
      <x:c r="AT69" s="7" t="n">
        <x:v>46301.9166666667</x:v>
      </x:c>
    </x:row>
    <x:row r="70" ht="31.299999237060547" hidden="0">
      <x:c r="A70" s="3" t="s">
        <x:v>521</x:v>
      </x:c>
      <x:c r="B70" s="3" t="s">
        <x:v>146</x:v>
      </x:c>
      <x:c r="C70" s="3" t="s">
        <x:v>147</x:v>
      </x:c>
      <x:c r="D70" s="3" t="s">
        <x:v>148</x:v>
      </x:c>
      <x:c r="E70" s="3" t="s">
        <x:v>249</x:v>
      </x:c>
      <x:c r="F70" s="3" t="s">
        <x:v>99</x:v>
      </x:c>
      <x:c r="G70" s="3" t="s">
        <x:v>522</x:v>
      </x:c>
      <x:c r="H70" s="3" t="s">
        <x:v>343</x:v>
      </x:c>
      <x:c r="I70" s="3" t="s">
        <x:v>102</x:v>
      </x:c>
      <x:c r="J70" s="3" t="s">
        <x:v>103</x:v>
      </x:c>
      <x:c r="K70" s="3" t="s">
        <x:v>104</x:v>
      </x:c>
      <x:c r="L70" s="3" t="s">
        <x:v>151</x:v>
      </x:c>
      <x:c r="M70" s="3" t="s">
        <x:v>152</x:v>
      </x:c>
      <x:c r="N70" s="3" t="s">
        <x:v>153</x:v>
      </x:c>
      <x:c r="O70" s="3" t="s">
        <x:v>154</x:v>
      </x:c>
      <x:c r="P70" s="3" t="s">
        <x:v>155</x:v>
      </x:c>
      <x:c r="Q70" s="3" t="s">
        <x:v>270</x:v>
      </x:c>
      <x:c r="R70" s="3" t="s">
        <x:v>380</x:v>
      </x:c>
      <x:c r="S70" s="3" t="s">
        <x:v>111</x:v>
      </x:c>
      <x:c r="T70" s="3" t="s">
        <x:v>111</x:v>
      </x:c>
      <x:c r="U70" s="3" t="s">
        <x:v>381</x:v>
      </x:c>
      <x:c r="V70" s="3" t="s">
        <x:v>312</x:v>
      </x:c>
      <x:c r="W70" s="3" t="s">
        <x:v>351</x:v>
      </x:c>
      <x:c r="X70" s="3" t="s">
        <x:v>314</x:v>
      </x:c>
      <x:c r="Y70" s="3" t="s">
        <x:v>352</x:v>
      </x:c>
      <x:c r="Z70" s="3" t="s">
        <x:v>384</x:v>
      </x:c>
      <x:c r="AA70" s="3" t="s">
        <x:v>385</x:v>
      </x:c>
      <x:c r="AB70" s="7" t="n">
        <x:v>46247.7763888889</x:v>
      </x:c>
      <x:c r="AC70" s="7" t="n">
        <x:v>46247.7798611111</x:v>
      </x:c>
      <x:c r="AD70" s="7" t="n">
        <x:v>46247.7840277778</x:v>
      </x:c>
      <x:c r="AE70" s="7" t="n">
        <x:v>46247.8013888889</x:v>
      </x:c>
      <x:c r="AF70" s="7" t="n">
        <x:v>46247.8131944445</x:v>
      </x:c>
      <x:c r="AG70" s="3" t="n">
        <x:v>36</x:v>
      </x:c>
      <x:c r="AH70" s="3" t="n">
        <x:v>12</x:v>
      </x:c>
      <x:c r="AI70" s="3" t="s">
        <x:v>135</x:v>
      </x:c>
      <x:c r="AJ70" s="3" t="s">
        <x:v>135</x:v>
      </x:c>
      <x:c r="AK70" s="3" t="n">
        <x:v>120</x:v>
      </x:c>
      <x:c r="AL70" s="3" t="n">
        <x:v>0</x:v>
      </x:c>
      <x:c r="AM70" s="8" t="n">
        <x:v>0.4</x:v>
      </x:c>
      <x:c r="AN70" s="3" t="n">
        <x:v>0</x:v>
      </x:c>
      <x:c r="AO70" s="3" t="s">
        <x:v>9</x:v>
      </x:c>
      <x:c r="AP70" s="3" t="s">
        <x:v>142</x:v>
      </x:c>
      <x:c r="AQ70" s="3" t="s">
        <x:v>459</x:v>
      </x:c>
      <x:c r="AR70" s="9" t="n">
        <x:v>508.4</x:v>
      </x:c>
      <x:c r="AS70" s="3" t="s">
        <x:v>144</x:v>
      </x:c>
      <x:c r="AT70" s="7" t="n">
        <x:v>46301.9166666667</x:v>
      </x:c>
    </x:row>
    <x:row r="71" ht="31.299999237060547" hidden="0">
      <x:c r="A71" s="3" t="s">
        <x:v>523</x:v>
      </x:c>
      <x:c r="B71" s="3" t="s">
        <x:v>146</x:v>
      </x:c>
      <x:c r="C71" s="3" t="s">
        <x:v>147</x:v>
      </x:c>
      <x:c r="D71" s="3" t="s">
        <x:v>148</x:v>
      </x:c>
      <x:c r="E71" s="3" t="s">
        <x:v>249</x:v>
      </x:c>
      <x:c r="F71" s="3" t="s">
        <x:v>127</x:v>
      </x:c>
      <x:c r="G71" s="3" t="s">
        <x:v>388</x:v>
      </x:c>
      <x:c r="H71" s="3" t="s">
        <x:v>339</x:v>
      </x:c>
      <x:c r="I71" s="3" t="s">
        <x:v>102</x:v>
      </x:c>
      <x:c r="J71" s="3" t="s">
        <x:v>103</x:v>
      </x:c>
      <x:c r="K71" s="3" t="s">
        <x:v>104</x:v>
      </x:c>
      <x:c r="L71" s="3" t="s">
        <x:v>151</x:v>
      </x:c>
      <x:c r="M71" s="3" t="s">
        <x:v>152</x:v>
      </x:c>
      <x:c r="N71" s="3" t="s">
        <x:v>153</x:v>
      </x:c>
      <x:c r="O71" s="3" t="s">
        <x:v>154</x:v>
      </x:c>
      <x:c r="P71" s="3" t="s">
        <x:v>155</x:v>
      </x:c>
      <x:c r="Q71" s="3" t="s">
        <x:v>270</x:v>
      </x:c>
      <x:c r="R71" s="3" t="s">
        <x:v>110</x:v>
      </x:c>
      <x:c r="S71" s="3" t="s">
        <x:v>111</x:v>
      </x:c>
      <x:c r="T71" s="3" t="s">
        <x:v>111</x:v>
      </x:c>
      <x:c r="U71" s="3" t="s">
        <x:v>112</x:v>
      </x:c>
      <x:c r="V71" s="3" t="s">
        <x:v>113</x:v>
      </x:c>
      <x:c r="W71" s="3" t="s">
        <x:v>419</x:v>
      </x:c>
      <x:c r="X71" s="3" t="s">
        <x:v>115</x:v>
      </x:c>
      <x:c r="Y71" s="3" t="s">
        <x:v>420</x:v>
      </x:c>
      <x:c r="Z71" s="3" t="s">
        <x:v>117</x:v>
      </x:c>
      <x:c r="AA71" s="3" t="s">
        <x:v>118</x:v>
      </x:c>
      <x:c r="AB71" s="7" t="n">
        <x:v>46247.8263888889</x:v>
      </x:c>
      <x:c r="AC71" s="7" t="n">
        <x:v>46247.8284722222</x:v>
      </x:c>
      <x:c r="AD71" s="7" t="n">
        <x:v>46247.83125</x:v>
      </x:c>
      <x:c r="AE71" s="7" t="n">
        <x:v>46247.8652777778</x:v>
      </x:c>
      <x:c r="AF71" s="7" t="n">
        <x:v>46247.9020833333</x:v>
      </x:c>
      <x:c r="AG71" s="3" t="n">
        <x:v>56</x:v>
      </x:c>
      <x:c r="AH71" s="3" t="n">
        <x:v>44</x:v>
      </x:c>
      <x:c r="AI71" s="3" t="s">
        <x:v>135</x:v>
      </x:c>
      <x:c r="AJ71" s="3" t="s">
        <x:v>135</x:v>
      </x:c>
      <x:c r="AK71" s="3" t="n">
        <x:v>120</x:v>
      </x:c>
      <x:c r="AL71" s="3" t="n">
        <x:v>0</x:v>
      </x:c>
      <x:c r="AM71" s="8" t="n">
        <x:v>0.8333</x:v>
      </x:c>
      <x:c r="AN71" s="3" t="n">
        <x:v>0</x:v>
      </x:c>
      <x:c r="AO71" s="3" t="s">
        <x:v>14</x:v>
      </x:c>
      <x:c r="AP71" s="3" t="s">
        <x:v>347</x:v>
      </x:c>
      <x:c r="AQ71" s="3" t="s">
        <x:v>411</x:v>
      </x:c>
      <x:c r="AR71" s="9" t="n">
        <x:v>828.8</x:v>
      </x:c>
      <x:c r="AS71" s="3" t="s">
        <x:v>185</x:v>
      </x:c>
      <x:c r="AT71" s="7" t="n">
        <x:v>46301.9166666667</x:v>
      </x:c>
    </x:row>
    <x:row r="72" ht="31.299999237060547" hidden="0">
      <x:c r="A72" s="3" t="s">
        <x:v>524</x:v>
      </x:c>
      <x:c r="B72" s="3" t="s">
        <x:v>123</x:v>
      </x:c>
      <x:c r="C72" s="3" t="s">
        <x:v>124</x:v>
      </x:c>
      <x:c r="D72" s="3" t="s">
        <x:v>125</x:v>
      </x:c>
      <x:c r="E72" s="3" t="s">
        <x:v>249</x:v>
      </x:c>
      <x:c r="F72" s="3" t="s">
        <x:v>99</x:v>
      </x:c>
      <x:c r="G72" s="3" t="s">
        <x:v>504</x:v>
      </x:c>
      <x:c r="H72" s="3" t="s">
        <x:v>343</x:v>
      </x:c>
      <x:c r="I72" s="3" t="s">
        <x:v>102</x:v>
      </x:c>
      <x:c r="J72" s="3" t="s">
        <x:v>103</x:v>
      </x:c>
      <x:c r="K72" s="3" t="s">
        <x:v>104</x:v>
      </x:c>
      <x:c r="L72" s="3" t="s">
        <x:v>129</x:v>
      </x:c>
      <x:c r="M72" s="3" t="s">
        <x:v>130</x:v>
      </x:c>
      <x:c r="N72" s="3" t="s">
        <x:v>131</x:v>
      </x:c>
      <x:c r="O72" s="3" t="s">
        <x:v>132</x:v>
      </x:c>
      <x:c r="P72" s="3" t="s">
        <x:v>133</x:v>
      </x:c>
      <x:c r="Q72" s="3" t="s">
        <x:v>268</x:v>
      </x:c>
      <x:c r="R72" s="3" t="s">
        <x:v>344</x:v>
      </x:c>
      <x:c r="S72" s="3" t="s">
        <x:v>111</x:v>
      </x:c>
      <x:c r="T72" s="3" t="s">
        <x:v>111</x:v>
      </x:c>
      <x:c r="U72" s="3" t="s">
        <x:v>345</x:v>
      </x:c>
      <x:c r="V72" s="3" t="s">
        <x:v>178</x:v>
      </x:c>
      <x:c r="W72" s="3" t="s">
        <x:v>179</x:v>
      </x:c>
      <x:c r="X72" s="3" t="s">
        <x:v>180</x:v>
      </x:c>
      <x:c r="Y72" s="3" t="s">
        <x:v>414</x:v>
      </x:c>
      <x:c r="Z72" s="3" t="s">
        <x:v>346</x:v>
      </x:c>
      <x:c r="AA72" s="3" t="s">
        <x:v>118</x:v>
      </x:c>
      <x:c r="AB72" s="7" t="n">
        <x:v>46248.34375</x:v>
      </x:c>
      <x:c r="AC72" s="7" t="n">
        <x:v>46248.3458333333</x:v>
      </x:c>
      <x:c r="AD72" s="7" t="n">
        <x:v>46248.3486111111</x:v>
      </x:c>
      <x:c r="AE72" s="7" t="n">
        <x:v>46248.3680555556</x:v>
      </x:c>
      <x:c r="AF72" s="7" t="n">
        <x:v>46248.4229166667</x:v>
      </x:c>
      <x:c r="AG72" s="3" t="n">
        <x:v>35</x:v>
      </x:c>
      <x:c r="AH72" s="3" t="n">
        <x:v>70</x:v>
      </x:c>
      <x:c r="AI72" s="3" t="s">
        <x:v>135</x:v>
      </x:c>
      <x:c r="AJ72" s="3" t="s">
        <x:v>135</x:v>
      </x:c>
      <x:c r="AK72" s="3" t="n">
        <x:v>120</x:v>
      </x:c>
      <x:c r="AL72" s="3" t="n">
        <x:v>0</x:v>
      </x:c>
      <x:c r="AM72" s="8" t="n">
        <x:v>0.875</x:v>
      </x:c>
      <x:c r="AN72" s="3" t="n">
        <x:v>0</x:v>
      </x:c>
      <x:c r="AO72" s="3" t="s">
        <x:v>19</x:v>
      </x:c>
      <x:c r="AP72" s="3" t="s">
        <x:v>369</x:v>
      </x:c>
      <x:c r="AQ72" s="3" t="s">
        <x:v>482</x:v>
      </x:c>
      <x:c r="AR72" s="9" t="n">
        <x:v>921.5</x:v>
      </x:c>
      <x:c r="AS72" s="3" t="s">
        <x:v>185</x:v>
      </x:c>
      <x:c r="AT72" s="7" t="n">
        <x:v>46301.9166666667</x:v>
      </x:c>
    </x:row>
    <x:row r="73" ht="31.299999237060547" hidden="0">
      <x:c r="A73" s="3" t="s">
        <x:v>525</x:v>
      </x:c>
      <x:c r="B73" s="3" t="s">
        <x:v>297</x:v>
      </x:c>
      <x:c r="C73" s="3" t="s">
        <x:v>298</x:v>
      </x:c>
      <x:c r="D73" s="3" t="s">
        <x:v>299</x:v>
      </x:c>
      <x:c r="E73" s="3" t="s">
        <x:v>249</x:v>
      </x:c>
      <x:c r="F73" s="3" t="s">
        <x:v>127</x:v>
      </x:c>
      <x:c r="G73" s="3" t="s">
        <x:v>480</x:v>
      </x:c>
      <x:c r="H73" s="3" t="s">
        <x:v>301</x:v>
      </x:c>
      <x:c r="I73" s="3" t="s">
        <x:v>302</x:v>
      </x:c>
      <x:c r="J73" s="3" t="s">
        <x:v>303</x:v>
      </x:c>
      <x:c r="K73" s="3" t="s">
        <x:v>104</x:v>
      </x:c>
      <x:c r="L73" s="3" t="s">
        <x:v>304</x:v>
      </x:c>
      <x:c r="M73" s="3" t="s">
        <x:v>305</x:v>
      </x:c>
      <x:c r="N73" s="3" t="s">
        <x:v>306</x:v>
      </x:c>
      <x:c r="O73" s="3" t="s">
        <x:v>307</x:v>
      </x:c>
      <x:c r="P73" s="3" t="s">
        <x:v>308</x:v>
      </x:c>
      <x:c r="Q73" s="3" t="s">
        <x:v>309</x:v>
      </x:c>
      <x:c r="R73" s="3" t="s">
        <x:v>134</x:v>
      </x:c>
      <x:c r="S73" s="3" t="s">
        <x:v>135</x:v>
      </x:c>
      <x:c r="T73" s="3" t="s">
        <x:v>111</x:v>
      </x:c>
      <x:c r="U73" s="3" t="s">
        <x:v>136</x:v>
      </x:c>
      <x:c r="V73" s="3" t="s">
        <x:v>137</x:v>
      </x:c>
      <x:c r="W73" s="3" t="s">
        <x:v>138</x:v>
      </x:c>
      <x:c r="X73" s="3" t="s">
        <x:v>139</x:v>
      </x:c>
      <x:c r="Y73" s="3" t="s">
        <x:v>454</x:v>
      </x:c>
      <x:c r="Z73" s="3" t="s">
        <x:v>141</x:v>
      </x:c>
      <x:c r="AA73" s="3" t="s">
        <x:v>118</x:v>
      </x:c>
      <x:c r="AB73" s="7" t="n">
        <x:v>46248.4569444444</x:v>
      </x:c>
      <x:c r="AC73" s="7" t="n">
        <x:v>46248.4618055556</x:v>
      </x:c>
      <x:c r="AD73" s="7" t="n">
        <x:v>46248.4631944444</x:v>
      </x:c>
      <x:c r="AE73" s="7" t="n">
        <x:v>46248.4784722222</x:v>
      </x:c>
      <x:c r="AF73" s="7" t="n">
        <x:v>46248.5659722222</x:v>
      </x:c>
      <x:c r="AG73" s="3" t="n">
        <x:v>31</x:v>
      </x:c>
      <x:c r="AH73" s="3" t="n">
        <x:v>121</x:v>
      </x:c>
      <x:c r="AI73" s="3" t="s">
        <x:v>135</x:v>
      </x:c>
      <x:c r="AJ73" s="3" t="s">
        <x:v>111</x:v>
      </x:c>
      <x:c r="AK73" s="3" t="n">
        <x:v>180</x:v>
      </x:c>
      <x:c r="AL73" s="3" t="n">
        <x:v>0</x:v>
      </x:c>
      <x:c r="AM73" s="8" t="n">
        <x:v>0.8444</x:v>
      </x:c>
      <x:c r="AN73" s="3" t="n">
        <x:v>0</x:v>
      </x:c>
      <x:c r="AO73" s="3" t="s">
        <x:v>14</x:v>
      </x:c>
      <x:c r="AP73" s="3" t="s">
        <x:v>318</x:v>
      </x:c>
      <x:c r="AQ73" s="3" t="s">
        <x:v>319</x:v>
      </x:c>
      <x:c r="AR73" s="9" t="n">
        <x:v>1650.7</x:v>
      </x:c>
      <x:c r="AS73" s="3" t="s">
        <x:v>185</x:v>
      </x:c>
      <x:c r="AT73" s="7" t="n">
        <x:v>46301.9166666667</x:v>
      </x:c>
    </x:row>
    <x:row r="74" ht="31.299999237060547" hidden="0">
      <x:c r="A74" s="3" t="s">
        <x:v>526</x:v>
      </x:c>
      <x:c r="B74" s="3" t="s">
        <x:v>187</x:v>
      </x:c>
      <x:c r="C74" s="3" t="s">
        <x:v>188</x:v>
      </x:c>
      <x:c r="D74" s="3" t="s">
        <x:v>189</x:v>
      </x:c>
      <x:c r="E74" s="3" t="s">
        <x:v>249</x:v>
      </x:c>
      <x:c r="F74" s="3" t="s">
        <x:v>99</x:v>
      </x:c>
      <x:c r="G74" s="3" t="s">
        <x:v>364</x:v>
      </x:c>
      <x:c r="H74" s="3" t="s">
        <x:v>339</x:v>
      </x:c>
      <x:c r="I74" s="3" t="s">
        <x:v>102</x:v>
      </x:c>
      <x:c r="J74" s="3" t="s">
        <x:v>103</x:v>
      </x:c>
      <x:c r="K74" s="3" t="s">
        <x:v>104</x:v>
      </x:c>
      <x:c r="L74" s="3" t="s">
        <x:v>191</x:v>
      </x:c>
      <x:c r="M74" s="3" t="s">
        <x:v>192</x:v>
      </x:c>
      <x:c r="N74" s="3" t="s">
        <x:v>193</x:v>
      </x:c>
      <x:c r="O74" s="3" t="s">
        <x:v>194</x:v>
      </x:c>
      <x:c r="P74" s="3" t="s">
        <x:v>195</x:v>
      </x:c>
      <x:c r="Q74" s="3" t="s">
        <x:v>273</x:v>
      </x:c>
      <x:c r="R74" s="3" t="s">
        <x:v>196</x:v>
      </x:c>
      <x:c r="S74" s="3" t="s">
        <x:v>111</x:v>
      </x:c>
      <x:c r="T74" s="3" t="s">
        <x:v>111</x:v>
      </x:c>
      <x:c r="U74" s="3" t="s">
        <x:v>197</x:v>
      </x:c>
      <x:c r="V74" s="3" t="s">
        <x:v>198</x:v>
      </x:c>
      <x:c r="W74" s="3" t="s">
        <x:v>199</x:v>
      </x:c>
      <x:c r="X74" s="3" t="s">
        <x:v>366</x:v>
      </x:c>
      <x:c r="Y74" s="3" t="s">
        <x:v>527</x:v>
      </x:c>
      <x:c r="Z74" s="3" t="s">
        <x:v>201</x:v>
      </x:c>
      <x:c r="AA74" s="3" t="s">
        <x:v>368</x:v>
      </x:c>
      <x:c r="AB74" s="7" t="n">
        <x:v>46248.48125</x:v>
      </x:c>
      <x:c r="AC74" s="7" t="n">
        <x:v>46248.4861111111</x:v>
      </x:c>
      <x:c r="AD74" s="7" t="n">
        <x:v>46248.4881944444</x:v>
      </x:c>
      <x:c r="AE74" s="7" t="n">
        <x:v>46248.5041666667</x:v>
      </x:c>
      <x:c r="AF74" s="7" t="n">
        <x:v>46248.5701388889</x:v>
      </x:c>
      <x:c r="AG74" s="3" t="n">
        <x:v>33</x:v>
      </x:c>
      <x:c r="AH74" s="3" t="n">
        <x:v>89</x:v>
      </x:c>
      <x:c r="AI74" s="3" t="s">
        <x:v>135</x:v>
      </x:c>
      <x:c r="AJ74" s="3" t="s">
        <x:v>111</x:v>
      </x:c>
      <x:c r="AK74" s="3" t="n">
        <x:v>120</x:v>
      </x:c>
      <x:c r="AL74" s="3" t="n">
        <x:v>0</x:v>
      </x:c>
      <x:c r="AM74" s="8" t="n">
        <x:v>1.0167</x:v>
      </x:c>
      <x:c r="AN74" s="3" t="n">
        <x:v>0</x:v>
      </x:c>
      <x:c r="AO74" s="3" t="s">
        <x:v>19</x:v>
      </x:c>
      <x:c r="AP74" s="3" t="s">
        <x:v>528</x:v>
      </x:c>
      <x:c r="AQ74" s="3" t="s">
        <x:v>386</x:v>
      </x:c>
      <x:c r="AR74" s="9" t="n">
        <x:v>1429.3</x:v>
      </x:c>
      <x:c r="AS74" s="3" t="s">
        <x:v>185</x:v>
      </x:c>
      <x:c r="AT74" s="7" t="n">
        <x:v>46301.9166666667</x:v>
      </x:c>
    </x:row>
    <x:row r="75" ht="31.299999237060547" hidden="0">
      <x:c r="A75" s="3" t="s">
        <x:v>529</x:v>
      </x:c>
      <x:c r="B75" s="3" t="s">
        <x:v>205</x:v>
      </x:c>
      <x:c r="C75" s="3" t="s">
        <x:v>206</x:v>
      </x:c>
      <x:c r="D75" s="3" t="s">
        <x:v>207</x:v>
      </x:c>
      <x:c r="E75" s="3" t="s">
        <x:v>249</x:v>
      </x:c>
      <x:c r="F75" s="3" t="s">
        <x:v>169</x:v>
      </x:c>
      <x:c r="G75" s="3" t="s">
        <x:v>498</x:v>
      </x:c>
      <x:c r="H75" s="3" t="s">
        <x:v>101</x:v>
      </x:c>
      <x:c r="I75" s="3" t="s">
        <x:v>102</x:v>
      </x:c>
      <x:c r="J75" s="3" t="s">
        <x:v>103</x:v>
      </x:c>
      <x:c r="K75" s="3" t="s">
        <x:v>104</x:v>
      </x:c>
      <x:c r="L75" s="3" t="s">
        <x:v>209</x:v>
      </x:c>
      <x:c r="M75" s="3" t="s">
        <x:v>210</x:v>
      </x:c>
      <x:c r="N75" s="3" t="s">
        <x:v>211</x:v>
      </x:c>
      <x:c r="O75" s="3" t="s">
        <x:v>212</x:v>
      </x:c>
      <x:c r="P75" s="3" t="s">
        <x:v>213</x:v>
      </x:c>
      <x:c r="Q75" s="3" t="s">
        <x:v>254</x:v>
      </x:c>
      <x:c r="R75" s="3" t="s">
        <x:v>310</x:v>
      </x:c>
      <x:c r="S75" s="3" t="s">
        <x:v>135</x:v>
      </x:c>
      <x:c r="T75" s="3" t="s">
        <x:v>111</x:v>
      </x:c>
      <x:c r="U75" s="3" t="s">
        <x:v>311</x:v>
      </x:c>
      <x:c r="V75" s="3" t="s">
        <x:v>312</x:v>
      </x:c>
      <x:c r="W75" s="3" t="s">
        <x:v>351</x:v>
      </x:c>
      <x:c r="X75" s="3" t="s">
        <x:v>314</x:v>
      </x:c>
      <x:c r="Y75" s="3" t="s">
        <x:v>352</x:v>
      </x:c>
      <x:c r="Z75" s="3" t="s">
        <x:v>316</x:v>
      </x:c>
      <x:c r="AA75" s="3" t="s">
        <x:v>317</x:v>
      </x:c>
      <x:c r="AB75" s="7" t="n">
        <x:v>46248.5159722222</x:v>
      </x:c>
      <x:c r="AC75" s="7" t="n">
        <x:v>46248.51875</x:v>
      </x:c>
      <x:c r="AD75" s="7" t="n">
        <x:v>46248.525</x:v>
      </x:c>
      <x:c r="AE75" s="7" t="n">
        <x:v>46248.5326388889</x:v>
      </x:c>
      <x:c r="AF75" s="7" t="n">
        <x:v>46248.5645833333</x:v>
      </x:c>
      <x:c r="AG75" s="3" t="n">
        <x:v>24</x:v>
      </x:c>
      <x:c r="AH75" s="3" t="n">
        <x:v>41</x:v>
      </x:c>
      <x:c r="AI75" s="3" t="s">
        <x:v>135</x:v>
      </x:c>
      <x:c r="AJ75" s="3" t="s">
        <x:v>135</x:v>
      </x:c>
      <x:c r="AK75" s="3" t="n">
        <x:v>180</x:v>
      </x:c>
      <x:c r="AL75" s="3" t="n">
        <x:v>0</x:v>
      </x:c>
      <x:c r="AM75" s="8" t="n">
        <x:v>0.3611</x:v>
      </x:c>
      <x:c r="AN75" s="3" t="n">
        <x:v>0</x:v>
      </x:c>
      <x:c r="AO75" s="3" t="s">
        <x:v>9</x:v>
      </x:c>
      <x:c r="AP75" s="3" t="s">
        <x:v>142</x:v>
      </x:c>
      <x:c r="AQ75" s="3" t="s">
        <x:v>220</x:v>
      </x:c>
      <x:c r="AR75" s="9" t="n">
        <x:v>663.2</x:v>
      </x:c>
      <x:c r="AS75" s="3" t="s">
        <x:v>144</x:v>
      </x:c>
      <x:c r="AT75" s="7" t="n">
        <x:v>46301.9166666667</x:v>
      </x:c>
    </x:row>
    <x:row r="76" ht="31.299999237060547" hidden="0">
      <x:c r="A76" s="3" t="s">
        <x:v>530</x:v>
      </x:c>
      <x:c r="B76" s="3" t="s">
        <x:v>166</x:v>
      </x:c>
      <x:c r="C76" s="3" t="s">
        <x:v>167</x:v>
      </x:c>
      <x:c r="D76" s="3" t="s">
        <x:v>168</x:v>
      </x:c>
      <x:c r="E76" s="3" t="s">
        <x:v>249</x:v>
      </x:c>
      <x:c r="F76" s="3" t="s">
        <x:v>99</x:v>
      </x:c>
      <x:c r="G76" s="3" t="s">
        <x:v>342</x:v>
      </x:c>
      <x:c r="H76" s="3" t="s">
        <x:v>343</x:v>
      </x:c>
      <x:c r="I76" s="3" t="s">
        <x:v>102</x:v>
      </x:c>
      <x:c r="J76" s="3" t="s">
        <x:v>103</x:v>
      </x:c>
      <x:c r="K76" s="3" t="s">
        <x:v>104</x:v>
      </x:c>
      <x:c r="L76" s="3" t="s">
        <x:v>171</x:v>
      </x:c>
      <x:c r="M76" s="3" t="s">
        <x:v>172</x:v>
      </x:c>
      <x:c r="N76" s="3" t="s">
        <x:v>173</x:v>
      </x:c>
      <x:c r="O76" s="3" t="s">
        <x:v>174</x:v>
      </x:c>
      <x:c r="P76" s="3" t="s">
        <x:v>175</x:v>
      </x:c>
      <x:c r="Q76" s="3" t="s">
        <x:v>271</x:v>
      </x:c>
      <x:c r="R76" s="3" t="s">
        <x:v>344</x:v>
      </x:c>
      <x:c r="S76" s="3" t="s">
        <x:v>111</x:v>
      </x:c>
      <x:c r="T76" s="3" t="s">
        <x:v>111</x:v>
      </x:c>
      <x:c r="U76" s="3" t="s">
        <x:v>345</x:v>
      </x:c>
      <x:c r="V76" s="3" t="s">
        <x:v>178</x:v>
      </x:c>
      <x:c r="W76" s="3" t="s">
        <x:v>332</x:v>
      </x:c>
      <x:c r="X76" s="3" t="s">
        <x:v>180</x:v>
      </x:c>
      <x:c r="Y76" s="3" t="s">
        <x:v>333</x:v>
      </x:c>
      <x:c r="Z76" s="3" t="s">
        <x:v>346</x:v>
      </x:c>
      <x:c r="AA76" s="3" t="s">
        <x:v>118</x:v>
      </x:c>
      <x:c r="AB76" s="7" t="n">
        <x:v>46248.5229166667</x:v>
      </x:c>
      <x:c r="AC76" s="7" t="n">
        <x:v>46248.525</x:v>
      </x:c>
      <x:c r="AD76" s="7" t="n">
        <x:v>46248.5270833333</x:v>
      </x:c>
      <x:c r="AE76" s="7" t="n">
        <x:v>46248.5409722222</x:v>
      </x:c>
      <x:c r="AF76" s="7" t="n">
        <x:v>46248.5902777778</x:v>
      </x:c>
      <x:c r="AG76" s="3" t="n">
        <x:v>26</x:v>
      </x:c>
      <x:c r="AH76" s="3" t="n">
        <x:v>65</x:v>
      </x:c>
      <x:c r="AI76" s="3" t="s">
        <x:v>135</x:v>
      </x:c>
      <x:c r="AJ76" s="3" t="s">
        <x:v>135</x:v>
      </x:c>
      <x:c r="AK76" s="3" t="n">
        <x:v>120</x:v>
      </x:c>
      <x:c r="AL76" s="3" t="n">
        <x:v>0</x:v>
      </x:c>
      <x:c r="AM76" s="8" t="n">
        <x:v>0.7583</x:v>
      </x:c>
      <x:c r="AN76" s="3" t="n">
        <x:v>1</x:v>
      </x:c>
      <x:c r="AO76" s="3" t="s">
        <x:v>14</x:v>
      </x:c>
      <x:c r="AP76" s="3" t="s">
        <x:v>471</x:v>
      </x:c>
      <x:c r="AQ76" s="3" t="s">
        <x:v>501</x:v>
      </x:c>
      <x:c r="AR76" s="9" t="n">
        <x:v>1225</x:v>
      </x:c>
      <x:c r="AS76" s="3" t="s">
        <x:v>185</x:v>
      </x:c>
      <x:c r="AT76" s="7" t="n">
        <x:v>46301.9166666667</x:v>
      </x:c>
    </x:row>
    <x:row r="77" ht="31.299999237060547" hidden="0">
      <x:c r="A77" s="3" t="s">
        <x:v>531</x:v>
      </x:c>
      <x:c r="B77" s="3" t="s">
        <x:v>166</x:v>
      </x:c>
      <x:c r="C77" s="3" t="s">
        <x:v>167</x:v>
      </x:c>
      <x:c r="D77" s="3" t="s">
        <x:v>168</x:v>
      </x:c>
      <x:c r="E77" s="3" t="s">
        <x:v>249</x:v>
      </x:c>
      <x:c r="F77" s="3" t="s">
        <x:v>149</x:v>
      </x:c>
      <x:c r="G77" s="3" t="s">
        <x:v>359</x:v>
      </x:c>
      <x:c r="H77" s="3" t="s">
        <x:v>101</x:v>
      </x:c>
      <x:c r="I77" s="3" t="s">
        <x:v>102</x:v>
      </x:c>
      <x:c r="J77" s="3" t="s">
        <x:v>103</x:v>
      </x:c>
      <x:c r="K77" s="3" t="s">
        <x:v>104</x:v>
      </x:c>
      <x:c r="L77" s="3" t="s">
        <x:v>171</x:v>
      </x:c>
      <x:c r="M77" s="3" t="s">
        <x:v>172</x:v>
      </x:c>
      <x:c r="N77" s="3" t="s">
        <x:v>173</x:v>
      </x:c>
      <x:c r="O77" s="3" t="s">
        <x:v>174</x:v>
      </x:c>
      <x:c r="P77" s="3" t="s">
        <x:v>175</x:v>
      </x:c>
      <x:c r="Q77" s="3" t="s">
        <x:v>271</x:v>
      </x:c>
      <x:c r="R77" s="3" t="s">
        <x:v>156</x:v>
      </x:c>
      <x:c r="S77" s="3" t="s">
        <x:v>135</x:v>
      </x:c>
      <x:c r="T77" s="3" t="s">
        <x:v>111</x:v>
      </x:c>
      <x:c r="U77" s="3" t="s">
        <x:v>157</x:v>
      </x:c>
      <x:c r="V77" s="3" t="s">
        <x:v>158</x:v>
      </x:c>
      <x:c r="W77" s="3" t="s">
        <x:v>159</x:v>
      </x:c>
      <x:c r="X77" s="3" t="s">
        <x:v>160</x:v>
      </x:c>
      <x:c r="Y77" s="3" t="s">
        <x:v>360</x:v>
      </x:c>
      <x:c r="Z77" s="3" t="s">
        <x:v>162</x:v>
      </x:c>
      <x:c r="AA77" s="3" t="s">
        <x:v>118</x:v>
      </x:c>
      <x:c r="AB77" s="7" t="n">
        <x:v>46248.6354166667</x:v>
      </x:c>
      <x:c r="AC77" s="7" t="n">
        <x:v>46248.6368055556</x:v>
      </x:c>
      <x:c r="AD77" s="7" t="n">
        <x:v>46248.6409722222</x:v>
      </x:c>
      <x:c r="AE77" s="7" t="n">
        <x:v>46248.6583333333</x:v>
      </x:c>
      <x:c r="AF77" s="7" t="n">
        <x:v>46248.7111111111</x:v>
      </x:c>
      <x:c r="AG77" s="3" t="n">
        <x:v>33</x:v>
      </x:c>
      <x:c r="AH77" s="3" t="n">
        <x:v>66</x:v>
      </x:c>
      <x:c r="AI77" s="3" t="s">
        <x:v>135</x:v>
      </x:c>
      <x:c r="AJ77" s="3" t="s">
        <x:v>135</x:v>
      </x:c>
      <x:c r="AK77" s="3" t="n">
        <x:v>150</x:v>
      </x:c>
      <x:c r="AL77" s="3" t="n">
        <x:v>0</x:v>
      </x:c>
      <x:c r="AM77" s="8" t="n">
        <x:v>0.66</x:v>
      </x:c>
      <x:c r="AN77" s="3" t="n">
        <x:v>0</x:v>
      </x:c>
      <x:c r="AO77" s="3" t="s">
        <x:v>14</x:v>
      </x:c>
      <x:c r="AP77" s="3" t="s">
        <x:v>347</x:v>
      </x:c>
      <x:c r="AQ77" s="3" t="s">
        <x:v>361</x:v>
      </x:c>
      <x:c r="AR77" s="9" t="n">
        <x:v>1263.7</x:v>
      </x:c>
      <x:c r="AS77" s="3" t="s">
        <x:v>121</x:v>
      </x:c>
      <x:c r="AT77" s="7" t="n">
        <x:v>46301.9166666667</x:v>
      </x:c>
    </x:row>
    <x:row r="78" ht="31.299999237060547" hidden="0">
      <x:c r="A78" s="3" t="s">
        <x:v>532</x:v>
      </x:c>
      <x:c r="B78" s="3" t="s">
        <x:v>146</x:v>
      </x:c>
      <x:c r="C78" s="3" t="s">
        <x:v>147</x:v>
      </x:c>
      <x:c r="D78" s="3" t="s">
        <x:v>148</x:v>
      </x:c>
      <x:c r="E78" s="3" t="s">
        <x:v>249</x:v>
      </x:c>
      <x:c r="F78" s="3" t="s">
        <x:v>99</x:v>
      </x:c>
      <x:c r="G78" s="3" t="s">
        <x:v>507</x:v>
      </x:c>
      <x:c r="H78" s="3" t="s">
        <x:v>101</x:v>
      </x:c>
      <x:c r="I78" s="3" t="s">
        <x:v>102</x:v>
      </x:c>
      <x:c r="J78" s="3" t="s">
        <x:v>103</x:v>
      </x:c>
      <x:c r="K78" s="3" t="s">
        <x:v>104</x:v>
      </x:c>
      <x:c r="L78" s="3" t="s">
        <x:v>151</x:v>
      </x:c>
      <x:c r="M78" s="3" t="s">
        <x:v>152</x:v>
      </x:c>
      <x:c r="N78" s="3" t="s">
        <x:v>153</x:v>
      </x:c>
      <x:c r="O78" s="3" t="s">
        <x:v>154</x:v>
      </x:c>
      <x:c r="P78" s="3" t="s">
        <x:v>155</x:v>
      </x:c>
      <x:c r="Q78" s="3" t="s">
        <x:v>270</x:v>
      </x:c>
      <x:c r="R78" s="3" t="s">
        <x:v>373</x:v>
      </x:c>
      <x:c r="S78" s="3" t="s">
        <x:v>135</x:v>
      </x:c>
      <x:c r="T78" s="3" t="s">
        <x:v>111</x:v>
      </x:c>
      <x:c r="U78" s="3" t="s">
        <x:v>374</x:v>
      </x:c>
      <x:c r="V78" s="3" t="s">
        <x:v>178</x:v>
      </x:c>
      <x:c r="W78" s="3" t="s">
        <x:v>355</x:v>
      </x:c>
      <x:c r="X78" s="3" t="s">
        <x:v>180</x:v>
      </x:c>
      <x:c r="Y78" s="3" t="s">
        <x:v>356</x:v>
      </x:c>
      <x:c r="Z78" s="3" t="s">
        <x:v>375</x:v>
      </x:c>
      <x:c r="AA78" s="3" t="s">
        <x:v>118</x:v>
      </x:c>
      <x:c r="AB78" s="7" t="n">
        <x:v>46248.6979166667</x:v>
      </x:c>
      <x:c r="AC78" s="7" t="n">
        <x:v>46248.7006944444</x:v>
      </x:c>
      <x:c r="AD78" s="7" t="n">
        <x:v>46248.7048611111</x:v>
      </x:c>
      <x:c r="AE78" s="7" t="n">
        <x:v>46248.7291666667</x:v>
      </x:c>
      <x:c r="AF78" s="7" t="n">
        <x:v>46248.7534722222</x:v>
      </x:c>
      <x:c r="AG78" s="3" t="n">
        <x:v>45</x:v>
      </x:c>
      <x:c r="AH78" s="3" t="n">
        <x:v>27</x:v>
      </x:c>
      <x:c r="AI78" s="3" t="s">
        <x:v>135</x:v>
      </x:c>
      <x:c r="AJ78" s="3" t="s">
        <x:v>135</x:v>
      </x:c>
      <x:c r="AK78" s="3" t="n">
        <x:v>180</x:v>
      </x:c>
      <x:c r="AL78" s="3" t="n">
        <x:v>0</x:v>
      </x:c>
      <x:c r="AM78" s="8" t="n">
        <x:v>0.4</x:v>
      </x:c>
      <x:c r="AN78" s="3" t="n">
        <x:v>1</x:v>
      </x:c>
      <x:c r="AO78" s="3" t="s">
        <x:v>9</x:v>
      </x:c>
      <x:c r="AP78" s="3" t="s">
        <x:v>500</x:v>
      </x:c>
      <x:c r="AQ78" s="3" t="s">
        <x:v>533</x:v>
      </x:c>
      <x:c r="AR78" s="9" t="n">
        <x:v>656.9</x:v>
      </x:c>
      <x:c r="AS78" s="3" t="s">
        <x:v>121</x:v>
      </x:c>
      <x:c r="AT78" s="7" t="n">
        <x:v>46301.9166666667</x:v>
      </x:c>
    </x:row>
    <x:row r="79" ht="31.299999237060547" hidden="0">
      <x:c r="A79" s="3" t="s">
        <x:v>534</x:v>
      </x:c>
      <x:c r="B79" s="3" t="s">
        <x:v>166</x:v>
      </x:c>
      <x:c r="C79" s="3" t="s">
        <x:v>167</x:v>
      </x:c>
      <x:c r="D79" s="3" t="s">
        <x:v>168</x:v>
      </x:c>
      <x:c r="E79" s="3" t="s">
        <x:v>249</x:v>
      </x:c>
      <x:c r="F79" s="3" t="s">
        <x:v>99</x:v>
      </x:c>
      <x:c r="G79" s="3" t="s">
        <x:v>535</x:v>
      </x:c>
      <x:c r="H79" s="3" t="s">
        <x:v>101</x:v>
      </x:c>
      <x:c r="I79" s="3" t="s">
        <x:v>102</x:v>
      </x:c>
      <x:c r="J79" s="3" t="s">
        <x:v>103</x:v>
      </x:c>
      <x:c r="K79" s="3" t="s">
        <x:v>104</x:v>
      </x:c>
      <x:c r="L79" s="3" t="s">
        <x:v>171</x:v>
      </x:c>
      <x:c r="M79" s="3" t="s">
        <x:v>172</x:v>
      </x:c>
      <x:c r="N79" s="3" t="s">
        <x:v>173</x:v>
      </x:c>
      <x:c r="O79" s="3" t="s">
        <x:v>174</x:v>
      </x:c>
      <x:c r="P79" s="3" t="s">
        <x:v>175</x:v>
      </x:c>
      <x:c r="Q79" s="3" t="s">
        <x:v>271</x:v>
      </x:c>
      <x:c r="R79" s="3" t="s">
        <x:v>176</x:v>
      </x:c>
      <x:c r="S79" s="3" t="s">
        <x:v>135</x:v>
      </x:c>
      <x:c r="T79" s="3" t="s">
        <x:v>135</x:v>
      </x:c>
      <x:c r="U79" s="3" t="s">
        <x:v>177</x:v>
      </x:c>
      <x:c r="V79" s="3" t="s">
        <x:v>178</x:v>
      </x:c>
      <x:c r="W79" s="3" t="s">
        <x:v>179</x:v>
      </x:c>
      <x:c r="X79" s="3" t="s">
        <x:v>180</x:v>
      </x:c>
      <x:c r="Y79" s="3" t="s">
        <x:v>414</x:v>
      </x:c>
      <x:c r="Z79" s="3" t="s">
        <x:v>182</x:v>
      </x:c>
      <x:c r="AA79" s="3" t="s">
        <x:v>118</x:v>
      </x:c>
      <x:c r="AB79" s="7" t="n">
        <x:v>46248.70625</x:v>
      </x:c>
      <x:c r="AC79" s="7" t="n">
        <x:v>46248.7111111111</x:v>
      </x:c>
      <x:c r="AD79" s="7" t="n">
        <x:v>46248.7173611111</x:v>
      </x:c>
      <x:c r="AE79" s="7" t="n">
        <x:v>46248.7416666667</x:v>
      </x:c>
      <x:c r="AF79" s="7" t="n">
        <x:v>46248.7930555556</x:v>
      </x:c>
      <x:c r="AG79" s="3" t="n">
        <x:v>51</x:v>
      </x:c>
      <x:c r="AH79" s="3" t="n">
        <x:v>64</x:v>
      </x:c>
      <x:c r="AI79" s="3" t="s">
        <x:v>135</x:v>
      </x:c>
      <x:c r="AJ79" s="3" t="s">
        <x:v>135</x:v>
      </x:c>
      <x:c r="AK79" s="3" t="n">
        <x:v>150</x:v>
      </x:c>
      <x:c r="AL79" s="3" t="n">
        <x:v>0</x:v>
      </x:c>
      <x:c r="AM79" s="8" t="n">
        <x:v>0.7667</x:v>
      </x:c>
      <x:c r="AN79" s="3" t="n">
        <x:v>0</x:v>
      </x:c>
      <x:c r="AO79" s="3" t="s">
        <x:v>14</x:v>
      </x:c>
      <x:c r="AP79" s="3" t="s">
        <x:v>347</x:v>
      </x:c>
      <x:c r="AQ79" s="3" t="s">
        <x:v>340</x:v>
      </x:c>
      <x:c r="AR79" s="9" t="n">
        <x:v>1330.3</x:v>
      </x:c>
      <x:c r="AS79" s="3" t="s">
        <x:v>185</x:v>
      </x:c>
      <x:c r="AT79" s="7" t="n">
        <x:v>46301.9166666667</x:v>
      </x:c>
    </x:row>
    <x:row r="80" ht="31.299999237060547" hidden="0">
      <x:c r="A80" s="3" t="s">
        <x:v>536</x:v>
      </x:c>
      <x:c r="B80" s="3" t="s">
        <x:v>321</x:v>
      </x:c>
      <x:c r="C80" s="3" t="s">
        <x:v>322</x:v>
      </x:c>
      <x:c r="D80" s="3" t="s">
        <x:v>323</x:v>
      </x:c>
      <x:c r="E80" s="3" t="s">
        <x:v>249</x:v>
      </x:c>
      <x:c r="F80" s="3" t="s">
        <x:v>99</x:v>
      </x:c>
      <x:c r="G80" s="3" t="s">
        <x:v>467</x:v>
      </x:c>
      <x:c r="H80" s="3" t="s">
        <x:v>301</x:v>
      </x:c>
      <x:c r="I80" s="3" t="s">
        <x:v>302</x:v>
      </x:c>
      <x:c r="J80" s="3" t="s">
        <x:v>303</x:v>
      </x:c>
      <x:c r="K80" s="3" t="s">
        <x:v>104</x:v>
      </x:c>
      <x:c r="L80" s="3" t="s">
        <x:v>325</x:v>
      </x:c>
      <x:c r="M80" s="3" t="s">
        <x:v>326</x:v>
      </x:c>
      <x:c r="N80" s="3" t="s">
        <x:v>131</x:v>
      </x:c>
      <x:c r="O80" s="3" t="s">
        <x:v>327</x:v>
      </x:c>
      <x:c r="P80" s="3" t="s">
        <x:v>328</x:v>
      </x:c>
      <x:c r="Q80" s="3" t="s">
        <x:v>329</x:v>
      </x:c>
      <x:c r="R80" s="3" t="s">
        <x:v>214</x:v>
      </x:c>
      <x:c r="S80" s="3" t="s">
        <x:v>135</x:v>
      </x:c>
      <x:c r="T80" s="3" t="s">
        <x:v>111</x:v>
      </x:c>
      <x:c r="U80" s="3" t="s">
        <x:v>215</x:v>
      </x:c>
      <x:c r="V80" s="3" t="s">
        <x:v>216</x:v>
      </x:c>
      <x:c r="W80" s="3" t="s">
        <x:v>429</x:v>
      </x:c>
      <x:c r="X80" s="3" t="s">
        <x:v>430</x:v>
      </x:c>
      <x:c r="Y80" s="3" t="s">
        <x:v>431</x:v>
      </x:c>
      <x:c r="Z80" s="3" t="s">
        <x:v>219</x:v>
      </x:c>
      <x:c r="AA80" s="3" t="s">
        <x:v>118</x:v>
      </x:c>
      <x:c r="AB80" s="7" t="n">
        <x:v>46248.7361111111</x:v>
      </x:c>
      <x:c r="AC80" s="7" t="n">
        <x:v>46248.7409722222</x:v>
      </x:c>
      <x:c r="AD80" s="7" t="n">
        <x:v>46248.7472222222</x:v>
      </x:c>
      <x:c r="AE80" s="7" t="n">
        <x:v>46248.7590277778</x:v>
      </x:c>
      <x:c r="AF80" s="7" t="n">
        <x:v>46248.79375</x:v>
      </x:c>
      <x:c r="AG80" s="3" t="n">
        <x:v>33</x:v>
      </x:c>
      <x:c r="AH80" s="3" t="n">
        <x:v>47</x:v>
      </x:c>
      <x:c r="AI80" s="3" t="s">
        <x:v>135</x:v>
      </x:c>
      <x:c r="AJ80" s="3" t="s">
        <x:v>111</x:v>
      </x:c>
      <x:c r="AK80" s="3" t="n">
        <x:v>180</x:v>
      </x:c>
      <x:c r="AL80" s="3" t="n">
        <x:v>0</x:v>
      </x:c>
      <x:c r="AM80" s="8" t="n">
        <x:v>0.4444</x:v>
      </x:c>
      <x:c r="AN80" s="3" t="n">
        <x:v>0</x:v>
      </x:c>
      <x:c r="AO80" s="3" t="s">
        <x:v>9</x:v>
      </x:c>
      <x:c r="AP80" s="3" t="s">
        <x:v>335</x:v>
      </x:c>
      <x:c r="AQ80" s="3" t="s">
        <x:v>336</x:v>
      </x:c>
      <x:c r="AR80" s="9" t="n">
        <x:v>746.9</x:v>
      </x:c>
      <x:c r="AS80" s="3" t="s">
        <x:v>121</x:v>
      </x:c>
      <x:c r="AT80" s="7" t="n">
        <x:v>46301.9166666667</x:v>
      </x:c>
    </x:row>
    <x:row r="81" ht="31.299999237060547" hidden="0">
      <x:c r="A81" s="3" t="s">
        <x:v>537</x:v>
      </x:c>
      <x:c r="B81" s="3" t="s">
        <x:v>166</x:v>
      </x:c>
      <x:c r="C81" s="3" t="s">
        <x:v>167</x:v>
      </x:c>
      <x:c r="D81" s="3" t="s">
        <x:v>168</x:v>
      </x:c>
      <x:c r="E81" s="3" t="s">
        <x:v>249</x:v>
      </x:c>
      <x:c r="F81" s="3" t="s">
        <x:v>169</x:v>
      </x:c>
      <x:c r="G81" s="3" t="s">
        <x:v>512</x:v>
      </x:c>
      <x:c r="H81" s="3" t="s">
        <x:v>301</x:v>
      </x:c>
      <x:c r="I81" s="3" t="s">
        <x:v>302</x:v>
      </x:c>
      <x:c r="J81" s="3" t="s">
        <x:v>303</x:v>
      </x:c>
      <x:c r="K81" s="3" t="s">
        <x:v>104</x:v>
      </x:c>
      <x:c r="L81" s="3" t="s">
        <x:v>171</x:v>
      </x:c>
      <x:c r="M81" s="3" t="s">
        <x:v>172</x:v>
      </x:c>
      <x:c r="N81" s="3" t="s">
        <x:v>173</x:v>
      </x:c>
      <x:c r="O81" s="3" t="s">
        <x:v>174</x:v>
      </x:c>
      <x:c r="P81" s="3" t="s">
        <x:v>175</x:v>
      </x:c>
      <x:c r="Q81" s="3" t="s">
        <x:v>271</x:v>
      </x:c>
      <x:c r="R81" s="3" t="s">
        <x:v>214</x:v>
      </x:c>
      <x:c r="S81" s="3" t="s">
        <x:v>135</x:v>
      </x:c>
      <x:c r="T81" s="3" t="s">
        <x:v>111</x:v>
      </x:c>
      <x:c r="U81" s="3" t="s">
        <x:v>215</x:v>
      </x:c>
      <x:c r="V81" s="3" t="s">
        <x:v>216</x:v>
      </x:c>
      <x:c r="W81" s="3" t="s">
        <x:v>429</x:v>
      </x:c>
      <x:c r="X81" s="3" t="s">
        <x:v>430</x:v>
      </x:c>
      <x:c r="Y81" s="3" t="s">
        <x:v>431</x:v>
      </x:c>
      <x:c r="Z81" s="3" t="s">
        <x:v>219</x:v>
      </x:c>
      <x:c r="AA81" s="3" t="s">
        <x:v>118</x:v>
      </x:c>
      <x:c r="AB81" s="7" t="n">
        <x:v>46248.7513888889</x:v>
      </x:c>
      <x:c r="AC81" s="7" t="n">
        <x:v>46248.7548611111</x:v>
      </x:c>
      <x:c r="AD81" s="7" t="n">
        <x:v>46248.7583333333</x:v>
      </x:c>
      <x:c r="AE81" s="7" t="n">
        <x:v>46248.7743055556</x:v>
      </x:c>
      <x:c r="AF81" s="7" t="n">
        <x:v>46248.8222222222</x:v>
      </x:c>
      <x:c r="AG81" s="3" t="n">
        <x:v>33</x:v>
      </x:c>
      <x:c r="AH81" s="3" t="n">
        <x:v>66</x:v>
      </x:c>
      <x:c r="AI81" s="3" t="s">
        <x:v>135</x:v>
      </x:c>
      <x:c r="AJ81" s="3" t="s">
        <x:v>135</x:v>
      </x:c>
      <x:c r="AK81" s="3" t="n">
        <x:v>180</x:v>
      </x:c>
      <x:c r="AL81" s="3" t="n">
        <x:v>0</x:v>
      </x:c>
      <x:c r="AM81" s="8" t="n">
        <x:v>0.55</x:v>
      </x:c>
      <x:c r="AN81" s="3" t="n">
        <x:v>0</x:v>
      </x:c>
      <x:c r="AO81" s="3" t="s">
        <x:v>9</x:v>
      </x:c>
      <x:c r="AP81" s="3" t="s">
        <x:v>142</x:v>
      </x:c>
      <x:c r="AQ81" s="3" t="s">
        <x:v>340</x:v>
      </x:c>
      <x:c r="AR81" s="9" t="n">
        <x:v>1263.7</x:v>
      </x:c>
      <x:c r="AS81" s="3" t="s">
        <x:v>185</x:v>
      </x:c>
      <x:c r="AT81" s="7" t="n">
        <x:v>46301.9166666667</x:v>
      </x:c>
    </x:row>
    <x:row r="82" ht="31.299999237060547" hidden="0">
      <x:c r="A82" s="3" t="s">
        <x:v>538</x:v>
      </x:c>
      <x:c r="B82" s="3" t="s">
        <x:v>397</x:v>
      </x:c>
      <x:c r="C82" s="3" t="s">
        <x:v>398</x:v>
      </x:c>
      <x:c r="D82" s="3" t="s">
        <x:v>399</x:v>
      </x:c>
      <x:c r="E82" s="3" t="s">
        <x:v>249</x:v>
      </x:c>
      <x:c r="F82" s="3" t="s">
        <x:v>149</x:v>
      </x:c>
      <x:c r="G82" s="3" t="s">
        <x:v>400</x:v>
      </x:c>
      <x:c r="H82" s="3" t="s">
        <x:v>301</x:v>
      </x:c>
      <x:c r="I82" s="3" t="s">
        <x:v>302</x:v>
      </x:c>
      <x:c r="J82" s="3" t="s">
        <x:v>303</x:v>
      </x:c>
      <x:c r="K82" s="3" t="s">
        <x:v>104</x:v>
      </x:c>
      <x:c r="L82" s="3" t="s">
        <x:v>401</x:v>
      </x:c>
      <x:c r="M82" s="3" t="s">
        <x:v>402</x:v>
      </x:c>
      <x:c r="N82" s="3" t="s">
        <x:v>403</x:v>
      </x:c>
      <x:c r="O82" s="3" t="s">
        <x:v>404</x:v>
      </x:c>
      <x:c r="P82" s="3" t="s">
        <x:v>405</x:v>
      </x:c>
      <x:c r="Q82" s="3" t="s">
        <x:v>406</x:v>
      </x:c>
      <x:c r="R82" s="3" t="s">
        <x:v>134</x:v>
      </x:c>
      <x:c r="S82" s="3" t="s">
        <x:v>135</x:v>
      </x:c>
      <x:c r="T82" s="3" t="s">
        <x:v>111</x:v>
      </x:c>
      <x:c r="U82" s="3" t="s">
        <x:v>136</x:v>
      </x:c>
      <x:c r="V82" s="3" t="s">
        <x:v>137</x:v>
      </x:c>
      <x:c r="W82" s="3" t="s">
        <x:v>407</x:v>
      </x:c>
      <x:c r="X82" s="3" t="s">
        <x:v>139</x:v>
      </x:c>
      <x:c r="Y82" s="3" t="s">
        <x:v>140</x:v>
      </x:c>
      <x:c r="Z82" s="3" t="s">
        <x:v>141</x:v>
      </x:c>
      <x:c r="AA82" s="3" t="s">
        <x:v>118</x:v>
      </x:c>
      <x:c r="AB82" s="7" t="n">
        <x:v>46249.3291666667</x:v>
      </x:c>
      <x:c r="AC82" s="7" t="n">
        <x:v>46249.3340277778</x:v>
      </x:c>
      <x:c r="AD82" s="7" t="n">
        <x:v>46249.3354166667</x:v>
      </x:c>
      <x:c r="AE82" s="7" t="n">
        <x:v>46249.3513888889</x:v>
      </x:c>
      <x:c r="AF82" s="7" t="n">
        <x:v>46249.4048611111</x:v>
      </x:c>
      <x:c r="AG82" s="3" t="n">
        <x:v>32</x:v>
      </x:c>
      <x:c r="AH82" s="3" t="n">
        <x:v>68</x:v>
      </x:c>
      <x:c r="AI82" s="3" t="s">
        <x:v>135</x:v>
      </x:c>
      <x:c r="AJ82" s="3" t="s">
        <x:v>135</x:v>
      </x:c>
      <x:c r="AK82" s="3" t="n">
        <x:v>180</x:v>
      </x:c>
      <x:c r="AL82" s="3" t="n">
        <x:v>0</x:v>
      </x:c>
      <x:c r="AM82" s="8" t="n">
        <x:v>0.5556</x:v>
      </x:c>
      <x:c r="AN82" s="3" t="n">
        <x:v>1</x:v>
      </x:c>
      <x:c r="AO82" s="3" t="s">
        <x:v>9</x:v>
      </x:c>
      <x:c r="AP82" s="3" t="s">
        <x:v>500</x:v>
      </x:c>
      <x:c r="AQ82" s="3" t="s">
        <x:v>539</x:v>
      </x:c>
      <x:c r="AR82" s="9" t="n">
        <x:v>893.6</x:v>
      </x:c>
      <x:c r="AS82" s="3" t="s">
        <x:v>121</x:v>
      </x:c>
      <x:c r="AT82" s="7" t="n">
        <x:v>46301.9166666667</x:v>
      </x:c>
    </x:row>
    <x:row r="83" ht="31.299999237060547" hidden="0">
      <x:c r="A83" s="3" t="s">
        <x:v>540</x:v>
      </x:c>
      <x:c r="B83" s="3" t="s">
        <x:v>297</x:v>
      </x:c>
      <x:c r="C83" s="3" t="s">
        <x:v>298</x:v>
      </x:c>
      <x:c r="D83" s="3" t="s">
        <x:v>299</x:v>
      </x:c>
      <x:c r="E83" s="3" t="s">
        <x:v>249</x:v>
      </x:c>
      <x:c r="F83" s="3" t="s">
        <x:v>149</x:v>
      </x:c>
      <x:c r="G83" s="3" t="s">
        <x:v>541</x:v>
      </x:c>
      <x:c r="H83" s="3" t="s">
        <x:v>301</x:v>
      </x:c>
      <x:c r="I83" s="3" t="s">
        <x:v>302</x:v>
      </x:c>
      <x:c r="J83" s="3" t="s">
        <x:v>303</x:v>
      </x:c>
      <x:c r="K83" s="3" t="s">
        <x:v>104</x:v>
      </x:c>
      <x:c r="L83" s="3" t="s">
        <x:v>304</x:v>
      </x:c>
      <x:c r="M83" s="3" t="s">
        <x:v>305</x:v>
      </x:c>
      <x:c r="N83" s="3" t="s">
        <x:v>306</x:v>
      </x:c>
      <x:c r="O83" s="3" t="s">
        <x:v>307</x:v>
      </x:c>
      <x:c r="P83" s="3" t="s">
        <x:v>308</x:v>
      </x:c>
      <x:c r="Q83" s="3" t="s">
        <x:v>309</x:v>
      </x:c>
      <x:c r="R83" s="3" t="s">
        <x:v>196</x:v>
      </x:c>
      <x:c r="S83" s="3" t="s">
        <x:v>111</x:v>
      </x:c>
      <x:c r="T83" s="3" t="s">
        <x:v>111</x:v>
      </x:c>
      <x:c r="U83" s="3" t="s">
        <x:v>197</x:v>
      </x:c>
      <x:c r="V83" s="3" t="s">
        <x:v>198</x:v>
      </x:c>
      <x:c r="W83" s="3" t="s">
        <x:v>199</x:v>
      </x:c>
      <x:c r="X83" s="3" t="s">
        <x:v>366</x:v>
      </x:c>
      <x:c r="Y83" s="3" t="s">
        <x:v>527</x:v>
      </x:c>
      <x:c r="Z83" s="3" t="s">
        <x:v>201</x:v>
      </x:c>
      <x:c r="AA83" s="3" t="s">
        <x:v>368</x:v>
      </x:c>
      <x:c r="AB83" s="7" t="n">
        <x:v>46249.3645833333</x:v>
      </x:c>
      <x:c r="AC83" s="7" t="n">
        <x:v>46249.3659722222</x:v>
      </x:c>
      <x:c r="AD83" s="7" t="n">
        <x:v>46249.3722222222</x:v>
      </x:c>
      <x:c r="AE83" s="7" t="n">
        <x:v>46249.3930555556</x:v>
      </x:c>
      <x:c r="AF83" s="7" t="n">
        <x:v>46249.4298611111</x:v>
      </x:c>
      <x:c r="AG83" s="3" t="n">
        <x:v>41</x:v>
      </x:c>
      <x:c r="AH83" s="3" t="n">
        <x:v>46</x:v>
      </x:c>
      <x:c r="AI83" s="3" t="s">
        <x:v>135</x:v>
      </x:c>
      <x:c r="AJ83" s="3" t="s">
        <x:v>111</x:v>
      </x:c>
      <x:c r="AK83" s="3" t="n">
        <x:v>120</x:v>
      </x:c>
      <x:c r="AL83" s="3" t="n">
        <x:v>0</x:v>
      </x:c>
      <x:c r="AM83" s="8" t="n">
        <x:v>0.725</x:v>
      </x:c>
      <x:c r="AN83" s="3" t="n">
        <x:v>0</x:v>
      </x:c>
      <x:c r="AO83" s="3" t="s">
        <x:v>14</x:v>
      </x:c>
      <x:c r="AP83" s="3" t="s">
        <x:v>318</x:v>
      </x:c>
      <x:c r="AQ83" s="3" t="s">
        <x:v>319</x:v>
      </x:c>
      <x:c r="AR83" s="9" t="n">
        <x:v>1155.7</x:v>
      </x:c>
      <x:c r="AS83" s="3" t="s">
        <x:v>121</x:v>
      </x:c>
      <x:c r="AT83" s="7" t="n">
        <x:v>46301.9166666667</x:v>
      </x:c>
    </x:row>
    <x:row r="84" ht="31.299999237060547" hidden="0">
      <x:c r="A84" s="3" t="s">
        <x:v>542</x:v>
      </x:c>
      <x:c r="B84" s="3" t="s">
        <x:v>222</x:v>
      </x:c>
      <x:c r="C84" s="3" t="s">
        <x:v>223</x:v>
      </x:c>
      <x:c r="D84" s="3" t="s">
        <x:v>224</x:v>
      </x:c>
      <x:c r="E84" s="3" t="s">
        <x:v>249</x:v>
      </x:c>
      <x:c r="F84" s="3" t="s">
        <x:v>149</x:v>
      </x:c>
      <x:c r="G84" s="3" t="s">
        <x:v>354</x:v>
      </x:c>
      <x:c r="H84" s="3" t="s">
        <x:v>101</x:v>
      </x:c>
      <x:c r="I84" s="3" t="s">
        <x:v>102</x:v>
      </x:c>
      <x:c r="J84" s="3" t="s">
        <x:v>103</x:v>
      </x:c>
      <x:c r="K84" s="3" t="s">
        <x:v>104</x:v>
      </x:c>
      <x:c r="L84" s="3" t="s">
        <x:v>226</x:v>
      </x:c>
      <x:c r="M84" s="3" t="s">
        <x:v>227</x:v>
      </x:c>
      <x:c r="N84" s="3" t="s">
        <x:v>228</x:v>
      </x:c>
      <x:c r="O84" s="3" t="s">
        <x:v>229</x:v>
      </x:c>
      <x:c r="P84" s="3" t="s">
        <x:v>230</x:v>
      </x:c>
      <x:c r="Q84" s="3" t="s">
        <x:v>274</x:v>
      </x:c>
      <x:c r="R84" s="3" t="s">
        <x:v>176</x:v>
      </x:c>
      <x:c r="S84" s="3" t="s">
        <x:v>135</x:v>
      </x:c>
      <x:c r="T84" s="3" t="s">
        <x:v>135</x:v>
      </x:c>
      <x:c r="U84" s="3" t="s">
        <x:v>177</x:v>
      </x:c>
      <x:c r="V84" s="3" t="s">
        <x:v>178</x:v>
      </x:c>
      <x:c r="W84" s="3" t="s">
        <x:v>355</x:v>
      </x:c>
      <x:c r="X84" s="3" t="s">
        <x:v>180</x:v>
      </x:c>
      <x:c r="Y84" s="3" t="s">
        <x:v>356</x:v>
      </x:c>
      <x:c r="Z84" s="3" t="s">
        <x:v>182</x:v>
      </x:c>
      <x:c r="AA84" s="3" t="s">
        <x:v>118</x:v>
      </x:c>
      <x:c r="AB84" s="7" t="n">
        <x:v>46249.4118055556</x:v>
      </x:c>
      <x:c r="AC84" s="7" t="n">
        <x:v>46249.4166666667</x:v>
      </x:c>
      <x:c r="AD84" s="7" t="n">
        <x:v>46249.4215277778</x:v>
      </x:c>
      <x:c r="AE84" s="7" t="n">
        <x:v>46249.4381944445</x:v>
      </x:c>
      <x:c r="AF84" s="7" t="n">
        <x:v>46249.48125</x:v>
      </x:c>
      <x:c r="AG84" s="3" t="n">
        <x:v>38</x:v>
      </x:c>
      <x:c r="AH84" s="3" t="n">
        <x:v>53</x:v>
      </x:c>
      <x:c r="AI84" s="3" t="s">
        <x:v>135</x:v>
      </x:c>
      <x:c r="AJ84" s="3" t="s">
        <x:v>135</x:v>
      </x:c>
      <x:c r="AK84" s="3" t="n">
        <x:v>180</x:v>
      </x:c>
      <x:c r="AL84" s="3" t="n">
        <x:v>0</x:v>
      </x:c>
      <x:c r="AM84" s="8" t="n">
        <x:v>0.5056</x:v>
      </x:c>
      <x:c r="AN84" s="3" t="n">
        <x:v>0</x:v>
      </x:c>
      <x:c r="AO84" s="3" t="s">
        <x:v>9</x:v>
      </x:c>
      <x:c r="AP84" s="3" t="s">
        <x:v>142</x:v>
      </x:c>
      <x:c r="AQ84" s="3" t="s">
        <x:v>370</x:v>
      </x:c>
      <x:c r="AR84" s="9" t="n">
        <x:v>812.6</x:v>
      </x:c>
      <x:c r="AS84" s="3" t="s">
        <x:v>185</x:v>
      </x:c>
      <x:c r="AT84" s="7" t="n">
        <x:v>46301.9166666667</x:v>
      </x:c>
    </x:row>
    <x:row r="85" ht="31.299999237060547" hidden="0">
      <x:c r="A85" s="3" t="s">
        <x:v>543</x:v>
      </x:c>
      <x:c r="B85" s="3" t="s">
        <x:v>397</x:v>
      </x:c>
      <x:c r="C85" s="3" t="s">
        <x:v>398</x:v>
      </x:c>
      <x:c r="D85" s="3" t="s">
        <x:v>399</x:v>
      </x:c>
      <x:c r="E85" s="3" t="s">
        <x:v>249</x:v>
      </x:c>
      <x:c r="F85" s="3" t="s">
        <x:v>127</x:v>
      </x:c>
      <x:c r="G85" s="3" t="s">
        <x:v>544</x:v>
      </x:c>
      <x:c r="H85" s="3" t="s">
        <x:v>301</x:v>
      </x:c>
      <x:c r="I85" s="3" t="s">
        <x:v>302</x:v>
      </x:c>
      <x:c r="J85" s="3" t="s">
        <x:v>303</x:v>
      </x:c>
      <x:c r="K85" s="3" t="s">
        <x:v>104</x:v>
      </x:c>
      <x:c r="L85" s="3" t="s">
        <x:v>401</x:v>
      </x:c>
      <x:c r="M85" s="3" t="s">
        <x:v>402</x:v>
      </x:c>
      <x:c r="N85" s="3" t="s">
        <x:v>403</x:v>
      </x:c>
      <x:c r="O85" s="3" t="s">
        <x:v>404</x:v>
      </x:c>
      <x:c r="P85" s="3" t="s">
        <x:v>405</x:v>
      </x:c>
      <x:c r="Q85" s="3" t="s">
        <x:v>406</x:v>
      </x:c>
      <x:c r="R85" s="3" t="s">
        <x:v>134</x:v>
      </x:c>
      <x:c r="S85" s="3" t="s">
        <x:v>135</x:v>
      </x:c>
      <x:c r="T85" s="3" t="s">
        <x:v>111</x:v>
      </x:c>
      <x:c r="U85" s="3" t="s">
        <x:v>136</x:v>
      </x:c>
      <x:c r="V85" s="3" t="s">
        <x:v>137</x:v>
      </x:c>
      <x:c r="W85" s="3" t="s">
        <x:v>407</x:v>
      </x:c>
      <x:c r="X85" s="3" t="s">
        <x:v>139</x:v>
      </x:c>
      <x:c r="Y85" s="3" t="s">
        <x:v>140</x:v>
      </x:c>
      <x:c r="Z85" s="3" t="s">
        <x:v>141</x:v>
      </x:c>
      <x:c r="AA85" s="3" t="s">
        <x:v>118</x:v>
      </x:c>
      <x:c r="AB85" s="7" t="n">
        <x:v>46249.4194444444</x:v>
      </x:c>
      <x:c r="AC85" s="7" t="n">
        <x:v>46249.4236111111</x:v>
      </x:c>
      <x:c r="AD85" s="7" t="n">
        <x:v>46249.4291666667</x:v>
      </x:c>
      <x:c r="AE85" s="7" t="n">
        <x:v>46249.4541666667</x:v>
      </x:c>
      <x:c r="AF85" s="7" t="n">
        <x:v>46249.4680555556</x:v>
      </x:c>
      <x:c r="AG85" s="3" t="n">
        <x:v>50</x:v>
      </x:c>
      <x:c r="AH85" s="3" t="n">
        <x:v>12</x:v>
      </x:c>
      <x:c r="AI85" s="3" t="s">
        <x:v>135</x:v>
      </x:c>
      <x:c r="AJ85" s="3" t="s">
        <x:v>135</x:v>
      </x:c>
      <x:c r="AK85" s="3" t="n">
        <x:v>180</x:v>
      </x:c>
      <x:c r="AL85" s="3" t="n">
        <x:v>0</x:v>
      </x:c>
      <x:c r="AM85" s="8" t="n">
        <x:v>0.3444</x:v>
      </x:c>
      <x:c r="AN85" s="3" t="n">
        <x:v>0</x:v>
      </x:c>
      <x:c r="AO85" s="3" t="s">
        <x:v>9</x:v>
      </x:c>
      <x:c r="AP85" s="3" t="s">
        <x:v>142</x:v>
      </x:c>
      <x:c r="AQ85" s="3" t="s">
        <x:v>408</x:v>
      </x:c>
      <x:c r="AR85" s="9" t="n">
        <x:v>571.4</x:v>
      </x:c>
      <x:c r="AS85" s="3" t="s">
        <x:v>144</x:v>
      </x:c>
      <x:c r="AT85" s="7" t="n">
        <x:v>46301.9166666667</x:v>
      </x:c>
    </x:row>
    <x:row r="86" ht="31.299999237060547" hidden="0">
      <x:c r="A86" s="3" t="s">
        <x:v>545</x:v>
      </x:c>
      <x:c r="B86" s="3" t="s">
        <x:v>222</x:v>
      </x:c>
      <x:c r="C86" s="3" t="s">
        <x:v>223</x:v>
      </x:c>
      <x:c r="D86" s="3" t="s">
        <x:v>224</x:v>
      </x:c>
      <x:c r="E86" s="3" t="s">
        <x:v>249</x:v>
      </x:c>
      <x:c r="F86" s="3" t="s">
        <x:v>127</x:v>
      </x:c>
      <x:c r="G86" s="3" t="s">
        <x:v>447</x:v>
      </x:c>
      <x:c r="H86" s="3" t="s">
        <x:v>343</x:v>
      </x:c>
      <x:c r="I86" s="3" t="s">
        <x:v>102</x:v>
      </x:c>
      <x:c r="J86" s="3" t="s">
        <x:v>103</x:v>
      </x:c>
      <x:c r="K86" s="3" t="s">
        <x:v>104</x:v>
      </x:c>
      <x:c r="L86" s="3" t="s">
        <x:v>226</x:v>
      </x:c>
      <x:c r="M86" s="3" t="s">
        <x:v>227</x:v>
      </x:c>
      <x:c r="N86" s="3" t="s">
        <x:v>228</x:v>
      </x:c>
      <x:c r="O86" s="3" t="s">
        <x:v>229</x:v>
      </x:c>
      <x:c r="P86" s="3" t="s">
        <x:v>230</x:v>
      </x:c>
      <x:c r="Q86" s="3" t="s">
        <x:v>274</x:v>
      </x:c>
      <x:c r="R86" s="3" t="s">
        <x:v>344</x:v>
      </x:c>
      <x:c r="S86" s="3" t="s">
        <x:v>111</x:v>
      </x:c>
      <x:c r="T86" s="3" t="s">
        <x:v>111</x:v>
      </x:c>
      <x:c r="U86" s="3" t="s">
        <x:v>345</x:v>
      </x:c>
      <x:c r="V86" s="3" t="s">
        <x:v>178</x:v>
      </x:c>
      <x:c r="W86" s="3" t="s">
        <x:v>355</x:v>
      </x:c>
      <x:c r="X86" s="3" t="s">
        <x:v>180</x:v>
      </x:c>
      <x:c r="Y86" s="3" t="s">
        <x:v>356</x:v>
      </x:c>
      <x:c r="Z86" s="3" t="s">
        <x:v>346</x:v>
      </x:c>
      <x:c r="AA86" s="3" t="s">
        <x:v>118</x:v>
      </x:c>
      <x:c r="AB86" s="7" t="n">
        <x:v>46249.4583333333</x:v>
      </x:c>
      <x:c r="AC86" s="7" t="n">
        <x:v>46249.4625</x:v>
      </x:c>
      <x:c r="AD86" s="7" t="n">
        <x:v>46249.4666666667</x:v>
      </x:c>
      <x:c r="AE86" s="7" t="n">
        <x:v>46249.4722222222</x:v>
      </x:c>
      <x:c r="AF86" s="7" t="n">
        <x:v>46249.5104166667</x:v>
      </x:c>
      <x:c r="AG86" s="3" t="n">
        <x:v>20</x:v>
      </x:c>
      <x:c r="AH86" s="3" t="n">
        <x:v>50</x:v>
      </x:c>
      <x:c r="AI86" s="3" t="s">
        <x:v>135</x:v>
      </x:c>
      <x:c r="AJ86" s="3" t="s">
        <x:v>135</x:v>
      </x:c>
      <x:c r="AK86" s="3" t="n">
        <x:v>120</x:v>
      </x:c>
      <x:c r="AL86" s="3" t="n">
        <x:v>0</x:v>
      </x:c>
      <x:c r="AM86" s="8" t="n">
        <x:v>0.5833</x:v>
      </x:c>
      <x:c r="AN86" s="3" t="n">
        <x:v>1</x:v>
      </x:c>
      <x:c r="AO86" s="3" t="s">
        <x:v>9</x:v>
      </x:c>
      <x:c r="AP86" s="3" t="s">
        <x:v>500</x:v>
      </x:c>
      <x:c r="AQ86" s="3" t="s">
        <x:v>546</x:v>
      </x:c>
      <x:c r="AR86" s="9" t="n">
        <x:v>710</x:v>
      </x:c>
      <x:c r="AS86" s="3" t="s">
        <x:v>121</x:v>
      </x:c>
      <x:c r="AT86" s="7" t="n">
        <x:v>46301.9166666667</x:v>
      </x:c>
    </x:row>
    <x:row r="87" ht="31.299999237060547" hidden="0">
      <x:c r="A87" s="3" t="s">
        <x:v>547</x:v>
      </x:c>
      <x:c r="B87" s="3" t="s">
        <x:v>123</x:v>
      </x:c>
      <x:c r="C87" s="3" t="s">
        <x:v>124</x:v>
      </x:c>
      <x:c r="D87" s="3" t="s">
        <x:v>125</x:v>
      </x:c>
      <x:c r="E87" s="3" t="s">
        <x:v>249</x:v>
      </x:c>
      <x:c r="F87" s="3" t="s">
        <x:v>99</x:v>
      </x:c>
      <x:c r="G87" s="3" t="s">
        <x:v>359</x:v>
      </x:c>
      <x:c r="H87" s="3" t="s">
        <x:v>101</x:v>
      </x:c>
      <x:c r="I87" s="3" t="s">
        <x:v>102</x:v>
      </x:c>
      <x:c r="J87" s="3" t="s">
        <x:v>103</x:v>
      </x:c>
      <x:c r="K87" s="3" t="s">
        <x:v>104</x:v>
      </x:c>
      <x:c r="L87" s="3" t="s">
        <x:v>129</x:v>
      </x:c>
      <x:c r="M87" s="3" t="s">
        <x:v>130</x:v>
      </x:c>
      <x:c r="N87" s="3" t="s">
        <x:v>131</x:v>
      </x:c>
      <x:c r="O87" s="3" t="s">
        <x:v>132</x:v>
      </x:c>
      <x:c r="P87" s="3" t="s">
        <x:v>133</x:v>
      </x:c>
      <x:c r="Q87" s="3" t="s">
        <x:v>268</x:v>
      </x:c>
      <x:c r="R87" s="3" t="s">
        <x:v>156</x:v>
      </x:c>
      <x:c r="S87" s="3" t="s">
        <x:v>135</x:v>
      </x:c>
      <x:c r="T87" s="3" t="s">
        <x:v>111</x:v>
      </x:c>
      <x:c r="U87" s="3" t="s">
        <x:v>157</x:v>
      </x:c>
      <x:c r="V87" s="3" t="s">
        <x:v>158</x:v>
      </x:c>
      <x:c r="W87" s="3" t="s">
        <x:v>159</x:v>
      </x:c>
      <x:c r="X87" s="3" t="s">
        <x:v>160</x:v>
      </x:c>
      <x:c r="Y87" s="3" t="s">
        <x:v>360</x:v>
      </x:c>
      <x:c r="Z87" s="3" t="s">
        <x:v>162</x:v>
      </x:c>
      <x:c r="AA87" s="3" t="s">
        <x:v>118</x:v>
      </x:c>
      <x:c r="AB87" s="7" t="n">
        <x:v>46249.5840277778</x:v>
      </x:c>
      <x:c r="AC87" s="7" t="n">
        <x:v>46249.5875</x:v>
      </x:c>
      <x:c r="AD87" s="7" t="n">
        <x:v>46249.59375</x:v>
      </x:c>
      <x:c r="AE87" s="7" t="n">
        <x:v>46249.6118055556</x:v>
      </x:c>
      <x:c r="AF87" s="7" t="n">
        <x:v>46249.6534722222</x:v>
      </x:c>
      <x:c r="AG87" s="3" t="n">
        <x:v>40</x:v>
      </x:c>
      <x:c r="AH87" s="3" t="n">
        <x:v>52</x:v>
      </x:c>
      <x:c r="AI87" s="3" t="s">
        <x:v>135</x:v>
      </x:c>
      <x:c r="AJ87" s="3" t="s">
        <x:v>135</x:v>
      </x:c>
      <x:c r="AK87" s="3" t="n">
        <x:v>180</x:v>
      </x:c>
      <x:c r="AL87" s="3" t="n">
        <x:v>0</x:v>
      </x:c>
      <x:c r="AM87" s="8" t="n">
        <x:v>0.5111</x:v>
      </x:c>
      <x:c r="AN87" s="3" t="n">
        <x:v>0</x:v>
      </x:c>
      <x:c r="AO87" s="3" t="s">
        <x:v>9</x:v>
      </x:c>
      <x:c r="AP87" s="3" t="s">
        <x:v>142</x:v>
      </x:c>
      <x:c r="AQ87" s="3" t="s">
        <x:v>357</x:v>
      </x:c>
      <x:c r="AR87" s="9" t="n">
        <x:v>814.4</x:v>
      </x:c>
      <x:c r="AS87" s="3" t="s">
        <x:v>121</x:v>
      </x:c>
      <x:c r="AT87" s="7" t="n">
        <x:v>46301.9166666667</x:v>
      </x:c>
    </x:row>
    <x:row r="88" ht="31.299999237060547" hidden="0">
      <x:c r="A88" s="3" t="s">
        <x:v>548</x:v>
      </x:c>
      <x:c r="B88" s="3" t="s">
        <x:v>146</x:v>
      </x:c>
      <x:c r="C88" s="3" t="s">
        <x:v>147</x:v>
      </x:c>
      <x:c r="D88" s="3" t="s">
        <x:v>148</x:v>
      </x:c>
      <x:c r="E88" s="3" t="s">
        <x:v>249</x:v>
      </x:c>
      <x:c r="F88" s="3" t="s">
        <x:v>169</x:v>
      </x:c>
      <x:c r="G88" s="3" t="s">
        <x:v>443</x:v>
      </x:c>
      <x:c r="H88" s="3" t="s">
        <x:v>101</x:v>
      </x:c>
      <x:c r="I88" s="3" t="s">
        <x:v>102</x:v>
      </x:c>
      <x:c r="J88" s="3" t="s">
        <x:v>103</x:v>
      </x:c>
      <x:c r="K88" s="3" t="s">
        <x:v>104</x:v>
      </x:c>
      <x:c r="L88" s="3" t="s">
        <x:v>151</x:v>
      </x:c>
      <x:c r="M88" s="3" t="s">
        <x:v>152</x:v>
      </x:c>
      <x:c r="N88" s="3" t="s">
        <x:v>153</x:v>
      </x:c>
      <x:c r="O88" s="3" t="s">
        <x:v>154</x:v>
      </x:c>
      <x:c r="P88" s="3" t="s">
        <x:v>155</x:v>
      </x:c>
      <x:c r="Q88" s="3" t="s">
        <x:v>270</x:v>
      </x:c>
      <x:c r="R88" s="3" t="s">
        <x:v>330</x:v>
      </x:c>
      <x:c r="S88" s="3" t="s">
        <x:v>135</x:v>
      </x:c>
      <x:c r="T88" s="3" t="s">
        <x:v>111</x:v>
      </x:c>
      <x:c r="U88" s="3" t="s">
        <x:v>331</x:v>
      </x:c>
      <x:c r="V88" s="3" t="s">
        <x:v>178</x:v>
      </x:c>
      <x:c r="W88" s="3" t="s">
        <x:v>179</x:v>
      </x:c>
      <x:c r="X88" s="3" t="s">
        <x:v>180</x:v>
      </x:c>
      <x:c r="Y88" s="3" t="s">
        <x:v>414</x:v>
      </x:c>
      <x:c r="Z88" s="3" t="s">
        <x:v>334</x:v>
      </x:c>
      <x:c r="AA88" s="3" t="s">
        <x:v>118</x:v>
      </x:c>
      <x:c r="AB88" s="7" t="n">
        <x:v>46249.7069444444</x:v>
      </x:c>
      <x:c r="AC88" s="7" t="n">
        <x:v>46249.7090277778</x:v>
      </x:c>
      <x:c r="AD88" s="7" t="n">
        <x:v>46249.7131944444</x:v>
      </x:c>
      <x:c r="AE88" s="7" t="n">
        <x:v>46249.7236111111</x:v>
      </x:c>
      <x:c r="AF88" s="7" t="n">
        <x:v>46249.7729166667</x:v>
      </x:c>
      <x:c r="AG88" s="3" t="n">
        <x:v>24</x:v>
      </x:c>
      <x:c r="AH88" s="3" t="n">
        <x:v>61</x:v>
      </x:c>
      <x:c r="AI88" s="3" t="s">
        <x:v>135</x:v>
      </x:c>
      <x:c r="AJ88" s="3" t="s">
        <x:v>135</x:v>
      </x:c>
      <x:c r="AK88" s="3" t="n">
        <x:v>180</x:v>
      </x:c>
      <x:c r="AL88" s="3" t="n">
        <x:v>0</x:v>
      </x:c>
      <x:c r="AM88" s="8" t="n">
        <x:v>0.4722</x:v>
      </x:c>
      <x:c r="AN88" s="3" t="n">
        <x:v>0</x:v>
      </x:c>
      <x:c r="AO88" s="3" t="s">
        <x:v>9</x:v>
      </x:c>
      <x:c r="AP88" s="3" t="s">
        <x:v>142</x:v>
      </x:c>
      <x:c r="AQ88" s="3" t="s">
        <x:v>459</x:v>
      </x:c>
      <x:c r="AR88" s="9" t="n">
        <x:v>807.2</x:v>
      </x:c>
      <x:c r="AS88" s="3" t="s">
        <x:v>121</x:v>
      </x:c>
      <x:c r="AT88" s="7" t="n">
        <x:v>46301.9166666667</x:v>
      </x:c>
    </x:row>
    <x:row r="89" ht="31.299999237060547" hidden="0">
      <x:c r="A89" s="3" t="s">
        <x:v>549</x:v>
      </x:c>
      <x:c r="B89" s="3" t="s">
        <x:v>397</x:v>
      </x:c>
      <x:c r="C89" s="3" t="s">
        <x:v>398</x:v>
      </x:c>
      <x:c r="D89" s="3" t="s">
        <x:v>399</x:v>
      </x:c>
      <x:c r="E89" s="3" t="s">
        <x:v>249</x:v>
      </x:c>
      <x:c r="F89" s="3" t="s">
        <x:v>127</x:v>
      </x:c>
      <x:c r="G89" s="3" t="s">
        <x:v>390</x:v>
      </x:c>
      <x:c r="H89" s="3" t="s">
        <x:v>301</x:v>
      </x:c>
      <x:c r="I89" s="3" t="s">
        <x:v>302</x:v>
      </x:c>
      <x:c r="J89" s="3" t="s">
        <x:v>303</x:v>
      </x:c>
      <x:c r="K89" s="3" t="s">
        <x:v>104</x:v>
      </x:c>
      <x:c r="L89" s="3" t="s">
        <x:v>401</x:v>
      </x:c>
      <x:c r="M89" s="3" t="s">
        <x:v>402</x:v>
      </x:c>
      <x:c r="N89" s="3" t="s">
        <x:v>403</x:v>
      </x:c>
      <x:c r="O89" s="3" t="s">
        <x:v>404</x:v>
      </x:c>
      <x:c r="P89" s="3" t="s">
        <x:v>405</x:v>
      </x:c>
      <x:c r="Q89" s="3" t="s">
        <x:v>406</x:v>
      </x:c>
      <x:c r="R89" s="3" t="s">
        <x:v>391</x:v>
      </x:c>
      <x:c r="S89" s="3" t="s">
        <x:v>135</x:v>
      </x:c>
      <x:c r="T89" s="3" t="s">
        <x:v>135</x:v>
      </x:c>
      <x:c r="U89" s="3" t="s">
        <x:v>392</x:v>
      </x:c>
      <x:c r="V89" s="3" t="s">
        <x:v>312</x:v>
      </x:c>
      <x:c r="W89" s="3" t="s">
        <x:v>382</x:v>
      </x:c>
      <x:c r="X89" s="3" t="s">
        <x:v>314</x:v>
      </x:c>
      <x:c r="Y89" s="3" t="s">
        <x:v>383</x:v>
      </x:c>
      <x:c r="Z89" s="3" t="s">
        <x:v>393</x:v>
      </x:c>
      <x:c r="AA89" s="3" t="s">
        <x:v>394</x:v>
      </x:c>
      <x:c r="AB89" s="7" t="n">
        <x:v>46249.7125</x:v>
      </x:c>
      <x:c r="AC89" s="7" t="n">
        <x:v>46249.7173611111</x:v>
      </x:c>
      <x:c r="AD89" s="7" t="n">
        <x:v>46249.7215277778</x:v>
      </x:c>
      <x:c r="AE89" s="7" t="n">
        <x:v>46249.7451388889</x:v>
      </x:c>
      <x:c r="AF89" s="7" t="n">
        <x:v>46249.76875</x:v>
      </x:c>
      <x:c r="AG89" s="3" t="n">
        <x:v>47</x:v>
      </x:c>
      <x:c r="AH89" s="3" t="n">
        <x:v>31</x:v>
      </x:c>
      <x:c r="AI89" s="3" t="s">
        <x:v>135</x:v>
      </x:c>
      <x:c r="AJ89" s="3" t="s">
        <x:v>135</x:v>
      </x:c>
      <x:c r="AK89" s="3" t="n">
        <x:v>180</x:v>
      </x:c>
      <x:c r="AL89" s="3" t="n">
        <x:v>0</x:v>
      </x:c>
      <x:c r="AM89" s="8" t="n">
        <x:v>0.4333</x:v>
      </x:c>
      <x:c r="AN89" s="3" t="n">
        <x:v>0</x:v>
      </x:c>
      <x:c r="AO89" s="3" t="s">
        <x:v>9</x:v>
      </x:c>
      <x:c r="AP89" s="3" t="s">
        <x:v>142</x:v>
      </x:c>
      <x:c r="AQ89" s="3" t="s">
        <x:v>550</x:v>
      </x:c>
      <x:c r="AR89" s="9" t="n">
        <x:v>694.7</x:v>
      </x:c>
      <x:c r="AS89" s="3" t="s">
        <x:v>121</x:v>
      </x:c>
      <x:c r="AT89" s="7" t="n">
        <x:v>46301.9166666667</x:v>
      </x:c>
    </x:row>
    <x:row r="90" ht="31.299999237060547" hidden="0">
      <x:c r="A90" s="3" t="s">
        <x:v>551</x:v>
      </x:c>
      <x:c r="B90" s="3" t="s">
        <x:v>83</x:v>
      </x:c>
      <x:c r="C90" s="3" t="s">
        <x:v>96</x:v>
      </x:c>
      <x:c r="D90" s="3" t="s">
        <x:v>97</x:v>
      </x:c>
      <x:c r="E90" s="3" t="s">
        <x:v>249</x:v>
      </x:c>
      <x:c r="F90" s="3" t="s">
        <x:v>127</x:v>
      </x:c>
      <x:c r="G90" s="3" t="s">
        <x:v>486</x:v>
      </x:c>
      <x:c r="H90" s="3" t="s">
        <x:v>101</x:v>
      </x:c>
      <x:c r="I90" s="3" t="s">
        <x:v>102</x:v>
      </x:c>
      <x:c r="J90" s="3" t="s">
        <x:v>103</x:v>
      </x:c>
      <x:c r="K90" s="3" t="s">
        <x:v>104</x:v>
      </x:c>
      <x:c r="L90" s="3" t="s">
        <x:v>105</x:v>
      </x:c>
      <x:c r="M90" s="3" t="s">
        <x:v>106</x:v>
      </x:c>
      <x:c r="N90" s="3" t="s">
        <x:v>107</x:v>
      </x:c>
      <x:c r="O90" s="3" t="s">
        <x:v>108</x:v>
      </x:c>
      <x:c r="P90" s="3" t="s">
        <x:v>109</x:v>
      </x:c>
      <x:c r="Q90" s="3" t="s">
        <x:v>250</x:v>
      </x:c>
      <x:c r="R90" s="3" t="s">
        <x:v>176</x:v>
      </x:c>
      <x:c r="S90" s="3" t="s">
        <x:v>135</x:v>
      </x:c>
      <x:c r="T90" s="3" t="s">
        <x:v>135</x:v>
      </x:c>
      <x:c r="U90" s="3" t="s">
        <x:v>177</x:v>
      </x:c>
      <x:c r="V90" s="3" t="s">
        <x:v>178</x:v>
      </x:c>
      <x:c r="W90" s="3" t="s">
        <x:v>179</x:v>
      </x:c>
      <x:c r="X90" s="3" t="s">
        <x:v>180</x:v>
      </x:c>
      <x:c r="Y90" s="3" t="s">
        <x:v>414</x:v>
      </x:c>
      <x:c r="Z90" s="3" t="s">
        <x:v>182</x:v>
      </x:c>
      <x:c r="AA90" s="3" t="s">
        <x:v>118</x:v>
      </x:c>
      <x:c r="AB90" s="7" t="n">
        <x:v>46249.7138888889</x:v>
      </x:c>
      <x:c r="AC90" s="7" t="n">
        <x:v>46249.71875</x:v>
      </x:c>
      <x:c r="AD90" s="7" t="n">
        <x:v>46249.7222222222</x:v>
      </x:c>
      <x:c r="AE90" s="7" t="n">
        <x:v>46249.7305555556</x:v>
      </x:c>
      <x:c r="AF90" s="7" t="n">
        <x:v>46249.7583333333</x:v>
      </x:c>
      <x:c r="AG90" s="3" t="n">
        <x:v>24</x:v>
      </x:c>
      <x:c r="AH90" s="3" t="n">
        <x:v>33</x:v>
      </x:c>
      <x:c r="AI90" s="3" t="s">
        <x:v>111</x:v>
      </x:c>
      <x:c r="AJ90" s="3" t="s">
        <x:v>111</x:v>
      </x:c>
      <x:c r="AK90" s="3" t="n">
        <x:v>60</x:v>
      </x:c>
      <x:c r="AL90" s="3" t="n">
        <x:v>0</x:v>
      </x:c>
      <x:c r="AM90" s="8" t="n">
        <x:v>0.95</x:v>
      </x:c>
      <x:c r="AN90" s="3" t="n">
        <x:v>0</x:v>
      </x:c>
      <x:c r="AO90" s="3" t="s">
        <x:v>24</x:v>
      </x:c>
      <x:c r="AP90" s="3" t="s">
        <x:v>552</x:v>
      </x:c>
      <x:c r="AQ90" s="3" t="s">
        <x:v>422</x:v>
      </x:c>
      <x:c r="AR90" s="9" t="n">
        <x:v>925.6</x:v>
      </x:c>
      <x:c r="AS90" s="3" t="s">
        <x:v>121</x:v>
      </x:c>
      <x:c r="AT90" s="7" t="n">
        <x:v>46301.9166666667</x:v>
      </x:c>
    </x:row>
    <x:row r="91" ht="31.299999237060547" hidden="0">
      <x:c r="A91" s="3" t="s">
        <x:v>553</x:v>
      </x:c>
      <x:c r="B91" s="3" t="s">
        <x:v>397</x:v>
      </x:c>
      <x:c r="C91" s="3" t="s">
        <x:v>398</x:v>
      </x:c>
      <x:c r="D91" s="3" t="s">
        <x:v>399</x:v>
      </x:c>
      <x:c r="E91" s="3" t="s">
        <x:v>249</x:v>
      </x:c>
      <x:c r="F91" s="3" t="s">
        <x:v>127</x:v>
      </x:c>
      <x:c r="G91" s="3" t="s">
        <x:v>469</x:v>
      </x:c>
      <x:c r="H91" s="3" t="s">
        <x:v>301</x:v>
      </x:c>
      <x:c r="I91" s="3" t="s">
        <x:v>302</x:v>
      </x:c>
      <x:c r="J91" s="3" t="s">
        <x:v>303</x:v>
      </x:c>
      <x:c r="K91" s="3" t="s">
        <x:v>104</x:v>
      </x:c>
      <x:c r="L91" s="3" t="s">
        <x:v>401</x:v>
      </x:c>
      <x:c r="M91" s="3" t="s">
        <x:v>402</x:v>
      </x:c>
      <x:c r="N91" s="3" t="s">
        <x:v>403</x:v>
      </x:c>
      <x:c r="O91" s="3" t="s">
        <x:v>404</x:v>
      </x:c>
      <x:c r="P91" s="3" t="s">
        <x:v>405</x:v>
      </x:c>
      <x:c r="Q91" s="3" t="s">
        <x:v>406</x:v>
      </x:c>
      <x:c r="R91" s="3" t="s">
        <x:v>110</x:v>
      </x:c>
      <x:c r="S91" s="3" t="s">
        <x:v>111</x:v>
      </x:c>
      <x:c r="T91" s="3" t="s">
        <x:v>111</x:v>
      </x:c>
      <x:c r="U91" s="3" t="s">
        <x:v>112</x:v>
      </x:c>
      <x:c r="V91" s="3" t="s">
        <x:v>113</x:v>
      </x:c>
      <x:c r="W91" s="3" t="s">
        <x:v>419</x:v>
      </x:c>
      <x:c r="X91" s="3" t="s">
        <x:v>115</x:v>
      </x:c>
      <x:c r="Y91" s="3" t="s">
        <x:v>420</x:v>
      </x:c>
      <x:c r="Z91" s="3" t="s">
        <x:v>117</x:v>
      </x:c>
      <x:c r="AA91" s="3" t="s">
        <x:v>118</x:v>
      </x:c>
      <x:c r="AB91" s="7" t="n">
        <x:v>46250.3868055556</x:v>
      </x:c>
      <x:c r="AC91" s="7" t="n">
        <x:v>46250.3916666667</x:v>
      </x:c>
      <x:c r="AD91" s="7" t="n">
        <x:v>46250.3958333333</x:v>
      </x:c>
      <x:c r="AE91" s="7" t="n">
        <x:v>46250.4048611111</x:v>
      </x:c>
      <x:c r="AF91" s="7" t="n">
        <x:v>46250.4333333333</x:v>
      </x:c>
      <x:c r="AG91" s="3" t="n">
        <x:v>26</x:v>
      </x:c>
      <x:c r="AH91" s="3" t="n">
        <x:v>32</x:v>
      </x:c>
      <x:c r="AI91" s="3" t="s">
        <x:v>135</x:v>
      </x:c>
      <x:c r="AJ91" s="3" t="s">
        <x:v>135</x:v>
      </x:c>
      <x:c r="AK91" s="3" t="n">
        <x:v>120</x:v>
      </x:c>
      <x:c r="AL91" s="3" t="n">
        <x:v>0</x:v>
      </x:c>
      <x:c r="AM91" s="8" t="n">
        <x:v>0.4833</x:v>
      </x:c>
      <x:c r="AN91" s="3" t="n">
        <x:v>0</x:v>
      </x:c>
      <x:c r="AO91" s="3" t="s">
        <x:v>9</x:v>
      </x:c>
      <x:c r="AP91" s="3" t="s">
        <x:v>142</x:v>
      </x:c>
      <x:c r="AQ91" s="3" t="s">
        <x:v>550</x:v>
      </x:c>
      <x:c r="AR91" s="9" t="n">
        <x:v>607.4</x:v>
      </x:c>
      <x:c r="AS91" s="3" t="s">
        <x:v>121</x:v>
      </x:c>
      <x:c r="AT91" s="7" t="n">
        <x:v>46301.9166666667</x:v>
      </x:c>
    </x:row>
    <x:row r="92" ht="31.299999237060547" hidden="0">
      <x:c r="A92" s="3" t="s">
        <x:v>554</x:v>
      </x:c>
      <x:c r="B92" s="3" t="s">
        <x:v>83</x:v>
      </x:c>
      <x:c r="C92" s="3" t="s">
        <x:v>96</x:v>
      </x:c>
      <x:c r="D92" s="3" t="s">
        <x:v>97</x:v>
      </x:c>
      <x:c r="E92" s="3" t="s">
        <x:v>249</x:v>
      </x:c>
      <x:c r="F92" s="3" t="s">
        <x:v>127</x:v>
      </x:c>
      <x:c r="G92" s="3" t="s">
        <x:v>477</x:v>
      </x:c>
      <x:c r="H92" s="3" t="s">
        <x:v>343</x:v>
      </x:c>
      <x:c r="I92" s="3" t="s">
        <x:v>102</x:v>
      </x:c>
      <x:c r="J92" s="3" t="s">
        <x:v>103</x:v>
      </x:c>
      <x:c r="K92" s="3" t="s">
        <x:v>104</x:v>
      </x:c>
      <x:c r="L92" s="3" t="s">
        <x:v>105</x:v>
      </x:c>
      <x:c r="M92" s="3" t="s">
        <x:v>106</x:v>
      </x:c>
      <x:c r="N92" s="3" t="s">
        <x:v>107</x:v>
      </x:c>
      <x:c r="O92" s="3" t="s">
        <x:v>108</x:v>
      </x:c>
      <x:c r="P92" s="3" t="s">
        <x:v>109</x:v>
      </x:c>
      <x:c r="Q92" s="3" t="s">
        <x:v>250</x:v>
      </x:c>
      <x:c r="R92" s="3" t="s">
        <x:v>214</x:v>
      </x:c>
      <x:c r="S92" s="3" t="s">
        <x:v>135</x:v>
      </x:c>
      <x:c r="T92" s="3" t="s">
        <x:v>111</x:v>
      </x:c>
      <x:c r="U92" s="3" t="s">
        <x:v>215</x:v>
      </x:c>
      <x:c r="V92" s="3" t="s">
        <x:v>216</x:v>
      </x:c>
      <x:c r="W92" s="3" t="s">
        <x:v>217</x:v>
      </x:c>
      <x:c r="X92" s="3" t="s">
        <x:v>430</x:v>
      </x:c>
      <x:c r="Y92" s="3" t="s">
        <x:v>555</x:v>
      </x:c>
      <x:c r="Z92" s="3" t="s">
        <x:v>219</x:v>
      </x:c>
      <x:c r="AA92" s="3" t="s">
        <x:v>118</x:v>
      </x:c>
      <x:c r="AB92" s="7" t="n">
        <x:v>46250.4756944444</x:v>
      </x:c>
      <x:c r="AC92" s="7" t="n">
        <x:v>46250.4798611111</x:v>
      </x:c>
      <x:c r="AD92" s="7" t="n">
        <x:v>46250.4840277778</x:v>
      </x:c>
      <x:c r="AE92" s="7" t="n">
        <x:v>46250.5048611111</x:v>
      </x:c>
      <x:c r="AF92" s="7" t="n">
        <x:v>46250.5319444445</x:v>
      </x:c>
      <x:c r="AG92" s="3" t="n">
        <x:v>42</x:v>
      </x:c>
      <x:c r="AH92" s="3" t="n">
        <x:v>32</x:v>
      </x:c>
      <x:c r="AI92" s="3" t="s">
        <x:v>111</x:v>
      </x:c>
      <x:c r="AJ92" s="3" t="s">
        <x:v>111</x:v>
      </x:c>
      <x:c r="AK92" s="3" t="n">
        <x:v>60</x:v>
      </x:c>
      <x:c r="AL92" s="3" t="n">
        <x:v>0</x:v>
      </x:c>
      <x:c r="AM92" s="8" t="n">
        <x:v>1.2333</x:v>
      </x:c>
      <x:c r="AN92" s="3" t="n">
        <x:v>0</x:v>
      </x:c>
      <x:c r="AO92" s="3" t="s">
        <x:v>24</x:v>
      </x:c>
      <x:c r="AP92" s="3" t="s">
        <x:v>421</x:v>
      </x:c>
      <x:c r="AQ92" s="3" t="s">
        <x:v>422</x:v>
      </x:c>
      <x:c r="AR92" s="9" t="n">
        <x:v>999.4</x:v>
      </x:c>
      <x:c r="AS92" s="3" t="s">
        <x:v>185</x:v>
      </x:c>
      <x:c r="AT92" s="7" t="n">
        <x:v>46301.9166666667</x:v>
      </x:c>
    </x:row>
    <x:row r="93" ht="31.299999237060547" hidden="0">
      <x:c r="A93" s="3" t="s">
        <x:v>556</x:v>
      </x:c>
      <x:c r="B93" s="3" t="s">
        <x:v>222</x:v>
      </x:c>
      <x:c r="C93" s="3" t="s">
        <x:v>223</x:v>
      </x:c>
      <x:c r="D93" s="3" t="s">
        <x:v>224</x:v>
      </x:c>
      <x:c r="E93" s="3" t="s">
        <x:v>249</x:v>
      </x:c>
      <x:c r="F93" s="3" t="s">
        <x:v>149</x:v>
      </x:c>
      <x:c r="G93" s="3" t="s">
        <x:v>463</x:v>
      </x:c>
      <x:c r="H93" s="3" t="s">
        <x:v>101</x:v>
      </x:c>
      <x:c r="I93" s="3" t="s">
        <x:v>102</x:v>
      </x:c>
      <x:c r="J93" s="3" t="s">
        <x:v>103</x:v>
      </x:c>
      <x:c r="K93" s="3" t="s">
        <x:v>104</x:v>
      </x:c>
      <x:c r="L93" s="3" t="s">
        <x:v>226</x:v>
      </x:c>
      <x:c r="M93" s="3" t="s">
        <x:v>227</x:v>
      </x:c>
      <x:c r="N93" s="3" t="s">
        <x:v>228</x:v>
      </x:c>
      <x:c r="O93" s="3" t="s">
        <x:v>229</x:v>
      </x:c>
      <x:c r="P93" s="3" t="s">
        <x:v>230</x:v>
      </x:c>
      <x:c r="Q93" s="3" t="s">
        <x:v>274</x:v>
      </x:c>
      <x:c r="R93" s="3" t="s">
        <x:v>380</x:v>
      </x:c>
      <x:c r="S93" s="3" t="s">
        <x:v>111</x:v>
      </x:c>
      <x:c r="T93" s="3" t="s">
        <x:v>111</x:v>
      </x:c>
      <x:c r="U93" s="3" t="s">
        <x:v>381</x:v>
      </x:c>
      <x:c r="V93" s="3" t="s">
        <x:v>312</x:v>
      </x:c>
      <x:c r="W93" s="3" t="s">
        <x:v>351</x:v>
      </x:c>
      <x:c r="X93" s="3" t="s">
        <x:v>314</x:v>
      </x:c>
      <x:c r="Y93" s="3" t="s">
        <x:v>352</x:v>
      </x:c>
      <x:c r="Z93" s="3" t="s">
        <x:v>384</x:v>
      </x:c>
      <x:c r="AA93" s="3" t="s">
        <x:v>385</x:v>
      </x:c>
      <x:c r="AB93" s="7" t="n">
        <x:v>46250.5152777778</x:v>
      </x:c>
      <x:c r="AC93" s="7" t="n">
        <x:v>46250.5180555556</x:v>
      </x:c>
      <x:c r="AD93" s="7" t="n">
        <x:v>46250.5194444444</x:v>
      </x:c>
      <x:c r="AE93" s="7" t="n">
        <x:v>46250.5375</x:v>
      </x:c>
      <x:c r="AF93" s="7" t="n">
        <x:v>46250.5694444444</x:v>
      </x:c>
      <x:c r="AG93" s="3" t="n">
        <x:v>32</x:v>
      </x:c>
      <x:c r="AH93" s="3" t="n">
        <x:v>43</x:v>
      </x:c>
      <x:c r="AI93" s="3" t="s">
        <x:v>135</x:v>
      </x:c>
      <x:c r="AJ93" s="3" t="s">
        <x:v>135</x:v>
      </x:c>
      <x:c r="AK93" s="3" t="n">
        <x:v>120</x:v>
      </x:c>
      <x:c r="AL93" s="3" t="n">
        <x:v>0</x:v>
      </x:c>
      <x:c r="AM93" s="8" t="n">
        <x:v>0.625</x:v>
      </x:c>
      <x:c r="AN93" s="3" t="n">
        <x:v>1</x:v>
      </x:c>
      <x:c r="AO93" s="3" t="s">
        <x:v>14</x:v>
      </x:c>
      <x:c r="AP93" s="3" t="s">
        <x:v>471</x:v>
      </x:c>
      <x:c r="AQ93" s="3" t="s">
        <x:v>546</x:v>
      </x:c>
      <x:c r="AR93" s="9" t="n">
        <x:v>713.6</x:v>
      </x:c>
      <x:c r="AS93" s="3" t="s">
        <x:v>185</x:v>
      </x:c>
      <x:c r="AT93" s="7" t="n">
        <x:v>46301.9166666667</x:v>
      </x:c>
    </x:row>
    <x:row r="94" ht="31.299999237060547" hidden="0">
      <x:c r="A94" s="3" t="s">
        <x:v>557</x:v>
      </x:c>
      <x:c r="B94" s="3" t="s">
        <x:v>146</x:v>
      </x:c>
      <x:c r="C94" s="3" t="s">
        <x:v>147</x:v>
      </x:c>
      <x:c r="D94" s="3" t="s">
        <x:v>148</x:v>
      </x:c>
      <x:c r="E94" s="3" t="s">
        <x:v>249</x:v>
      </x:c>
      <x:c r="F94" s="3" t="s">
        <x:v>99</x:v>
      </x:c>
      <x:c r="G94" s="3" t="s">
        <x:v>522</x:v>
      </x:c>
      <x:c r="H94" s="3" t="s">
        <x:v>343</x:v>
      </x:c>
      <x:c r="I94" s="3" t="s">
        <x:v>102</x:v>
      </x:c>
      <x:c r="J94" s="3" t="s">
        <x:v>103</x:v>
      </x:c>
      <x:c r="K94" s="3" t="s">
        <x:v>104</x:v>
      </x:c>
      <x:c r="L94" s="3" t="s">
        <x:v>151</x:v>
      </x:c>
      <x:c r="M94" s="3" t="s">
        <x:v>152</x:v>
      </x:c>
      <x:c r="N94" s="3" t="s">
        <x:v>153</x:v>
      </x:c>
      <x:c r="O94" s="3" t="s">
        <x:v>154</x:v>
      </x:c>
      <x:c r="P94" s="3" t="s">
        <x:v>155</x:v>
      </x:c>
      <x:c r="Q94" s="3" t="s">
        <x:v>270</x:v>
      </x:c>
      <x:c r="R94" s="3" t="s">
        <x:v>380</x:v>
      </x:c>
      <x:c r="S94" s="3" t="s">
        <x:v>111</x:v>
      </x:c>
      <x:c r="T94" s="3" t="s">
        <x:v>111</x:v>
      </x:c>
      <x:c r="U94" s="3" t="s">
        <x:v>381</x:v>
      </x:c>
      <x:c r="V94" s="3" t="s">
        <x:v>312</x:v>
      </x:c>
      <x:c r="W94" s="3" t="s">
        <x:v>313</x:v>
      </x:c>
      <x:c r="X94" s="3" t="s">
        <x:v>314</x:v>
      </x:c>
      <x:c r="Y94" s="3" t="s">
        <x:v>315</x:v>
      </x:c>
      <x:c r="Z94" s="3" t="s">
        <x:v>384</x:v>
      </x:c>
      <x:c r="AA94" s="3" t="s">
        <x:v>385</x:v>
      </x:c>
      <x:c r="AB94" s="7" t="n">
        <x:v>46250.5840277778</x:v>
      </x:c>
      <x:c r="AC94" s="7" t="n">
        <x:v>46250.5888888889</x:v>
      </x:c>
      <x:c r="AD94" s="7" t="n">
        <x:v>46250.5923611111</x:v>
      </x:c>
      <x:c r="AE94" s="7" t="n">
        <x:v>46250.6138888889</x:v>
      </x:c>
      <x:c r="AF94" s="7" t="n">
        <x:v>46250.6263888889</x:v>
      </x:c>
      <x:c r="AG94" s="3" t="n">
        <x:v>43</x:v>
      </x:c>
      <x:c r="AH94" s="3" t="n">
        <x:v>12</x:v>
      </x:c>
      <x:c r="AI94" s="3" t="s">
        <x:v>135</x:v>
      </x:c>
      <x:c r="AJ94" s="3" t="s">
        <x:v>135</x:v>
      </x:c>
      <x:c r="AK94" s="3" t="n">
        <x:v>120</x:v>
      </x:c>
      <x:c r="AL94" s="3" t="n">
        <x:v>0</x:v>
      </x:c>
      <x:c r="AM94" s="8" t="n">
        <x:v>0.4583</x:v>
      </x:c>
      <x:c r="AN94" s="3" t="n">
        <x:v>1</x:v>
      </x:c>
      <x:c r="AO94" s="3" t="s">
        <x:v>9</x:v>
      </x:c>
      <x:c r="AP94" s="3" t="s">
        <x:v>500</x:v>
      </x:c>
      <x:c r="AQ94" s="3" t="s">
        <x:v>533</x:v>
      </x:c>
      <x:c r="AR94" s="9" t="n">
        <x:v>539.9</x:v>
      </x:c>
      <x:c r="AS94" s="3" t="s">
        <x:v>121</x:v>
      </x:c>
      <x:c r="AT94" s="7" t="n">
        <x:v>46301.9166666667</x:v>
      </x:c>
    </x:row>
    <x:row r="95" ht="31.299999237060547" hidden="0">
      <x:c r="A95" s="3" t="s">
        <x:v>558</x:v>
      </x:c>
      <x:c r="B95" s="3" t="s">
        <x:v>205</x:v>
      </x:c>
      <x:c r="C95" s="3" t="s">
        <x:v>206</x:v>
      </x:c>
      <x:c r="D95" s="3" t="s">
        <x:v>207</x:v>
      </x:c>
      <x:c r="E95" s="3" t="s">
        <x:v>249</x:v>
      </x:c>
      <x:c r="F95" s="3" t="s">
        <x:v>127</x:v>
      </x:c>
      <x:c r="G95" s="3" t="s">
        <x:v>461</x:v>
      </x:c>
      <x:c r="H95" s="3" t="s">
        <x:v>101</x:v>
      </x:c>
      <x:c r="I95" s="3" t="s">
        <x:v>102</x:v>
      </x:c>
      <x:c r="J95" s="3" t="s">
        <x:v>103</x:v>
      </x:c>
      <x:c r="K95" s="3" t="s">
        <x:v>104</x:v>
      </x:c>
      <x:c r="L95" s="3" t="s">
        <x:v>209</x:v>
      </x:c>
      <x:c r="M95" s="3" t="s">
        <x:v>210</x:v>
      </x:c>
      <x:c r="N95" s="3" t="s">
        <x:v>211</x:v>
      </x:c>
      <x:c r="O95" s="3" t="s">
        <x:v>212</x:v>
      </x:c>
      <x:c r="P95" s="3" t="s">
        <x:v>213</x:v>
      </x:c>
      <x:c r="Q95" s="3" t="s">
        <x:v>254</x:v>
      </x:c>
      <x:c r="R95" s="3" t="s">
        <x:v>156</x:v>
      </x:c>
      <x:c r="S95" s="3" t="s">
        <x:v>135</x:v>
      </x:c>
      <x:c r="T95" s="3" t="s">
        <x:v>111</x:v>
      </x:c>
      <x:c r="U95" s="3" t="s">
        <x:v>157</x:v>
      </x:c>
      <x:c r="V95" s="3" t="s">
        <x:v>158</x:v>
      </x:c>
      <x:c r="W95" s="3" t="s">
        <x:v>450</x:v>
      </x:c>
      <x:c r="X95" s="3" t="s">
        <x:v>160</x:v>
      </x:c>
      <x:c r="Y95" s="3" t="s">
        <x:v>451</x:v>
      </x:c>
      <x:c r="Z95" s="3" t="s">
        <x:v>162</x:v>
      </x:c>
      <x:c r="AA95" s="3" t="s">
        <x:v>118</x:v>
      </x:c>
      <x:c r="AB95" s="7" t="n">
        <x:v>46250.7069444444</x:v>
      </x:c>
      <x:c r="AC95" s="7" t="n">
        <x:v>46250.7118055556</x:v>
      </x:c>
      <x:c r="AD95" s="7" t="n">
        <x:v>46250.7145833333</x:v>
      </x:c>
      <x:c r="AE95" s="7" t="n">
        <x:v>46250.7326388889</x:v>
      </x:c>
      <x:c r="AF95" s="7" t="n">
        <x:v>46250.7659722222</x:v>
      </x:c>
      <x:c r="AG95" s="3" t="n">
        <x:v>37</x:v>
      </x:c>
      <x:c r="AH95" s="3" t="n">
        <x:v>45</x:v>
      </x:c>
      <x:c r="AI95" s="3" t="s">
        <x:v>135</x:v>
      </x:c>
      <x:c r="AJ95" s="3" t="s">
        <x:v>135</x:v>
      </x:c>
      <x:c r="AK95" s="3" t="n">
        <x:v>180</x:v>
      </x:c>
      <x:c r="AL95" s="3" t="n">
        <x:v>0</x:v>
      </x:c>
      <x:c r="AM95" s="8" t="n">
        <x:v>0.4556</x:v>
      </x:c>
      <x:c r="AN95" s="3" t="n">
        <x:v>0</x:v>
      </x:c>
      <x:c r="AO95" s="3" t="s">
        <x:v>9</x:v>
      </x:c>
      <x:c r="AP95" s="3" t="s">
        <x:v>142</x:v>
      </x:c>
      <x:c r="AQ95" s="3" t="s">
        <x:v>220</x:v>
      </x:c>
      <x:c r="AR95" s="9" t="n">
        <x:v>750.5</x:v>
      </x:c>
      <x:c r="AS95" s="3" t="s">
        <x:v>144</x:v>
      </x:c>
      <x:c r="AT95" s="7" t="n">
        <x:v>46301.9166666667</x:v>
      </x:c>
    </x:row>
    <x:row r="96" ht="31.299999237060547" hidden="0">
      <x:c r="A96" s="3" t="s">
        <x:v>559</x:v>
      </x:c>
      <x:c r="B96" s="3" t="s">
        <x:v>123</x:v>
      </x:c>
      <x:c r="C96" s="3" t="s">
        <x:v>124</x:v>
      </x:c>
      <x:c r="D96" s="3" t="s">
        <x:v>125</x:v>
      </x:c>
      <x:c r="E96" s="3" t="s">
        <x:v>249</x:v>
      </x:c>
      <x:c r="F96" s="3" t="s">
        <x:v>99</x:v>
      </x:c>
      <x:c r="G96" s="3" t="s">
        <x:v>416</x:v>
      </x:c>
      <x:c r="H96" s="3" t="s">
        <x:v>339</x:v>
      </x:c>
      <x:c r="I96" s="3" t="s">
        <x:v>102</x:v>
      </x:c>
      <x:c r="J96" s="3" t="s">
        <x:v>103</x:v>
      </x:c>
      <x:c r="K96" s="3" t="s">
        <x:v>104</x:v>
      </x:c>
      <x:c r="L96" s="3" t="s">
        <x:v>129</x:v>
      </x:c>
      <x:c r="M96" s="3" t="s">
        <x:v>130</x:v>
      </x:c>
      <x:c r="N96" s="3" t="s">
        <x:v>131</x:v>
      </x:c>
      <x:c r="O96" s="3" t="s">
        <x:v>132</x:v>
      </x:c>
      <x:c r="P96" s="3" t="s">
        <x:v>133</x:v>
      </x:c>
      <x:c r="Q96" s="3" t="s">
        <x:v>268</x:v>
      </x:c>
      <x:c r="R96" s="3" t="s">
        <x:v>373</x:v>
      </x:c>
      <x:c r="S96" s="3" t="s">
        <x:v>135</x:v>
      </x:c>
      <x:c r="T96" s="3" t="s">
        <x:v>111</x:v>
      </x:c>
      <x:c r="U96" s="3" t="s">
        <x:v>374</x:v>
      </x:c>
      <x:c r="V96" s="3" t="s">
        <x:v>178</x:v>
      </x:c>
      <x:c r="W96" s="3" t="s">
        <x:v>355</x:v>
      </x:c>
      <x:c r="X96" s="3" t="s">
        <x:v>180</x:v>
      </x:c>
      <x:c r="Y96" s="3" t="s">
        <x:v>356</x:v>
      </x:c>
      <x:c r="Z96" s="3" t="s">
        <x:v>375</x:v>
      </x:c>
      <x:c r="AA96" s="3" t="s">
        <x:v>118</x:v>
      </x:c>
      <x:c r="AB96" s="7" t="n">
        <x:v>46250.7451388889</x:v>
      </x:c>
      <x:c r="AC96" s="7" t="n">
        <x:v>46250.7493055556</x:v>
      </x:c>
      <x:c r="AD96" s="7" t="n">
        <x:v>46250.7555555556</x:v>
      </x:c>
      <x:c r="AE96" s="7" t="n">
        <x:v>46250.7673611111</x:v>
      </x:c>
      <x:c r="AF96" s="7" t="n">
        <x:v>46250.7923611111</x:v>
      </x:c>
      <x:c r="AG96" s="3" t="n">
        <x:v>32</x:v>
      </x:c>
      <x:c r="AH96" s="3" t="n">
        <x:v>29</x:v>
      </x:c>
      <x:c r="AI96" s="3" t="s">
        <x:v>135</x:v>
      </x:c>
      <x:c r="AJ96" s="3" t="s">
        <x:v>135</x:v>
      </x:c>
      <x:c r="AK96" s="3" t="n">
        <x:v>180</x:v>
      </x:c>
      <x:c r="AL96" s="3" t="n">
        <x:v>0</x:v>
      </x:c>
      <x:c r="AM96" s="8" t="n">
        <x:v>0.3389</x:v>
      </x:c>
      <x:c r="AN96" s="3" t="n">
        <x:v>1</x:v>
      </x:c>
      <x:c r="AO96" s="3" t="s">
        <x:v>9</x:v>
      </x:c>
      <x:c r="AP96" s="3" t="s">
        <x:v>500</x:v>
      </x:c>
      <x:c r="AQ96" s="3" t="s">
        <x:v>472</x:v>
      </x:c>
      <x:c r="AR96" s="9" t="n">
        <x:v>612.8</x:v>
      </x:c>
      <x:c r="AS96" s="3" t="s">
        <x:v>144</x:v>
      </x:c>
      <x:c r="AT96" s="7" t="n">
        <x:v>46301.9166666667</x:v>
      </x:c>
    </x:row>
    <x:row r="97" ht="31.299999237060547" hidden="0">
      <x:c r="A97" s="3" t="s">
        <x:v>560</x:v>
      </x:c>
      <x:c r="B97" s="3" t="s">
        <x:v>83</x:v>
      </x:c>
      <x:c r="C97" s="3" t="s">
        <x:v>96</x:v>
      </x:c>
      <x:c r="D97" s="3" t="s">
        <x:v>97</x:v>
      </x:c>
      <x:c r="E97" s="3" t="s">
        <x:v>249</x:v>
      </x:c>
      <x:c r="F97" s="3" t="s">
        <x:v>149</x:v>
      </x:c>
      <x:c r="G97" s="3" t="s">
        <x:v>359</x:v>
      </x:c>
      <x:c r="H97" s="3" t="s">
        <x:v>101</x:v>
      </x:c>
      <x:c r="I97" s="3" t="s">
        <x:v>102</x:v>
      </x:c>
      <x:c r="J97" s="3" t="s">
        <x:v>103</x:v>
      </x:c>
      <x:c r="K97" s="3" t="s">
        <x:v>104</x:v>
      </x:c>
      <x:c r="L97" s="3" t="s">
        <x:v>105</x:v>
      </x:c>
      <x:c r="M97" s="3" t="s">
        <x:v>106</x:v>
      </x:c>
      <x:c r="N97" s="3" t="s">
        <x:v>107</x:v>
      </x:c>
      <x:c r="O97" s="3" t="s">
        <x:v>108</x:v>
      </x:c>
      <x:c r="P97" s="3" t="s">
        <x:v>109</x:v>
      </x:c>
      <x:c r="Q97" s="3" t="s">
        <x:v>250</x:v>
      </x:c>
      <x:c r="R97" s="3" t="s">
        <x:v>156</x:v>
      </x:c>
      <x:c r="S97" s="3" t="s">
        <x:v>135</x:v>
      </x:c>
      <x:c r="T97" s="3" t="s">
        <x:v>111</x:v>
      </x:c>
      <x:c r="U97" s="3" t="s">
        <x:v>157</x:v>
      </x:c>
      <x:c r="V97" s="3" t="s">
        <x:v>158</x:v>
      </x:c>
      <x:c r="W97" s="3" t="s">
        <x:v>450</x:v>
      </x:c>
      <x:c r="X97" s="3" t="s">
        <x:v>160</x:v>
      </x:c>
      <x:c r="Y97" s="3" t="s">
        <x:v>451</x:v>
      </x:c>
      <x:c r="Z97" s="3" t="s">
        <x:v>162</x:v>
      </x:c>
      <x:c r="AA97" s="3" t="s">
        <x:v>118</x:v>
      </x:c>
      <x:c r="AB97" s="7" t="n">
        <x:v>46250.8125</x:v>
      </x:c>
      <x:c r="AC97" s="7" t="n">
        <x:v>46250.8152777778</x:v>
      </x:c>
      <x:c r="AD97" s="7" t="n">
        <x:v>46250.81875</x:v>
      </x:c>
      <x:c r="AE97" s="7" t="n">
        <x:v>46250.8361111111</x:v>
      </x:c>
      <x:c r="AF97" s="7" t="n">
        <x:v>46250.8583333333</x:v>
      </x:c>
      <x:c r="AG97" s="3" t="n">
        <x:v>34</x:v>
      </x:c>
      <x:c r="AH97" s="3" t="n">
        <x:v>29</x:v>
      </x:c>
      <x:c r="AI97" s="3" t="s">
        <x:v>111</x:v>
      </x:c>
      <x:c r="AJ97" s="3" t="s">
        <x:v>111</x:v>
      </x:c>
      <x:c r="AK97" s="3" t="n">
        <x:v>60</x:v>
      </x:c>
      <x:c r="AL97" s="3" t="n">
        <x:v>0</x:v>
      </x:c>
      <x:c r="AM97" s="8" t="n">
        <x:v>1.05</x:v>
      </x:c>
      <x:c r="AN97" s="3" t="n">
        <x:v>1</x:v>
      </x:c>
      <x:c r="AO97" s="3" t="s">
        <x:v>24</x:v>
      </x:c>
      <x:c r="AP97" s="3" t="s">
        <x:v>561</x:v>
      </x:c>
      <x:c r="AQ97" s="3" t="s">
        <x:v>562</x:v>
      </x:c>
      <x:c r="AR97" s="9" t="n">
        <x:v>941.8</x:v>
      </x:c>
      <x:c r="AS97" s="3" t="s">
        <x:v>185</x:v>
      </x:c>
      <x:c r="AT97" s="7" t="n">
        <x:v>46301.9166666667</x:v>
      </x:c>
    </x:row>
    <x:row r="98" ht="31.299999237060547" hidden="0">
      <x:c r="A98" s="3" t="s">
        <x:v>563</x:v>
      </x:c>
      <x:c r="B98" s="3" t="s">
        <x:v>83</x:v>
      </x:c>
      <x:c r="C98" s="3" t="s">
        <x:v>96</x:v>
      </x:c>
      <x:c r="D98" s="3" t="s">
        <x:v>97</x:v>
      </x:c>
      <x:c r="E98" s="3" t="s">
        <x:v>249</x:v>
      </x:c>
      <x:c r="F98" s="3" t="s">
        <x:v>149</x:v>
      </x:c>
      <x:c r="G98" s="3" t="s">
        <x:v>354</x:v>
      </x:c>
      <x:c r="H98" s="3" t="s">
        <x:v>101</x:v>
      </x:c>
      <x:c r="I98" s="3" t="s">
        <x:v>102</x:v>
      </x:c>
      <x:c r="J98" s="3" t="s">
        <x:v>103</x:v>
      </x:c>
      <x:c r="K98" s="3" t="s">
        <x:v>104</x:v>
      </x:c>
      <x:c r="L98" s="3" t="s">
        <x:v>105</x:v>
      </x:c>
      <x:c r="M98" s="3" t="s">
        <x:v>106</x:v>
      </x:c>
      <x:c r="N98" s="3" t="s">
        <x:v>107</x:v>
      </x:c>
      <x:c r="O98" s="3" t="s">
        <x:v>108</x:v>
      </x:c>
      <x:c r="P98" s="3" t="s">
        <x:v>109</x:v>
      </x:c>
      <x:c r="Q98" s="3" t="s">
        <x:v>250</x:v>
      </x:c>
      <x:c r="R98" s="3" t="s">
        <x:v>176</x:v>
      </x:c>
      <x:c r="S98" s="3" t="s">
        <x:v>135</x:v>
      </x:c>
      <x:c r="T98" s="3" t="s">
        <x:v>135</x:v>
      </x:c>
      <x:c r="U98" s="3" t="s">
        <x:v>177</x:v>
      </x:c>
      <x:c r="V98" s="3" t="s">
        <x:v>178</x:v>
      </x:c>
      <x:c r="W98" s="3" t="s">
        <x:v>332</x:v>
      </x:c>
      <x:c r="X98" s="3" t="s">
        <x:v>180</x:v>
      </x:c>
      <x:c r="Y98" s="3" t="s">
        <x:v>333</x:v>
      </x:c>
      <x:c r="Z98" s="3" t="s">
        <x:v>182</x:v>
      </x:c>
      <x:c r="AA98" s="3" t="s">
        <x:v>118</x:v>
      </x:c>
      <x:c r="AB98" s="7" t="n">
        <x:v>46251.4409722222</x:v>
      </x:c>
      <x:c r="AC98" s="7" t="n">
        <x:v>46251.4423611111</x:v>
      </x:c>
      <x:c r="AD98" s="7" t="n">
        <x:v>46251.4451388889</x:v>
      </x:c>
      <x:c r="AE98" s="7" t="n">
        <x:v>46251.4763888889</x:v>
      </x:c>
      <x:c r="AF98" s="7" t="n">
        <x:v>46251.5048611111</x:v>
      </x:c>
      <x:c r="AG98" s="3" t="n">
        <x:v>51</x:v>
      </x:c>
      <x:c r="AH98" s="3" t="n">
        <x:v>37</x:v>
      </x:c>
      <x:c r="AI98" s="3" t="s">
        <x:v>111</x:v>
      </x:c>
      <x:c r="AJ98" s="3" t="s">
        <x:v>111</x:v>
      </x:c>
      <x:c r="AK98" s="3" t="n">
        <x:v>60</x:v>
      </x:c>
      <x:c r="AL98" s="3" t="n">
        <x:v>0</x:v>
      </x:c>
      <x:c r="AM98" s="8" t="n">
        <x:v>1.4667</x:v>
      </x:c>
      <x:c r="AN98" s="3" t="n">
        <x:v>0</x:v>
      </x:c>
      <x:c r="AO98" s="3" t="s">
        <x:v>24</x:v>
      </x:c>
      <x:c r="AP98" s="3" t="s">
        <x:v>421</x:v>
      </x:c>
      <x:c r="AQ98" s="3" t="s">
        <x:v>422</x:v>
      </x:c>
      <x:c r="AR98" s="9" t="n">
        <x:v>1075.9</x:v>
      </x:c>
      <x:c r="AS98" s="3" t="s">
        <x:v>185</x:v>
      </x:c>
      <x:c r="AT98" s="7" t="n">
        <x:v>46301.9166666667</x:v>
      </x:c>
    </x:row>
    <x:row r="99" ht="31.299999237060547" hidden="0">
      <x:c r="A99" s="3" t="s">
        <x:v>564</x:v>
      </x:c>
      <x:c r="B99" s="3" t="s">
        <x:v>166</x:v>
      </x:c>
      <x:c r="C99" s="3" t="s">
        <x:v>167</x:v>
      </x:c>
      <x:c r="D99" s="3" t="s">
        <x:v>168</x:v>
      </x:c>
      <x:c r="E99" s="3" t="s">
        <x:v>249</x:v>
      </x:c>
      <x:c r="F99" s="3" t="s">
        <x:v>127</x:v>
      </x:c>
      <x:c r="G99" s="3" t="s">
        <x:v>349</x:v>
      </x:c>
      <x:c r="H99" s="3" t="s">
        <x:v>343</x:v>
      </x:c>
      <x:c r="I99" s="3" t="s">
        <x:v>102</x:v>
      </x:c>
      <x:c r="J99" s="3" t="s">
        <x:v>103</x:v>
      </x:c>
      <x:c r="K99" s="3" t="s">
        <x:v>104</x:v>
      </x:c>
      <x:c r="L99" s="3" t="s">
        <x:v>171</x:v>
      </x:c>
      <x:c r="M99" s="3" t="s">
        <x:v>172</x:v>
      </x:c>
      <x:c r="N99" s="3" t="s">
        <x:v>173</x:v>
      </x:c>
      <x:c r="O99" s="3" t="s">
        <x:v>174</x:v>
      </x:c>
      <x:c r="P99" s="3" t="s">
        <x:v>175</x:v>
      </x:c>
      <x:c r="Q99" s="3" t="s">
        <x:v>271</x:v>
      </x:c>
      <x:c r="R99" s="3" t="s">
        <x:v>344</x:v>
      </x:c>
      <x:c r="S99" s="3" t="s">
        <x:v>111</x:v>
      </x:c>
      <x:c r="T99" s="3" t="s">
        <x:v>111</x:v>
      </x:c>
      <x:c r="U99" s="3" t="s">
        <x:v>345</x:v>
      </x:c>
      <x:c r="V99" s="3" t="s">
        <x:v>178</x:v>
      </x:c>
      <x:c r="W99" s="3" t="s">
        <x:v>179</x:v>
      </x:c>
      <x:c r="X99" s="3" t="s">
        <x:v>180</x:v>
      </x:c>
      <x:c r="Y99" s="3" t="s">
        <x:v>414</x:v>
      </x:c>
      <x:c r="Z99" s="3" t="s">
        <x:v>346</x:v>
      </x:c>
      <x:c r="AA99" s="3" t="s">
        <x:v>118</x:v>
      </x:c>
      <x:c r="AB99" s="7" t="n">
        <x:v>46251.55625</x:v>
      </x:c>
      <x:c r="AC99" s="7" t="n">
        <x:v>46251.5604166667</x:v>
      </x:c>
      <x:c r="AD99" s="7" t="n">
        <x:v>46251.5631944445</x:v>
      </x:c>
      <x:c r="AE99" s="7" t="n">
        <x:v>46251.56875</x:v>
      </x:c>
      <x:c r="AF99" s="7" t="n">
        <x:v>46251.6215277778</x:v>
      </x:c>
      <x:c r="AG99" s="3" t="n">
        <x:v>18</x:v>
      </x:c>
      <x:c r="AH99" s="3" t="n">
        <x:v>72</x:v>
      </x:c>
      <x:c r="AI99" s="3" t="s">
        <x:v>135</x:v>
      </x:c>
      <x:c r="AJ99" s="3" t="s">
        <x:v>135</x:v>
      </x:c>
      <x:c r="AK99" s="3" t="n">
        <x:v>120</x:v>
      </x:c>
      <x:c r="AL99" s="3" t="n">
        <x:v>0</x:v>
      </x:c>
      <x:c r="AM99" s="8" t="n">
        <x:v>0.75</x:v>
      </x:c>
      <x:c r="AN99" s="3" t="n">
        <x:v>0</x:v>
      </x:c>
      <x:c r="AO99" s="3" t="s">
        <x:v>14</x:v>
      </x:c>
      <x:c r="AP99" s="3" t="s">
        <x:v>347</x:v>
      </x:c>
      <x:c r="AQ99" s="3" t="s">
        <x:v>340</x:v>
      </x:c>
      <x:c r="AR99" s="9" t="n">
        <x:v>1239.4</x:v>
      </x:c>
      <x:c r="AS99" s="3" t="s">
        <x:v>185</x:v>
      </x:c>
      <x:c r="AT99" s="7" t="n">
        <x:v>46301.9166666667</x:v>
      </x:c>
    </x:row>
    <x:row r="100" ht="31.299999237060547" hidden="0">
      <x:c r="A100" s="3" t="s">
        <x:v>565</x:v>
      </x:c>
      <x:c r="B100" s="3" t="s">
        <x:v>233</x:v>
      </x:c>
      <x:c r="C100" s="3" t="s">
        <x:v>234</x:v>
      </x:c>
      <x:c r="D100" s="3" t="s">
        <x:v>235</x:v>
      </x:c>
      <x:c r="E100" s="3" t="s">
        <x:v>249</x:v>
      </x:c>
      <x:c r="F100" s="3" t="s">
        <x:v>99</x:v>
      </x:c>
      <x:c r="G100" s="3" t="s">
        <x:v>477</x:v>
      </x:c>
      <x:c r="H100" s="3" t="s">
        <x:v>343</x:v>
      </x:c>
      <x:c r="I100" s="3" t="s">
        <x:v>102</x:v>
      </x:c>
      <x:c r="J100" s="3" t="s">
        <x:v>103</x:v>
      </x:c>
      <x:c r="K100" s="3" t="s">
        <x:v>104</x:v>
      </x:c>
      <x:c r="L100" s="3" t="s">
        <x:v>237</x:v>
      </x:c>
      <x:c r="M100" s="3" t="s">
        <x:v>172</x:v>
      </x:c>
      <x:c r="N100" s="3" t="s">
        <x:v>238</x:v>
      </x:c>
      <x:c r="O100" s="3" t="s">
        <x:v>239</x:v>
      </x:c>
      <x:c r="P100" s="3" t="s">
        <x:v>240</x:v>
      </x:c>
      <x:c r="Q100" s="3" t="s">
        <x:v>276</x:v>
      </x:c>
      <x:c r="R100" s="3" t="s">
        <x:v>214</x:v>
      </x:c>
      <x:c r="S100" s="3" t="s">
        <x:v>135</x:v>
      </x:c>
      <x:c r="T100" s="3" t="s">
        <x:v>111</x:v>
      </x:c>
      <x:c r="U100" s="3" t="s">
        <x:v>215</x:v>
      </x:c>
      <x:c r="V100" s="3" t="s">
        <x:v>216</x:v>
      </x:c>
      <x:c r="W100" s="3" t="s">
        <x:v>217</x:v>
      </x:c>
      <x:c r="X100" s="3" t="s">
        <x:v>430</x:v>
      </x:c>
      <x:c r="Y100" s="3" t="s">
        <x:v>555</x:v>
      </x:c>
      <x:c r="Z100" s="3" t="s">
        <x:v>219</x:v>
      </x:c>
      <x:c r="AA100" s="3" t="s">
        <x:v>118</x:v>
      </x:c>
      <x:c r="AB100" s="7" t="n">
        <x:v>46251.5611111111</x:v>
      </x:c>
      <x:c r="AC100" s="7" t="n">
        <x:v>46251.5645833333</x:v>
      </x:c>
      <x:c r="AD100" s="7" t="n">
        <x:v>46251.5673611111</x:v>
      </x:c>
      <x:c r="AE100" s="7" t="n">
        <x:v>46251.5777777778</x:v>
      </x:c>
      <x:c r="AF100" s="7" t="n">
        <x:v>46251.5930555556</x:v>
      </x:c>
      <x:c r="AG100" s="3" t="n">
        <x:v>24</x:v>
      </x:c>
      <x:c r="AH100" s="3" t="n">
        <x:v>19</x:v>
      </x:c>
      <x:c r="AI100" s="3" t="s">
        <x:v>135</x:v>
      </x:c>
      <x:c r="AJ100" s="3" t="s">
        <x:v>111</x:v>
      </x:c>
      <x:c r="AK100" s="3" t="n">
        <x:v>150</x:v>
      </x:c>
      <x:c r="AL100" s="3" t="n">
        <x:v>0</x:v>
      </x:c>
      <x:c r="AM100" s="8" t="n">
        <x:v>0.2867</x:v>
      </x:c>
      <x:c r="AN100" s="3" t="n">
        <x:v>0</x:v>
      </x:c>
      <x:c r="AO100" s="3" t="s">
        <x:v>9</x:v>
      </x:c>
      <x:c r="AP100" s="3" t="s">
        <x:v>335</x:v>
      </x:c>
      <x:c r="AQ100" s="3" t="s">
        <x:v>361</x:v>
      </x:c>
      <x:c r="AR100" s="9" t="n">
        <x:v>504.8</x:v>
      </x:c>
      <x:c r="AS100" s="3" t="s">
        <x:v>144</x:v>
      </x:c>
      <x:c r="AT100" s="7" t="n">
        <x:v>46301.9166666667</x:v>
      </x:c>
    </x:row>
    <x:row r="101" ht="31.299999237060547" hidden="0">
      <x:c r="A101" s="3" t="s">
        <x:v>566</x:v>
      </x:c>
      <x:c r="B101" s="3" t="s">
        <x:v>433</x:v>
      </x:c>
      <x:c r="C101" s="3" t="s">
        <x:v>434</x:v>
      </x:c>
      <x:c r="D101" s="3" t="s">
        <x:v>435</x:v>
      </x:c>
      <x:c r="E101" s="3" t="s">
        <x:v>249</x:v>
      </x:c>
      <x:c r="F101" s="3" t="s">
        <x:v>127</x:v>
      </x:c>
      <x:c r="G101" s="3" t="s">
        <x:v>541</x:v>
      </x:c>
      <x:c r="H101" s="3" t="s">
        <x:v>301</x:v>
      </x:c>
      <x:c r="I101" s="3" t="s">
        <x:v>302</x:v>
      </x:c>
      <x:c r="J101" s="3" t="s">
        <x:v>303</x:v>
      </x:c>
      <x:c r="K101" s="3" t="s">
        <x:v>104</x:v>
      </x:c>
      <x:c r="L101" s="3" t="s">
        <x:v>437</x:v>
      </x:c>
      <x:c r="M101" s="3" t="s">
        <x:v>106</x:v>
      </x:c>
      <x:c r="N101" s="3" t="s">
        <x:v>438</x:v>
      </x:c>
      <x:c r="O101" s="3" t="s">
        <x:v>439</x:v>
      </x:c>
      <x:c r="P101" s="3" t="s">
        <x:v>440</x:v>
      </x:c>
      <x:c r="Q101" s="3" t="s">
        <x:v>441</x:v>
      </x:c>
      <x:c r="R101" s="3" t="s">
        <x:v>196</x:v>
      </x:c>
      <x:c r="S101" s="3" t="s">
        <x:v>111</x:v>
      </x:c>
      <x:c r="T101" s="3" t="s">
        <x:v>111</x:v>
      </x:c>
      <x:c r="U101" s="3" t="s">
        <x:v>197</x:v>
      </x:c>
      <x:c r="V101" s="3" t="s">
        <x:v>198</x:v>
      </x:c>
      <x:c r="W101" s="3" t="s">
        <x:v>365</x:v>
      </x:c>
      <x:c r="X101" s="3" t="s">
        <x:v>366</x:v>
      </x:c>
      <x:c r="Y101" s="3" t="s">
        <x:v>367</x:v>
      </x:c>
      <x:c r="Z101" s="3" t="s">
        <x:v>201</x:v>
      </x:c>
      <x:c r="AA101" s="3" t="s">
        <x:v>368</x:v>
      </x:c>
      <x:c r="AB101" s="7" t="n">
        <x:v>46251.5701388889</x:v>
      </x:c>
      <x:c r="AC101" s="7" t="n">
        <x:v>46251.5729166667</x:v>
      </x:c>
      <x:c r="AD101" s="7" t="n">
        <x:v>46251.5770833333</x:v>
      </x:c>
      <x:c r="AE101" s="7" t="n">
        <x:v>46251.5923611111</x:v>
      </x:c>
      <x:c r="AF101" s="7" t="n">
        <x:v>46251.6222222222</x:v>
      </x:c>
      <x:c r="AG101" s="3" t="n">
        <x:v>32</x:v>
      </x:c>
      <x:c r="AH101" s="3" t="n">
        <x:v>38</x:v>
      </x:c>
      <x:c r="AI101" s="3" t="s">
        <x:v>135</x:v>
      </x:c>
      <x:c r="AJ101" s="3" t="s">
        <x:v>135</x:v>
      </x:c>
      <x:c r="AK101" s="3" t="n">
        <x:v>120</x:v>
      </x:c>
      <x:c r="AL101" s="3" t="n">
        <x:v>0</x:v>
      </x:c>
      <x:c r="AM101" s="8" t="n">
        <x:v>0.5833</x:v>
      </x:c>
      <x:c r="AN101" s="3" t="n">
        <x:v>0</x:v>
      </x:c>
      <x:c r="AO101" s="3" t="s">
        <x:v>9</x:v>
      </x:c>
      <x:c r="AP101" s="3" t="s">
        <x:v>142</x:v>
      </x:c>
      <x:c r="AQ101" s="3" t="s">
        <x:v>422</x:v>
      </x:c>
      <x:c r="AR101" s="9" t="n">
        <x:v>677.6</x:v>
      </x:c>
      <x:c r="AS101" s="3" t="s">
        <x:v>185</x:v>
      </x:c>
      <x:c r="AT101" s="7" t="n">
        <x:v>46301.9166666667</x:v>
      </x:c>
    </x:row>
    <x:row r="102" ht="31.299999237060547" hidden="0">
      <x:c r="A102" s="3" t="s">
        <x:v>567</x:v>
      </x:c>
      <x:c r="B102" s="3" t="s">
        <x:v>123</x:v>
      </x:c>
      <x:c r="C102" s="3" t="s">
        <x:v>124</x:v>
      </x:c>
      <x:c r="D102" s="3" t="s">
        <x:v>125</x:v>
      </x:c>
      <x:c r="E102" s="3" t="s">
        <x:v>249</x:v>
      </x:c>
      <x:c r="F102" s="3" t="s">
        <x:v>149</x:v>
      </x:c>
      <x:c r="G102" s="3" t="s">
        <x:v>349</x:v>
      </x:c>
      <x:c r="H102" s="3" t="s">
        <x:v>343</x:v>
      </x:c>
      <x:c r="I102" s="3" t="s">
        <x:v>102</x:v>
      </x:c>
      <x:c r="J102" s="3" t="s">
        <x:v>103</x:v>
      </x:c>
      <x:c r="K102" s="3" t="s">
        <x:v>104</x:v>
      </x:c>
      <x:c r="L102" s="3" t="s">
        <x:v>129</x:v>
      </x:c>
      <x:c r="M102" s="3" t="s">
        <x:v>130</x:v>
      </x:c>
      <x:c r="N102" s="3" t="s">
        <x:v>131</x:v>
      </x:c>
      <x:c r="O102" s="3" t="s">
        <x:v>132</x:v>
      </x:c>
      <x:c r="P102" s="3" t="s">
        <x:v>133</x:v>
      </x:c>
      <x:c r="Q102" s="3" t="s">
        <x:v>268</x:v>
      </x:c>
      <x:c r="R102" s="3" t="s">
        <x:v>344</x:v>
      </x:c>
      <x:c r="S102" s="3" t="s">
        <x:v>111</x:v>
      </x:c>
      <x:c r="T102" s="3" t="s">
        <x:v>111</x:v>
      </x:c>
      <x:c r="U102" s="3" t="s">
        <x:v>345</x:v>
      </x:c>
      <x:c r="V102" s="3" t="s">
        <x:v>178</x:v>
      </x:c>
      <x:c r="W102" s="3" t="s">
        <x:v>179</x:v>
      </x:c>
      <x:c r="X102" s="3" t="s">
        <x:v>180</x:v>
      </x:c>
      <x:c r="Y102" s="3" t="s">
        <x:v>414</x:v>
      </x:c>
      <x:c r="Z102" s="3" t="s">
        <x:v>346</x:v>
      </x:c>
      <x:c r="AA102" s="3" t="s">
        <x:v>118</x:v>
      </x:c>
      <x:c r="AB102" s="7" t="n">
        <x:v>46251.6055555556</x:v>
      </x:c>
      <x:c r="AC102" s="7" t="n">
        <x:v>46251.6097222222</x:v>
      </x:c>
      <x:c r="AD102" s="7" t="n">
        <x:v>46251.6159722222</x:v>
      </x:c>
      <x:c r="AE102" s="7" t="n">
        <x:v>46251.6215277778</x:v>
      </x:c>
      <x:c r="AF102" s="7" t="n">
        <x:v>46251.6736111111</x:v>
      </x:c>
      <x:c r="AG102" s="3" t="n">
        <x:v>23</x:v>
      </x:c>
      <x:c r="AH102" s="3" t="n">
        <x:v>69</x:v>
      </x:c>
      <x:c r="AI102" s="3" t="s">
        <x:v>135</x:v>
      </x:c>
      <x:c r="AJ102" s="3" t="s">
        <x:v>135</x:v>
      </x:c>
      <x:c r="AK102" s="3" t="n">
        <x:v>120</x:v>
      </x:c>
      <x:c r="AL102" s="3" t="n">
        <x:v>0</x:v>
      </x:c>
      <x:c r="AM102" s="8" t="n">
        <x:v>0.7667</x:v>
      </x:c>
      <x:c r="AN102" s="3" t="n">
        <x:v>1</x:v>
      </x:c>
      <x:c r="AO102" s="3" t="s">
        <x:v>14</x:v>
      </x:c>
      <x:c r="AP102" s="3" t="s">
        <x:v>471</x:v>
      </x:c>
      <x:c r="AQ102" s="3" t="s">
        <x:v>472</x:v>
      </x:c>
      <x:c r="AR102" s="9" t="n">
        <x:v>860.3</x:v>
      </x:c>
      <x:c r="AS102" s="3" t="s">
        <x:v>185</x:v>
      </x:c>
      <x:c r="AT102" s="7" t="n">
        <x:v>46301.9166666667</x:v>
      </x:c>
    </x:row>
    <x:row r="103" ht="31.299999237060547" hidden="0">
      <x:c r="A103" s="3" t="s">
        <x:v>568</x:v>
      </x:c>
      <x:c r="B103" s="3" t="s">
        <x:v>297</x:v>
      </x:c>
      <x:c r="C103" s="3" t="s">
        <x:v>298</x:v>
      </x:c>
      <x:c r="D103" s="3" t="s">
        <x:v>299</x:v>
      </x:c>
      <x:c r="E103" s="3" t="s">
        <x:v>249</x:v>
      </x:c>
      <x:c r="F103" s="3" t="s">
        <x:v>149</x:v>
      </x:c>
      <x:c r="G103" s="3" t="s">
        <x:v>324</x:v>
      </x:c>
      <x:c r="H103" s="3" t="s">
        <x:v>301</x:v>
      </x:c>
      <x:c r="I103" s="3" t="s">
        <x:v>302</x:v>
      </x:c>
      <x:c r="J103" s="3" t="s">
        <x:v>303</x:v>
      </x:c>
      <x:c r="K103" s="3" t="s">
        <x:v>104</x:v>
      </x:c>
      <x:c r="L103" s="3" t="s">
        <x:v>304</x:v>
      </x:c>
      <x:c r="M103" s="3" t="s">
        <x:v>305</x:v>
      </x:c>
      <x:c r="N103" s="3" t="s">
        <x:v>306</x:v>
      </x:c>
      <x:c r="O103" s="3" t="s">
        <x:v>307</x:v>
      </x:c>
      <x:c r="P103" s="3" t="s">
        <x:v>308</x:v>
      </x:c>
      <x:c r="Q103" s="3" t="s">
        <x:v>309</x:v>
      </x:c>
      <x:c r="R103" s="3" t="s">
        <x:v>330</x:v>
      </x:c>
      <x:c r="S103" s="3" t="s">
        <x:v>135</x:v>
      </x:c>
      <x:c r="T103" s="3" t="s">
        <x:v>111</x:v>
      </x:c>
      <x:c r="U103" s="3" t="s">
        <x:v>331</x:v>
      </x:c>
      <x:c r="V103" s="3" t="s">
        <x:v>178</x:v>
      </x:c>
      <x:c r="W103" s="3" t="s">
        <x:v>355</x:v>
      </x:c>
      <x:c r="X103" s="3" t="s">
        <x:v>180</x:v>
      </x:c>
      <x:c r="Y103" s="3" t="s">
        <x:v>356</x:v>
      </x:c>
      <x:c r="Z103" s="3" t="s">
        <x:v>334</x:v>
      </x:c>
      <x:c r="AA103" s="3" t="s">
        <x:v>118</x:v>
      </x:c>
      <x:c r="AB103" s="7" t="n">
        <x:v>46251.6402777778</x:v>
      </x:c>
      <x:c r="AC103" s="7" t="n">
        <x:v>46251.6444444444</x:v>
      </x:c>
      <x:c r="AD103" s="7" t="n">
        <x:v>46251.6458333333</x:v>
      </x:c>
      <x:c r="AE103" s="7" t="n">
        <x:v>46251.66875</x:v>
      </x:c>
      <x:c r="AF103" s="7" t="n">
        <x:v>46251.7291666667</x:v>
      </x:c>
      <x:c r="AG103" s="3" t="n">
        <x:v>41</x:v>
      </x:c>
      <x:c r="AH103" s="3" t="n">
        <x:v>77</x:v>
      </x:c>
      <x:c r="AI103" s="3" t="s">
        <x:v>135</x:v>
      </x:c>
      <x:c r="AJ103" s="3" t="s">
        <x:v>111</x:v>
      </x:c>
      <x:c r="AK103" s="3" t="n">
        <x:v>180</x:v>
      </x:c>
      <x:c r="AL103" s="3" t="n">
        <x:v>0</x:v>
      </x:c>
      <x:c r="AM103" s="8" t="n">
        <x:v>0.6556</x:v>
      </x:c>
      <x:c r="AN103" s="3" t="n">
        <x:v>0</x:v>
      </x:c>
      <x:c r="AO103" s="3" t="s">
        <x:v>14</x:v>
      </x:c>
      <x:c r="AP103" s="3" t="s">
        <x:v>318</x:v>
      </x:c>
      <x:c r="AQ103" s="3" t="s">
        <x:v>319</x:v>
      </x:c>
      <x:c r="AR103" s="9" t="n">
        <x:v>1378.9</x:v>
      </x:c>
      <x:c r="AS103" s="3" t="s">
        <x:v>185</x:v>
      </x:c>
      <x:c r="AT103" s="7" t="n">
        <x:v>46301.9166666667</x:v>
      </x:c>
    </x:row>
    <x:row r="104" ht="31.299999237060547" hidden="0">
      <x:c r="A104" s="3" t="s">
        <x:v>569</x:v>
      </x:c>
      <x:c r="B104" s="3" t="s">
        <x:v>146</x:v>
      </x:c>
      <x:c r="C104" s="3" t="s">
        <x:v>147</x:v>
      </x:c>
      <x:c r="D104" s="3" t="s">
        <x:v>148</x:v>
      </x:c>
      <x:c r="E104" s="3" t="s">
        <x:v>249</x:v>
      </x:c>
      <x:c r="F104" s="3" t="s">
        <x:v>149</x:v>
      </x:c>
      <x:c r="G104" s="3" t="s">
        <x:v>461</x:v>
      </x:c>
      <x:c r="H104" s="3" t="s">
        <x:v>101</x:v>
      </x:c>
      <x:c r="I104" s="3" t="s">
        <x:v>102</x:v>
      </x:c>
      <x:c r="J104" s="3" t="s">
        <x:v>103</x:v>
      </x:c>
      <x:c r="K104" s="3" t="s">
        <x:v>104</x:v>
      </x:c>
      <x:c r="L104" s="3" t="s">
        <x:v>151</x:v>
      </x:c>
      <x:c r="M104" s="3" t="s">
        <x:v>152</x:v>
      </x:c>
      <x:c r="N104" s="3" t="s">
        <x:v>153</x:v>
      </x:c>
      <x:c r="O104" s="3" t="s">
        <x:v>154</x:v>
      </x:c>
      <x:c r="P104" s="3" t="s">
        <x:v>155</x:v>
      </x:c>
      <x:c r="Q104" s="3" t="s">
        <x:v>270</x:v>
      </x:c>
      <x:c r="R104" s="3" t="s">
        <x:v>156</x:v>
      </x:c>
      <x:c r="S104" s="3" t="s">
        <x:v>135</x:v>
      </x:c>
      <x:c r="T104" s="3" t="s">
        <x:v>111</x:v>
      </x:c>
      <x:c r="U104" s="3" t="s">
        <x:v>157</x:v>
      </x:c>
      <x:c r="V104" s="3" t="s">
        <x:v>158</x:v>
      </x:c>
      <x:c r="W104" s="3" t="s">
        <x:v>159</x:v>
      </x:c>
      <x:c r="X104" s="3" t="s">
        <x:v>160</x:v>
      </x:c>
      <x:c r="Y104" s="3" t="s">
        <x:v>360</x:v>
      </x:c>
      <x:c r="Z104" s="3" t="s">
        <x:v>162</x:v>
      </x:c>
      <x:c r="AA104" s="3" t="s">
        <x:v>118</x:v>
      </x:c>
      <x:c r="AB104" s="7" t="n">
        <x:v>46251.675</x:v>
      </x:c>
      <x:c r="AC104" s="7" t="n">
        <x:v>46251.6777777778</x:v>
      </x:c>
      <x:c r="AD104" s="7" t="n">
        <x:v>46251.6819444444</x:v>
      </x:c>
      <x:c r="AE104" s="7" t="n">
        <x:v>46251.6986111111</x:v>
      </x:c>
      <x:c r="AF104" s="7" t="n">
        <x:v>46251.725</x:v>
      </x:c>
      <x:c r="AG104" s="3" t="n">
        <x:v>34</x:v>
      </x:c>
      <x:c r="AH104" s="3" t="n">
        <x:v>34</x:v>
      </x:c>
      <x:c r="AI104" s="3" t="s">
        <x:v>135</x:v>
      </x:c>
      <x:c r="AJ104" s="3" t="s">
        <x:v>135</x:v>
      </x:c>
      <x:c r="AK104" s="3" t="n">
        <x:v>180</x:v>
      </x:c>
      <x:c r="AL104" s="3" t="n">
        <x:v>0</x:v>
      </x:c>
      <x:c r="AM104" s="8" t="n">
        <x:v>0.3778</x:v>
      </x:c>
      <x:c r="AN104" s="3" t="n">
        <x:v>0</x:v>
      </x:c>
      <x:c r="AO104" s="3" t="s">
        <x:v>9</x:v>
      </x:c>
      <x:c r="AP104" s="3" t="s">
        <x:v>142</x:v>
      </x:c>
      <x:c r="AQ104" s="3" t="s">
        <x:v>459</x:v>
      </x:c>
      <x:c r="AR104" s="9" t="n">
        <x:v>657.8</x:v>
      </x:c>
      <x:c r="AS104" s="3" t="s">
        <x:v>144</x:v>
      </x:c>
      <x:c r="AT104" s="7" t="n">
        <x:v>46301.9166666667</x:v>
      </x:c>
    </x:row>
    <x:row r="105" ht="31.299999237060547" hidden="0">
      <x:c r="A105" s="3" t="s">
        <x:v>570</x:v>
      </x:c>
      <x:c r="B105" s="3" t="s">
        <x:v>222</x:v>
      </x:c>
      <x:c r="C105" s="3" t="s">
        <x:v>223</x:v>
      </x:c>
      <x:c r="D105" s="3" t="s">
        <x:v>224</x:v>
      </x:c>
      <x:c r="E105" s="3" t="s">
        <x:v>249</x:v>
      </x:c>
      <x:c r="F105" s="3" t="s">
        <x:v>99</x:v>
      </x:c>
      <x:c r="G105" s="3" t="s">
        <x:v>522</x:v>
      </x:c>
      <x:c r="H105" s="3" t="s">
        <x:v>343</x:v>
      </x:c>
      <x:c r="I105" s="3" t="s">
        <x:v>102</x:v>
      </x:c>
      <x:c r="J105" s="3" t="s">
        <x:v>103</x:v>
      </x:c>
      <x:c r="K105" s="3" t="s">
        <x:v>104</x:v>
      </x:c>
      <x:c r="L105" s="3" t="s">
        <x:v>226</x:v>
      </x:c>
      <x:c r="M105" s="3" t="s">
        <x:v>227</x:v>
      </x:c>
      <x:c r="N105" s="3" t="s">
        <x:v>228</x:v>
      </x:c>
      <x:c r="O105" s="3" t="s">
        <x:v>229</x:v>
      </x:c>
      <x:c r="P105" s="3" t="s">
        <x:v>230</x:v>
      </x:c>
      <x:c r="Q105" s="3" t="s">
        <x:v>274</x:v>
      </x:c>
      <x:c r="R105" s="3" t="s">
        <x:v>380</x:v>
      </x:c>
      <x:c r="S105" s="3" t="s">
        <x:v>111</x:v>
      </x:c>
      <x:c r="T105" s="3" t="s">
        <x:v>111</x:v>
      </x:c>
      <x:c r="U105" s="3" t="s">
        <x:v>381</x:v>
      </x:c>
      <x:c r="V105" s="3" t="s">
        <x:v>312</x:v>
      </x:c>
      <x:c r="W105" s="3" t="s">
        <x:v>351</x:v>
      </x:c>
      <x:c r="X105" s="3" t="s">
        <x:v>314</x:v>
      </x:c>
      <x:c r="Y105" s="3" t="s">
        <x:v>352</x:v>
      </x:c>
      <x:c r="Z105" s="3" t="s">
        <x:v>384</x:v>
      </x:c>
      <x:c r="AA105" s="3" t="s">
        <x:v>385</x:v>
      </x:c>
      <x:c r="AB105" s="7" t="n">
        <x:v>46251.6909722222</x:v>
      </x:c>
      <x:c r="AC105" s="7" t="n">
        <x:v>46251.6923611111</x:v>
      </x:c>
      <x:c r="AD105" s="7" t="n">
        <x:v>46251.6972222222</x:v>
      </x:c>
      <x:c r="AE105" s="7" t="n">
        <x:v>46251.7229166667</x:v>
      </x:c>
      <x:c r="AF105" s="7" t="n">
        <x:v>46251.7444444444</x:v>
      </x:c>
      <x:c r="AG105" s="3" t="n">
        <x:v>46</x:v>
      </x:c>
      <x:c r="AH105" s="3" t="n">
        <x:v>26</x:v>
      </x:c>
      <x:c r="AI105" s="3" t="s">
        <x:v>135</x:v>
      </x:c>
      <x:c r="AJ105" s="3" t="s">
        <x:v>135</x:v>
      </x:c>
      <x:c r="AK105" s="3" t="n">
        <x:v>120</x:v>
      </x:c>
      <x:c r="AL105" s="3" t="n">
        <x:v>0</x:v>
      </x:c>
      <x:c r="AM105" s="8" t="n">
        <x:v>0.6</x:v>
      </x:c>
      <x:c r="AN105" s="3" t="n">
        <x:v>0</x:v>
      </x:c>
      <x:c r="AO105" s="3" t="s">
        <x:v>14</x:v>
      </x:c>
      <x:c r="AP105" s="3" t="s">
        <x:v>347</x:v>
      </x:c>
      <x:c r="AQ105" s="3" t="s">
        <x:v>452</x:v>
      </x:c>
      <x:c r="AR105" s="9" t="n">
        <x:v>654.2</x:v>
      </x:c>
      <x:c r="AS105" s="3" t="s">
        <x:v>121</x:v>
      </x:c>
      <x:c r="AT105" s="7" t="n">
        <x:v>46301.9166666667</x:v>
      </x:c>
    </x:row>
    <x:row r="106" ht="31.299999237060547" hidden="0">
      <x:c r="A106" s="3" t="s">
        <x:v>571</x:v>
      </x:c>
      <x:c r="B106" s="3" t="s">
        <x:v>397</x:v>
      </x:c>
      <x:c r="C106" s="3" t="s">
        <x:v>398</x:v>
      </x:c>
      <x:c r="D106" s="3" t="s">
        <x:v>399</x:v>
      </x:c>
      <x:c r="E106" s="3" t="s">
        <x:v>249</x:v>
      </x:c>
      <x:c r="F106" s="3" t="s">
        <x:v>149</x:v>
      </x:c>
      <x:c r="G106" s="3" t="s">
        <x:v>390</x:v>
      </x:c>
      <x:c r="H106" s="3" t="s">
        <x:v>301</x:v>
      </x:c>
      <x:c r="I106" s="3" t="s">
        <x:v>302</x:v>
      </x:c>
      <x:c r="J106" s="3" t="s">
        <x:v>303</x:v>
      </x:c>
      <x:c r="K106" s="3" t="s">
        <x:v>104</x:v>
      </x:c>
      <x:c r="L106" s="3" t="s">
        <x:v>401</x:v>
      </x:c>
      <x:c r="M106" s="3" t="s">
        <x:v>402</x:v>
      </x:c>
      <x:c r="N106" s="3" t="s">
        <x:v>403</x:v>
      </x:c>
      <x:c r="O106" s="3" t="s">
        <x:v>404</x:v>
      </x:c>
      <x:c r="P106" s="3" t="s">
        <x:v>405</x:v>
      </x:c>
      <x:c r="Q106" s="3" t="s">
        <x:v>406</x:v>
      </x:c>
      <x:c r="R106" s="3" t="s">
        <x:v>391</x:v>
      </x:c>
      <x:c r="S106" s="3" t="s">
        <x:v>135</x:v>
      </x:c>
      <x:c r="T106" s="3" t="s">
        <x:v>135</x:v>
      </x:c>
      <x:c r="U106" s="3" t="s">
        <x:v>392</x:v>
      </x:c>
      <x:c r="V106" s="3" t="s">
        <x:v>312</x:v>
      </x:c>
      <x:c r="W106" s="3" t="s">
        <x:v>351</x:v>
      </x:c>
      <x:c r="X106" s="3" t="s">
        <x:v>314</x:v>
      </x:c>
      <x:c r="Y106" s="3" t="s">
        <x:v>352</x:v>
      </x:c>
      <x:c r="Z106" s="3" t="s">
        <x:v>393</x:v>
      </x:c>
      <x:c r="AA106" s="3" t="s">
        <x:v>394</x:v>
      </x:c>
      <x:c r="AB106" s="7" t="n">
        <x:v>46251.6979166667</x:v>
      </x:c>
      <x:c r="AC106" s="7" t="n">
        <x:v>46251.7</x:v>
      </x:c>
      <x:c r="AD106" s="7" t="n">
        <x:v>46251.7041666667</x:v>
      </x:c>
      <x:c r="AE106" s="7" t="n">
        <x:v>46251.7381944444</x:v>
      </x:c>
      <x:c r="AF106" s="7" t="n">
        <x:v>46251.75</x:v>
      </x:c>
      <x:c r="AG106" s="3" t="n">
        <x:v>58</x:v>
      </x:c>
      <x:c r="AH106" s="3" t="n">
        <x:v>12</x:v>
      </x:c>
      <x:c r="AI106" s="3" t="s">
        <x:v>135</x:v>
      </x:c>
      <x:c r="AJ106" s="3" t="s">
        <x:v>135</x:v>
      </x:c>
      <x:c r="AK106" s="3" t="n">
        <x:v>180</x:v>
      </x:c>
      <x:c r="AL106" s="3" t="n">
        <x:v>0</x:v>
      </x:c>
      <x:c r="AM106" s="8" t="n">
        <x:v>0.3889</x:v>
      </x:c>
      <x:c r="AN106" s="3" t="n">
        <x:v>1</x:v>
      </x:c>
      <x:c r="AO106" s="3" t="s">
        <x:v>9</x:v>
      </x:c>
      <x:c r="AP106" s="3" t="s">
        <x:v>500</x:v>
      </x:c>
      <x:c r="AQ106" s="3" t="s">
        <x:v>539</x:v>
      </x:c>
      <x:c r="AR106" s="9" t="n">
        <x:v>607.4</x:v>
      </x:c>
      <x:c r="AS106" s="3" t="s">
        <x:v>144</x:v>
      </x:c>
      <x:c r="AT106" s="7" t="n">
        <x:v>46301.9166666667</x:v>
      </x:c>
    </x:row>
    <x:row r="107" ht="31.299999237060547" hidden="0">
      <x:c r="A107" s="3" t="s">
        <x:v>572</x:v>
      </x:c>
      <x:c r="B107" s="3" t="s">
        <x:v>397</x:v>
      </x:c>
      <x:c r="C107" s="3" t="s">
        <x:v>398</x:v>
      </x:c>
      <x:c r="D107" s="3" t="s">
        <x:v>399</x:v>
      </x:c>
      <x:c r="E107" s="3" t="s">
        <x:v>249</x:v>
      </x:c>
      <x:c r="F107" s="3" t="s">
        <x:v>149</x:v>
      </x:c>
      <x:c r="G107" s="3" t="s">
        <x:v>400</x:v>
      </x:c>
      <x:c r="H107" s="3" t="s">
        <x:v>301</x:v>
      </x:c>
      <x:c r="I107" s="3" t="s">
        <x:v>302</x:v>
      </x:c>
      <x:c r="J107" s="3" t="s">
        <x:v>303</x:v>
      </x:c>
      <x:c r="K107" s="3" t="s">
        <x:v>104</x:v>
      </x:c>
      <x:c r="L107" s="3" t="s">
        <x:v>401</x:v>
      </x:c>
      <x:c r="M107" s="3" t="s">
        <x:v>402</x:v>
      </x:c>
      <x:c r="N107" s="3" t="s">
        <x:v>403</x:v>
      </x:c>
      <x:c r="O107" s="3" t="s">
        <x:v>404</x:v>
      </x:c>
      <x:c r="P107" s="3" t="s">
        <x:v>405</x:v>
      </x:c>
      <x:c r="Q107" s="3" t="s">
        <x:v>406</x:v>
      </x:c>
      <x:c r="R107" s="3" t="s">
        <x:v>134</x:v>
      </x:c>
      <x:c r="S107" s="3" t="s">
        <x:v>135</x:v>
      </x:c>
      <x:c r="T107" s="3" t="s">
        <x:v>111</x:v>
      </x:c>
      <x:c r="U107" s="3" t="s">
        <x:v>136</x:v>
      </x:c>
      <x:c r="V107" s="3" t="s">
        <x:v>137</x:v>
      </x:c>
      <x:c r="W107" s="3" t="s">
        <x:v>407</x:v>
      </x:c>
      <x:c r="X107" s="3" t="s">
        <x:v>139</x:v>
      </x:c>
      <x:c r="Y107" s="3" t="s">
        <x:v>140</x:v>
      </x:c>
      <x:c r="Z107" s="3" t="s">
        <x:v>141</x:v>
      </x:c>
      <x:c r="AA107" s="3" t="s">
        <x:v>118</x:v>
      </x:c>
      <x:c r="AB107" s="7" t="n">
        <x:v>46251.7125</x:v>
      </x:c>
      <x:c r="AC107" s="7" t="n">
        <x:v>46251.7173611111</x:v>
      </x:c>
      <x:c r="AD107" s="7" t="n">
        <x:v>46251.7194444445</x:v>
      </x:c>
      <x:c r="AE107" s="7" t="n">
        <x:v>46251.725</x:v>
      </x:c>
      <x:c r="AF107" s="7" t="n">
        <x:v>46251.7381944444</x:v>
      </x:c>
      <x:c r="AG107" s="3" t="n">
        <x:v>18</x:v>
      </x:c>
      <x:c r="AH107" s="3" t="n">
        <x:v>12</x:v>
      </x:c>
      <x:c r="AI107" s="3" t="s">
        <x:v>135</x:v>
      </x:c>
      <x:c r="AJ107" s="3" t="s">
        <x:v>135</x:v>
      </x:c>
      <x:c r="AK107" s="3" t="n">
        <x:v>180</x:v>
      </x:c>
      <x:c r="AL107" s="3" t="n">
        <x:v>0</x:v>
      </x:c>
      <x:c r="AM107" s="8" t="n">
        <x:v>0.1667</x:v>
      </x:c>
      <x:c r="AN107" s="3" t="n">
        <x:v>2</x:v>
      </x:c>
      <x:c r="AO107" s="3" t="s">
        <x:v>14</x:v>
      </x:c>
      <x:c r="AP107" s="3" t="s">
        <x:v>573</x:v>
      </x:c>
      <x:c r="AQ107" s="3" t="s">
        <x:v>539</x:v>
      </x:c>
      <x:c r="AR107" s="9" t="n">
        <x:v>427.4</x:v>
      </x:c>
      <x:c r="AS107" s="3" t="s">
        <x:v>121</x:v>
      </x:c>
      <x:c r="AT107" s="7" t="n">
        <x:v>46301.9166666667</x:v>
      </x:c>
    </x:row>
    <x:row r="108" ht="31.299999237060547" hidden="0">
      <x:c r="A108" s="3" t="s">
        <x:v>574</x:v>
      </x:c>
      <x:c r="B108" s="3" t="s">
        <x:v>166</x:v>
      </x:c>
      <x:c r="C108" s="3" t="s">
        <x:v>167</x:v>
      </x:c>
      <x:c r="D108" s="3" t="s">
        <x:v>168</x:v>
      </x:c>
      <x:c r="E108" s="3" t="s">
        <x:v>249</x:v>
      </x:c>
      <x:c r="F108" s="3" t="s">
        <x:v>99</x:v>
      </x:c>
      <x:c r="G108" s="3" t="s">
        <x:v>575</x:v>
      </x:c>
      <x:c r="H108" s="3" t="s">
        <x:v>301</x:v>
      </x:c>
      <x:c r="I108" s="3" t="s">
        <x:v>302</x:v>
      </x:c>
      <x:c r="J108" s="3" t="s">
        <x:v>303</x:v>
      </x:c>
      <x:c r="K108" s="3" t="s">
        <x:v>104</x:v>
      </x:c>
      <x:c r="L108" s="3" t="s">
        <x:v>171</x:v>
      </x:c>
      <x:c r="M108" s="3" t="s">
        <x:v>172</x:v>
      </x:c>
      <x:c r="N108" s="3" t="s">
        <x:v>173</x:v>
      </x:c>
      <x:c r="O108" s="3" t="s">
        <x:v>174</x:v>
      </x:c>
      <x:c r="P108" s="3" t="s">
        <x:v>175</x:v>
      </x:c>
      <x:c r="Q108" s="3" t="s">
        <x:v>271</x:v>
      </x:c>
      <x:c r="R108" s="3" t="s">
        <x:v>196</x:v>
      </x:c>
      <x:c r="S108" s="3" t="s">
        <x:v>111</x:v>
      </x:c>
      <x:c r="T108" s="3" t="s">
        <x:v>111</x:v>
      </x:c>
      <x:c r="U108" s="3" t="s">
        <x:v>197</x:v>
      </x:c>
      <x:c r="V108" s="3" t="s">
        <x:v>198</x:v>
      </x:c>
      <x:c r="W108" s="3" t="s">
        <x:v>199</x:v>
      </x:c>
      <x:c r="X108" s="3" t="s">
        <x:v>366</x:v>
      </x:c>
      <x:c r="Y108" s="3" t="s">
        <x:v>527</x:v>
      </x:c>
      <x:c r="Z108" s="3" t="s">
        <x:v>201</x:v>
      </x:c>
      <x:c r="AA108" s="3" t="s">
        <x:v>368</x:v>
      </x:c>
      <x:c r="AB108" s="7" t="n">
        <x:v>46252.3041666667</x:v>
      </x:c>
      <x:c r="AC108" s="7" t="n">
        <x:v>46252.3069444444</x:v>
      </x:c>
      <x:c r="AD108" s="7" t="n">
        <x:v>46252.3104166667</x:v>
      </x:c>
      <x:c r="AE108" s="7" t="n">
        <x:v>46252.3263888889</x:v>
      </x:c>
      <x:c r="AF108" s="7" t="n">
        <x:v>46252.3826388889</x:v>
      </x:c>
      <x:c r="AG108" s="3" t="n">
        <x:v>32</x:v>
      </x:c>
      <x:c r="AH108" s="3" t="n">
        <x:v>75</x:v>
      </x:c>
      <x:c r="AI108" s="3" t="s">
        <x:v>135</x:v>
      </x:c>
      <x:c r="AJ108" s="3" t="s">
        <x:v>135</x:v>
      </x:c>
      <x:c r="AK108" s="3" t="n">
        <x:v>120</x:v>
      </x:c>
      <x:c r="AL108" s="3" t="n">
        <x:v>0</x:v>
      </x:c>
      <x:c r="AM108" s="8" t="n">
        <x:v>0.8917</x:v>
      </x:c>
      <x:c r="AN108" s="3" t="n">
        <x:v>0</x:v>
      </x:c>
      <x:c r="AO108" s="3" t="s">
        <x:v>19</x:v>
      </x:c>
      <x:c r="AP108" s="3" t="s">
        <x:v>369</x:v>
      </x:c>
      <x:c r="AQ108" s="3" t="s">
        <x:v>340</x:v>
      </x:c>
      <x:c r="AR108" s="9" t="n">
        <x:v>1324</x:v>
      </x:c>
      <x:c r="AS108" s="3" t="s">
        <x:v>185</x:v>
      </x:c>
      <x:c r="AT108" s="7" t="n">
        <x:v>46301.9166666667</x:v>
      </x:c>
    </x:row>
    <x:row r="109" ht="31.299999237060547" hidden="0">
      <x:c r="A109" s="3" t="s">
        <x:v>576</x:v>
      </x:c>
      <x:c r="B109" s="3" t="s">
        <x:v>297</x:v>
      </x:c>
      <x:c r="C109" s="3" t="s">
        <x:v>298</x:v>
      </x:c>
      <x:c r="D109" s="3" t="s">
        <x:v>299</x:v>
      </x:c>
      <x:c r="E109" s="3" t="s">
        <x:v>249</x:v>
      </x:c>
      <x:c r="F109" s="3" t="s">
        <x:v>169</x:v>
      </x:c>
      <x:c r="G109" s="3" t="s">
        <x:v>544</x:v>
      </x:c>
      <x:c r="H109" s="3" t="s">
        <x:v>301</x:v>
      </x:c>
      <x:c r="I109" s="3" t="s">
        <x:v>302</x:v>
      </x:c>
      <x:c r="J109" s="3" t="s">
        <x:v>303</x:v>
      </x:c>
      <x:c r="K109" s="3" t="s">
        <x:v>104</x:v>
      </x:c>
      <x:c r="L109" s="3" t="s">
        <x:v>304</x:v>
      </x:c>
      <x:c r="M109" s="3" t="s">
        <x:v>305</x:v>
      </x:c>
      <x:c r="N109" s="3" t="s">
        <x:v>306</x:v>
      </x:c>
      <x:c r="O109" s="3" t="s">
        <x:v>307</x:v>
      </x:c>
      <x:c r="P109" s="3" t="s">
        <x:v>308</x:v>
      </x:c>
      <x:c r="Q109" s="3" t="s">
        <x:v>309</x:v>
      </x:c>
      <x:c r="R109" s="3" t="s">
        <x:v>134</x:v>
      </x:c>
      <x:c r="S109" s="3" t="s">
        <x:v>135</x:v>
      </x:c>
      <x:c r="T109" s="3" t="s">
        <x:v>111</x:v>
      </x:c>
      <x:c r="U109" s="3" t="s">
        <x:v>136</x:v>
      </x:c>
      <x:c r="V109" s="3" t="s">
        <x:v>137</x:v>
      </x:c>
      <x:c r="W109" s="3" t="s">
        <x:v>407</x:v>
      </x:c>
      <x:c r="X109" s="3" t="s">
        <x:v>139</x:v>
      </x:c>
      <x:c r="Y109" s="3" t="s">
        <x:v>140</x:v>
      </x:c>
      <x:c r="Z109" s="3" t="s">
        <x:v>141</x:v>
      </x:c>
      <x:c r="AA109" s="3" t="s">
        <x:v>118</x:v>
      </x:c>
      <x:c r="AB109" s="7" t="n">
        <x:v>46252.4458333333</x:v>
      </x:c>
      <x:c r="AC109" s="7" t="n">
        <x:v>46252.4472222222</x:v>
      </x:c>
      <x:c r="AD109" s="7" t="n">
        <x:v>46252.4527777778</x:v>
      </x:c>
      <x:c r="AE109" s="7" t="n">
        <x:v>46252.48125</x:v>
      </x:c>
      <x:c r="AF109" s="7" t="n">
        <x:v>46252.5416666667</x:v>
      </x:c>
      <x:c r="AG109" s="3" t="n">
        <x:v>51</x:v>
      </x:c>
      <x:c r="AH109" s="3" t="n">
        <x:v>77</x:v>
      </x:c>
      <x:c r="AI109" s="3" t="s">
        <x:v>135</x:v>
      </x:c>
      <x:c r="AJ109" s="3" t="s">
        <x:v>111</x:v>
      </x:c>
      <x:c r="AK109" s="3" t="n">
        <x:v>180</x:v>
      </x:c>
      <x:c r="AL109" s="3" t="n">
        <x:v>0</x:v>
      </x:c>
      <x:c r="AM109" s="8" t="n">
        <x:v>0.7111</x:v>
      </x:c>
      <x:c r="AN109" s="3" t="n">
        <x:v>0</x:v>
      </x:c>
      <x:c r="AO109" s="3" t="s">
        <x:v>14</x:v>
      </x:c>
      <x:c r="AP109" s="3" t="s">
        <x:v>318</x:v>
      </x:c>
      <x:c r="AQ109" s="3" t="s">
        <x:v>319</x:v>
      </x:c>
      <x:c r="AR109" s="9" t="n">
        <x:v>1423.9</x:v>
      </x:c>
      <x:c r="AS109" s="3" t="s">
        <x:v>185</x:v>
      </x:c>
      <x:c r="AT109" s="7" t="n">
        <x:v>46301.9166666667</x:v>
      </x:c>
    </x:row>
    <x:row r="110" ht="31.299999237060547" hidden="0">
      <x:c r="A110" s="3" t="s">
        <x:v>577</x:v>
      </x:c>
      <x:c r="B110" s="3" t="s">
        <x:v>205</x:v>
      </x:c>
      <x:c r="C110" s="3" t="s">
        <x:v>206</x:v>
      </x:c>
      <x:c r="D110" s="3" t="s">
        <x:v>207</x:v>
      </x:c>
      <x:c r="E110" s="3" t="s">
        <x:v>249</x:v>
      </x:c>
      <x:c r="F110" s="3" t="s">
        <x:v>149</x:v>
      </x:c>
      <x:c r="G110" s="3" t="s">
        <x:v>364</x:v>
      </x:c>
      <x:c r="H110" s="3" t="s">
        <x:v>339</x:v>
      </x:c>
      <x:c r="I110" s="3" t="s">
        <x:v>102</x:v>
      </x:c>
      <x:c r="J110" s="3" t="s">
        <x:v>103</x:v>
      </x:c>
      <x:c r="K110" s="3" t="s">
        <x:v>104</x:v>
      </x:c>
      <x:c r="L110" s="3" t="s">
        <x:v>209</x:v>
      </x:c>
      <x:c r="M110" s="3" t="s">
        <x:v>210</x:v>
      </x:c>
      <x:c r="N110" s="3" t="s">
        <x:v>211</x:v>
      </x:c>
      <x:c r="O110" s="3" t="s">
        <x:v>212</x:v>
      </x:c>
      <x:c r="P110" s="3" t="s">
        <x:v>213</x:v>
      </x:c>
      <x:c r="Q110" s="3" t="s">
        <x:v>254</x:v>
      </x:c>
      <x:c r="R110" s="3" t="s">
        <x:v>196</x:v>
      </x:c>
      <x:c r="S110" s="3" t="s">
        <x:v>111</x:v>
      </x:c>
      <x:c r="T110" s="3" t="s">
        <x:v>111</x:v>
      </x:c>
      <x:c r="U110" s="3" t="s">
        <x:v>197</x:v>
      </x:c>
      <x:c r="V110" s="3" t="s">
        <x:v>198</x:v>
      </x:c>
      <x:c r="W110" s="3" t="s">
        <x:v>199</x:v>
      </x:c>
      <x:c r="X110" s="3" t="s">
        <x:v>366</x:v>
      </x:c>
      <x:c r="Y110" s="3" t="s">
        <x:v>527</x:v>
      </x:c>
      <x:c r="Z110" s="3" t="s">
        <x:v>201</x:v>
      </x:c>
      <x:c r="AA110" s="3" t="s">
        <x:v>368</x:v>
      </x:c>
      <x:c r="AB110" s="7" t="n">
        <x:v>46252.5048611111</x:v>
      </x:c>
      <x:c r="AC110" s="7" t="n">
        <x:v>46252.5090277778</x:v>
      </x:c>
      <x:c r="AD110" s="7" t="n">
        <x:v>46252.5145833333</x:v>
      </x:c>
      <x:c r="AE110" s="7" t="n">
        <x:v>46252.5284722222</x:v>
      </x:c>
      <x:c r="AF110" s="7" t="n">
        <x:v>46252.5659722222</x:v>
      </x:c>
      <x:c r="AG110" s="3" t="n">
        <x:v>34</x:v>
      </x:c>
      <x:c r="AH110" s="3" t="n">
        <x:v>45</x:v>
      </x:c>
      <x:c r="AI110" s="3" t="s">
        <x:v>135</x:v>
      </x:c>
      <x:c r="AJ110" s="3" t="s">
        <x:v>135</x:v>
      </x:c>
      <x:c r="AK110" s="3" t="n">
        <x:v>120</x:v>
      </x:c>
      <x:c r="AL110" s="3" t="n">
        <x:v>0</x:v>
      </x:c>
      <x:c r="AM110" s="8" t="n">
        <x:v>0.6583</x:v>
      </x:c>
      <x:c r="AN110" s="3" t="n">
        <x:v>0</x:v>
      </x:c>
      <x:c r="AO110" s="3" t="s">
        <x:v>14</x:v>
      </x:c>
      <x:c r="AP110" s="3" t="s">
        <x:v>347</x:v>
      </x:c>
      <x:c r="AQ110" s="3" t="s">
        <x:v>478</x:v>
      </x:c>
      <x:c r="AR110" s="9" t="n">
        <x:v>737</x:v>
      </x:c>
      <x:c r="AS110" s="3" t="s">
        <x:v>185</x:v>
      </x:c>
      <x:c r="AT110" s="7" t="n">
        <x:v>46301.9166666667</x:v>
      </x:c>
    </x:row>
    <x:row r="111" ht="31.299999237060547" hidden="0">
      <x:c r="A111" s="3" t="s">
        <x:v>578</x:v>
      </x:c>
      <x:c r="B111" s="3" t="s">
        <x:v>123</x:v>
      </x:c>
      <x:c r="C111" s="3" t="s">
        <x:v>124</x:v>
      </x:c>
      <x:c r="D111" s="3" t="s">
        <x:v>125</x:v>
      </x:c>
      <x:c r="E111" s="3" t="s">
        <x:v>249</x:v>
      </x:c>
      <x:c r="F111" s="3" t="s">
        <x:v>149</x:v>
      </x:c>
      <x:c r="G111" s="3" t="s">
        <x:v>447</x:v>
      </x:c>
      <x:c r="H111" s="3" t="s">
        <x:v>343</x:v>
      </x:c>
      <x:c r="I111" s="3" t="s">
        <x:v>102</x:v>
      </x:c>
      <x:c r="J111" s="3" t="s">
        <x:v>103</x:v>
      </x:c>
      <x:c r="K111" s="3" t="s">
        <x:v>104</x:v>
      </x:c>
      <x:c r="L111" s="3" t="s">
        <x:v>129</x:v>
      </x:c>
      <x:c r="M111" s="3" t="s">
        <x:v>130</x:v>
      </x:c>
      <x:c r="N111" s="3" t="s">
        <x:v>131</x:v>
      </x:c>
      <x:c r="O111" s="3" t="s">
        <x:v>132</x:v>
      </x:c>
      <x:c r="P111" s="3" t="s">
        <x:v>133</x:v>
      </x:c>
      <x:c r="Q111" s="3" t="s">
        <x:v>268</x:v>
      </x:c>
      <x:c r="R111" s="3" t="s">
        <x:v>344</x:v>
      </x:c>
      <x:c r="S111" s="3" t="s">
        <x:v>111</x:v>
      </x:c>
      <x:c r="T111" s="3" t="s">
        <x:v>111</x:v>
      </x:c>
      <x:c r="U111" s="3" t="s">
        <x:v>345</x:v>
      </x:c>
      <x:c r="V111" s="3" t="s">
        <x:v>178</x:v>
      </x:c>
      <x:c r="W111" s="3" t="s">
        <x:v>179</x:v>
      </x:c>
      <x:c r="X111" s="3" t="s">
        <x:v>180</x:v>
      </x:c>
      <x:c r="Y111" s="3" t="s">
        <x:v>414</x:v>
      </x:c>
      <x:c r="Z111" s="3" t="s">
        <x:v>346</x:v>
      </x:c>
      <x:c r="AA111" s="3" t="s">
        <x:v>118</x:v>
      </x:c>
      <x:c r="AB111" s="7" t="n">
        <x:v>46252.5159722222</x:v>
      </x:c>
      <x:c r="AC111" s="7" t="n">
        <x:v>46252.5208333333</x:v>
      </x:c>
      <x:c r="AD111" s="7" t="n">
        <x:v>46252.5243055556</x:v>
      </x:c>
      <x:c r="AE111" s="7" t="n">
        <x:v>46252.5451388889</x:v>
      </x:c>
      <x:c r="AF111" s="7" t="n">
        <x:v>46252.5618055556</x:v>
      </x:c>
      <x:c r="AG111" s="3" t="n">
        <x:v>42</x:v>
      </x:c>
      <x:c r="AH111" s="3" t="n">
        <x:v>21</x:v>
      </x:c>
      <x:c r="AI111" s="3" t="s">
        <x:v>135</x:v>
      </x:c>
      <x:c r="AJ111" s="3" t="s">
        <x:v>135</x:v>
      </x:c>
      <x:c r="AK111" s="3" t="n">
        <x:v>120</x:v>
      </x:c>
      <x:c r="AL111" s="3" t="n">
        <x:v>0</x:v>
      </x:c>
      <x:c r="AM111" s="8" t="n">
        <x:v>0.525</x:v>
      </x:c>
      <x:c r="AN111" s="3" t="n">
        <x:v>0</x:v>
      </x:c>
      <x:c r="AO111" s="3" t="s">
        <x:v>9</x:v>
      </x:c>
      <x:c r="AP111" s="3" t="s">
        <x:v>142</x:v>
      </x:c>
      <x:c r="AQ111" s="3" t="s">
        <x:v>482</x:v>
      </x:c>
      <x:c r="AR111" s="9" t="n">
        <x:v>600.2</x:v>
      </x:c>
      <x:c r="AS111" s="3" t="s">
        <x:v>185</x:v>
      </x:c>
      <x:c r="AT111" s="7" t="n">
        <x:v>46301.9166666667</x:v>
      </x:c>
    </x:row>
    <x:row r="112" ht="31.299999237060547" hidden="0">
      <x:c r="A112" s="3" t="s">
        <x:v>579</x:v>
      </x:c>
      <x:c r="B112" s="3" t="s">
        <x:v>297</x:v>
      </x:c>
      <x:c r="C112" s="3" t="s">
        <x:v>298</x:v>
      </x:c>
      <x:c r="D112" s="3" t="s">
        <x:v>299</x:v>
      </x:c>
      <x:c r="E112" s="3" t="s">
        <x:v>249</x:v>
      </x:c>
      <x:c r="F112" s="3" t="s">
        <x:v>169</x:v>
      </x:c>
      <x:c r="G112" s="3" t="s">
        <x:v>469</x:v>
      </x:c>
      <x:c r="H112" s="3" t="s">
        <x:v>301</x:v>
      </x:c>
      <x:c r="I112" s="3" t="s">
        <x:v>302</x:v>
      </x:c>
      <x:c r="J112" s="3" t="s">
        <x:v>303</x:v>
      </x:c>
      <x:c r="K112" s="3" t="s">
        <x:v>104</x:v>
      </x:c>
      <x:c r="L112" s="3" t="s">
        <x:v>304</x:v>
      </x:c>
      <x:c r="M112" s="3" t="s">
        <x:v>305</x:v>
      </x:c>
      <x:c r="N112" s="3" t="s">
        <x:v>306</x:v>
      </x:c>
      <x:c r="O112" s="3" t="s">
        <x:v>307</x:v>
      </x:c>
      <x:c r="P112" s="3" t="s">
        <x:v>308</x:v>
      </x:c>
      <x:c r="Q112" s="3" t="s">
        <x:v>309</x:v>
      </x:c>
      <x:c r="R112" s="3" t="s">
        <x:v>110</x:v>
      </x:c>
      <x:c r="S112" s="3" t="s">
        <x:v>111</x:v>
      </x:c>
      <x:c r="T112" s="3" t="s">
        <x:v>111</x:v>
      </x:c>
      <x:c r="U112" s="3" t="s">
        <x:v>112</x:v>
      </x:c>
      <x:c r="V112" s="3" t="s">
        <x:v>113</x:v>
      </x:c>
      <x:c r="W112" s="3" t="s">
        <x:v>114</x:v>
      </x:c>
      <x:c r="X112" s="3" t="s">
        <x:v>115</x:v>
      </x:c>
      <x:c r="Y112" s="3" t="s">
        <x:v>116</x:v>
      </x:c>
      <x:c r="Z112" s="3" t="s">
        <x:v>117</x:v>
      </x:c>
      <x:c r="AA112" s="3" t="s">
        <x:v>118</x:v>
      </x:c>
      <x:c r="AB112" s="7" t="n">
        <x:v>46252.6104166667</x:v>
      </x:c>
      <x:c r="AC112" s="7" t="n">
        <x:v>46252.6131944444</x:v>
      </x:c>
      <x:c r="AD112" s="7" t="n">
        <x:v>46252.6159722222</x:v>
      </x:c>
      <x:c r="AE112" s="7" t="n">
        <x:v>46252.6222222222</x:v>
      </x:c>
      <x:c r="AF112" s="7" t="n">
        <x:v>46252.6534722222</x:v>
      </x:c>
      <x:c r="AG112" s="3" t="n">
        <x:v>17</x:v>
      </x:c>
      <x:c r="AH112" s="3" t="n">
        <x:v>36</x:v>
      </x:c>
      <x:c r="AI112" s="3" t="s">
        <x:v>135</x:v>
      </x:c>
      <x:c r="AJ112" s="3" t="s">
        <x:v>111</x:v>
      </x:c>
      <x:c r="AK112" s="3" t="n">
        <x:v>120</x:v>
      </x:c>
      <x:c r="AL112" s="3" t="n">
        <x:v>0</x:v>
      </x:c>
      <x:c r="AM112" s="8" t="n">
        <x:v>0.4417</x:v>
      </x:c>
      <x:c r="AN112" s="3" t="n">
        <x:v>0</x:v>
      </x:c>
      <x:c r="AO112" s="3" t="s">
        <x:v>9</x:v>
      </x:c>
      <x:c r="AP112" s="3" t="s">
        <x:v>335</x:v>
      </x:c>
      <x:c r="AQ112" s="3" t="s">
        <x:v>395</x:v>
      </x:c>
      <x:c r="AR112" s="9" t="n">
        <x:v>975.7</x:v>
      </x:c>
      <x:c r="AS112" s="3" t="s">
        <x:v>121</x:v>
      </x:c>
      <x:c r="AT112" s="7" t="n">
        <x:v>46301.9166666667</x:v>
      </x:c>
    </x:row>
    <x:row r="113" ht="31.299999237060547" hidden="0">
      <x:c r="A113" s="3" t="s">
        <x:v>580</x:v>
      </x:c>
      <x:c r="B113" s="3" t="s">
        <x:v>297</x:v>
      </x:c>
      <x:c r="C113" s="3" t="s">
        <x:v>298</x:v>
      </x:c>
      <x:c r="D113" s="3" t="s">
        <x:v>299</x:v>
      </x:c>
      <x:c r="E113" s="3" t="s">
        <x:v>249</x:v>
      </x:c>
      <x:c r="F113" s="3" t="s">
        <x:v>127</x:v>
      </x:c>
      <x:c r="G113" s="3" t="s">
        <x:v>581</x:v>
      </x:c>
      <x:c r="H113" s="3" t="s">
        <x:v>301</x:v>
      </x:c>
      <x:c r="I113" s="3" t="s">
        <x:v>302</x:v>
      </x:c>
      <x:c r="J113" s="3" t="s">
        <x:v>303</x:v>
      </x:c>
      <x:c r="K113" s="3" t="s">
        <x:v>104</x:v>
      </x:c>
      <x:c r="L113" s="3" t="s">
        <x:v>304</x:v>
      </x:c>
      <x:c r="M113" s="3" t="s">
        <x:v>305</x:v>
      </x:c>
      <x:c r="N113" s="3" t="s">
        <x:v>306</x:v>
      </x:c>
      <x:c r="O113" s="3" t="s">
        <x:v>307</x:v>
      </x:c>
      <x:c r="P113" s="3" t="s">
        <x:v>308</x:v>
      </x:c>
      <x:c r="Q113" s="3" t="s">
        <x:v>309</x:v>
      </x:c>
      <x:c r="R113" s="3" t="s">
        <x:v>380</x:v>
      </x:c>
      <x:c r="S113" s="3" t="s">
        <x:v>111</x:v>
      </x:c>
      <x:c r="T113" s="3" t="s">
        <x:v>111</x:v>
      </x:c>
      <x:c r="U113" s="3" t="s">
        <x:v>381</x:v>
      </x:c>
      <x:c r="V113" s="3" t="s">
        <x:v>312</x:v>
      </x:c>
      <x:c r="W113" s="3" t="s">
        <x:v>351</x:v>
      </x:c>
      <x:c r="X113" s="3" t="s">
        <x:v>314</x:v>
      </x:c>
      <x:c r="Y113" s="3" t="s">
        <x:v>352</x:v>
      </x:c>
      <x:c r="Z113" s="3" t="s">
        <x:v>384</x:v>
      </x:c>
      <x:c r="AA113" s="3" t="s">
        <x:v>385</x:v>
      </x:c>
      <x:c r="AB113" s="7" t="n">
        <x:v>46252.6430555556</x:v>
      </x:c>
      <x:c r="AC113" s="7" t="n">
        <x:v>46252.6458333333</x:v>
      </x:c>
      <x:c r="AD113" s="7" t="n">
        <x:v>46252.6513888889</x:v>
      </x:c>
      <x:c r="AE113" s="7" t="n">
        <x:v>46252.66875</x:v>
      </x:c>
      <x:c r="AF113" s="7" t="n">
        <x:v>46252.7069444444</x:v>
      </x:c>
      <x:c r="AG113" s="3" t="n">
        <x:v>37</x:v>
      </x:c>
      <x:c r="AH113" s="3" t="n">
        <x:v>47</x:v>
      </x:c>
      <x:c r="AI113" s="3" t="s">
        <x:v>135</x:v>
      </x:c>
      <x:c r="AJ113" s="3" t="s">
        <x:v>111</x:v>
      </x:c>
      <x:c r="AK113" s="3" t="n">
        <x:v>120</x:v>
      </x:c>
      <x:c r="AL113" s="3" t="n">
        <x:v>0</x:v>
      </x:c>
      <x:c r="AM113" s="8" t="n">
        <x:v>0.7</x:v>
      </x:c>
      <x:c r="AN113" s="3" t="n">
        <x:v>0</x:v>
      </x:c>
      <x:c r="AO113" s="3" t="s">
        <x:v>14</x:v>
      </x:c>
      <x:c r="AP113" s="3" t="s">
        <x:v>318</x:v>
      </x:c>
      <x:c r="AQ113" s="3" t="s">
        <x:v>319</x:v>
      </x:c>
      <x:c r="AR113" s="9" t="n">
        <x:v>1144.9</x:v>
      </x:c>
      <x:c r="AS113" s="3" t="s">
        <x:v>185</x:v>
      </x:c>
      <x:c r="AT113" s="7" t="n">
        <x:v>46301.9166666667</x:v>
      </x:c>
    </x:row>
    <x:row r="114" ht="31.299999237060547" hidden="0">
      <x:c r="A114" s="3" t="s">
        <x:v>582</x:v>
      </x:c>
      <x:c r="B114" s="3" t="s">
        <x:v>83</x:v>
      </x:c>
      <x:c r="C114" s="3" t="s">
        <x:v>96</x:v>
      </x:c>
      <x:c r="D114" s="3" t="s">
        <x:v>97</x:v>
      </x:c>
      <x:c r="E114" s="3" t="s">
        <x:v>249</x:v>
      </x:c>
      <x:c r="F114" s="3" t="s">
        <x:v>169</x:v>
      </x:c>
      <x:c r="G114" s="3" t="s">
        <x:v>364</x:v>
      </x:c>
      <x:c r="H114" s="3" t="s">
        <x:v>339</x:v>
      </x:c>
      <x:c r="I114" s="3" t="s">
        <x:v>102</x:v>
      </x:c>
      <x:c r="J114" s="3" t="s">
        <x:v>103</x:v>
      </x:c>
      <x:c r="K114" s="3" t="s">
        <x:v>104</x:v>
      </x:c>
      <x:c r="L114" s="3" t="s">
        <x:v>105</x:v>
      </x:c>
      <x:c r="M114" s="3" t="s">
        <x:v>106</x:v>
      </x:c>
      <x:c r="N114" s="3" t="s">
        <x:v>107</x:v>
      </x:c>
      <x:c r="O114" s="3" t="s">
        <x:v>108</x:v>
      </x:c>
      <x:c r="P114" s="3" t="s">
        <x:v>109</x:v>
      </x:c>
      <x:c r="Q114" s="3" t="s">
        <x:v>250</x:v>
      </x:c>
      <x:c r="R114" s="3" t="s">
        <x:v>196</x:v>
      </x:c>
      <x:c r="S114" s="3" t="s">
        <x:v>111</x:v>
      </x:c>
      <x:c r="T114" s="3" t="s">
        <x:v>111</x:v>
      </x:c>
      <x:c r="U114" s="3" t="s">
        <x:v>197</x:v>
      </x:c>
      <x:c r="V114" s="3" t="s">
        <x:v>198</x:v>
      </x:c>
      <x:c r="W114" s="3" t="s">
        <x:v>365</x:v>
      </x:c>
      <x:c r="X114" s="3" t="s">
        <x:v>366</x:v>
      </x:c>
      <x:c r="Y114" s="3" t="s">
        <x:v>367</x:v>
      </x:c>
      <x:c r="Z114" s="3" t="s">
        <x:v>201</x:v>
      </x:c>
      <x:c r="AA114" s="3" t="s">
        <x:v>368</x:v>
      </x:c>
      <x:c r="AB114" s="7" t="n">
        <x:v>46252.6576388889</x:v>
      </x:c>
      <x:c r="AC114" s="7" t="n">
        <x:v>46252.6618055556</x:v>
      </x:c>
      <x:c r="AD114" s="7" t="n">
        <x:v>46252.6680555556</x:v>
      </x:c>
      <x:c r="AE114" s="7" t="n">
        <x:v>46252.6777777778</x:v>
      </x:c>
      <x:c r="AF114" s="7" t="n">
        <x:v>46252.7076388889</x:v>
      </x:c>
      <x:c r="AG114" s="3" t="n">
        <x:v>29</x:v>
      </x:c>
      <x:c r="AH114" s="3" t="n">
        <x:v>34</x:v>
      </x:c>
      <x:c r="AI114" s="3" t="s">
        <x:v>111</x:v>
      </x:c>
      <x:c r="AJ114" s="3" t="s">
        <x:v>111</x:v>
      </x:c>
      <x:c r="AK114" s="3" t="n">
        <x:v>60</x:v>
      </x:c>
      <x:c r="AL114" s="3" t="n">
        <x:v>0</x:v>
      </x:c>
      <x:c r="AM114" s="8" t="n">
        <x:v>1.05</x:v>
      </x:c>
      <x:c r="AN114" s="3" t="n">
        <x:v>0</x:v>
      </x:c>
      <x:c r="AO114" s="3" t="s">
        <x:v>24</x:v>
      </x:c>
      <x:c r="AP114" s="3" t="s">
        <x:v>421</x:v>
      </x:c>
      <x:c r="AQ114" s="3" t="s">
        <x:v>422</x:v>
      </x:c>
      <x:c r="AR114" s="9" t="n">
        <x:v>955.3</x:v>
      </x:c>
      <x:c r="AS114" s="3" t="s">
        <x:v>185</x:v>
      </x:c>
      <x:c r="AT114" s="7" t="n">
        <x:v>46301.9166666667</x:v>
      </x:c>
    </x:row>
    <x:row r="115" ht="31.299999237060547" hidden="0">
      <x:c r="A115" s="3" t="s">
        <x:v>583</x:v>
      </x:c>
      <x:c r="B115" s="3" t="s">
        <x:v>233</x:v>
      </x:c>
      <x:c r="C115" s="3" t="s">
        <x:v>234</x:v>
      </x:c>
      <x:c r="D115" s="3" t="s">
        <x:v>235</x:v>
      </x:c>
      <x:c r="E115" s="3" t="s">
        <x:v>249</x:v>
      </x:c>
      <x:c r="F115" s="3" t="s">
        <x:v>99</x:v>
      </x:c>
      <x:c r="G115" s="3" t="s">
        <x:v>447</x:v>
      </x:c>
      <x:c r="H115" s="3" t="s">
        <x:v>343</x:v>
      </x:c>
      <x:c r="I115" s="3" t="s">
        <x:v>102</x:v>
      </x:c>
      <x:c r="J115" s="3" t="s">
        <x:v>103</x:v>
      </x:c>
      <x:c r="K115" s="3" t="s">
        <x:v>104</x:v>
      </x:c>
      <x:c r="L115" s="3" t="s">
        <x:v>237</x:v>
      </x:c>
      <x:c r="M115" s="3" t="s">
        <x:v>172</x:v>
      </x:c>
      <x:c r="N115" s="3" t="s">
        <x:v>238</x:v>
      </x:c>
      <x:c r="O115" s="3" t="s">
        <x:v>239</x:v>
      </x:c>
      <x:c r="P115" s="3" t="s">
        <x:v>240</x:v>
      </x:c>
      <x:c r="Q115" s="3" t="s">
        <x:v>276</x:v>
      </x:c>
      <x:c r="R115" s="3" t="s">
        <x:v>344</x:v>
      </x:c>
      <x:c r="S115" s="3" t="s">
        <x:v>111</x:v>
      </x:c>
      <x:c r="T115" s="3" t="s">
        <x:v>111</x:v>
      </x:c>
      <x:c r="U115" s="3" t="s">
        <x:v>345</x:v>
      </x:c>
      <x:c r="V115" s="3" t="s">
        <x:v>178</x:v>
      </x:c>
      <x:c r="W115" s="3" t="s">
        <x:v>355</x:v>
      </x:c>
      <x:c r="X115" s="3" t="s">
        <x:v>180</x:v>
      </x:c>
      <x:c r="Y115" s="3" t="s">
        <x:v>356</x:v>
      </x:c>
      <x:c r="Z115" s="3" t="s">
        <x:v>346</x:v>
      </x:c>
      <x:c r="AA115" s="3" t="s">
        <x:v>118</x:v>
      </x:c>
      <x:c r="AB115" s="7" t="n">
        <x:v>46252.7125</x:v>
      </x:c>
      <x:c r="AC115" s="7" t="n">
        <x:v>46252.7145833333</x:v>
      </x:c>
      <x:c r="AD115" s="7" t="n">
        <x:v>46252.7173611111</x:v>
      </x:c>
      <x:c r="AE115" s="7" t="n">
        <x:v>46252.7347222222</x:v>
      </x:c>
      <x:c r="AF115" s="7" t="n">
        <x:v>46252.7666666667</x:v>
      </x:c>
      <x:c r="AG115" s="3" t="n">
        <x:v>32</x:v>
      </x:c>
      <x:c r="AH115" s="3" t="n">
        <x:v>38</x:v>
      </x:c>
      <x:c r="AI115" s="3" t="s">
        <x:v>135</x:v>
      </x:c>
      <x:c r="AJ115" s="3" t="s">
        <x:v>111</x:v>
      </x:c>
      <x:c r="AK115" s="3" t="n">
        <x:v>120</x:v>
      </x:c>
      <x:c r="AL115" s="3" t="n">
        <x:v>0</x:v>
      </x:c>
      <x:c r="AM115" s="8" t="n">
        <x:v>0.5833</x:v>
      </x:c>
      <x:c r="AN115" s="3" t="n">
        <x:v>1</x:v>
      </x:c>
      <x:c r="AO115" s="3" t="s">
        <x:v>9</x:v>
      </x:c>
      <x:c r="AP115" s="3" t="s">
        <x:v>584</x:v>
      </x:c>
      <x:c r="AQ115" s="3" t="s">
        <x:v>501</x:v>
      </x:c>
      <x:c r="AR115" s="9" t="n">
        <x:v>677.6</x:v>
      </x:c>
      <x:c r="AS115" s="3" t="s">
        <x:v>121</x:v>
      </x:c>
      <x:c r="AT115" s="7" t="n">
        <x:v>46301.9166666667</x:v>
      </x:c>
    </x:row>
    <x:row r="116" ht="31.299999237060547" hidden="0">
      <x:c r="A116" s="3" t="s">
        <x:v>585</x:v>
      </x:c>
      <x:c r="B116" s="3" t="s">
        <x:v>321</x:v>
      </x:c>
      <x:c r="C116" s="3" t="s">
        <x:v>322</x:v>
      </x:c>
      <x:c r="D116" s="3" t="s">
        <x:v>323</x:v>
      </x:c>
      <x:c r="E116" s="3" t="s">
        <x:v>249</x:v>
      </x:c>
      <x:c r="F116" s="3" t="s">
        <x:v>127</x:v>
      </x:c>
      <x:c r="G116" s="3" t="s">
        <x:v>467</x:v>
      </x:c>
      <x:c r="H116" s="3" t="s">
        <x:v>301</x:v>
      </x:c>
      <x:c r="I116" s="3" t="s">
        <x:v>302</x:v>
      </x:c>
      <x:c r="J116" s="3" t="s">
        <x:v>303</x:v>
      </x:c>
      <x:c r="K116" s="3" t="s">
        <x:v>104</x:v>
      </x:c>
      <x:c r="L116" s="3" t="s">
        <x:v>325</x:v>
      </x:c>
      <x:c r="M116" s="3" t="s">
        <x:v>326</x:v>
      </x:c>
      <x:c r="N116" s="3" t="s">
        <x:v>131</x:v>
      </x:c>
      <x:c r="O116" s="3" t="s">
        <x:v>327</x:v>
      </x:c>
      <x:c r="P116" s="3" t="s">
        <x:v>328</x:v>
      </x:c>
      <x:c r="Q116" s="3" t="s">
        <x:v>329</x:v>
      </x:c>
      <x:c r="R116" s="3" t="s">
        <x:v>214</x:v>
      </x:c>
      <x:c r="S116" s="3" t="s">
        <x:v>135</x:v>
      </x:c>
      <x:c r="T116" s="3" t="s">
        <x:v>111</x:v>
      </x:c>
      <x:c r="U116" s="3" t="s">
        <x:v>215</x:v>
      </x:c>
      <x:c r="V116" s="3" t="s">
        <x:v>216</x:v>
      </x:c>
      <x:c r="W116" s="3" t="s">
        <x:v>217</x:v>
      </x:c>
      <x:c r="X116" s="3" t="s">
        <x:v>430</x:v>
      </x:c>
      <x:c r="Y116" s="3" t="s">
        <x:v>555</x:v>
      </x:c>
      <x:c r="Z116" s="3" t="s">
        <x:v>219</x:v>
      </x:c>
      <x:c r="AA116" s="3" t="s">
        <x:v>118</x:v>
      </x:c>
      <x:c r="AB116" s="7" t="n">
        <x:v>46252.7229166667</x:v>
      </x:c>
      <x:c r="AC116" s="7" t="n">
        <x:v>46252.7263888889</x:v>
      </x:c>
      <x:c r="AD116" s="7" t="n">
        <x:v>46252.7277777778</x:v>
      </x:c>
      <x:c r="AE116" s="7" t="n">
        <x:v>46252.7430555556</x:v>
      </x:c>
      <x:c r="AF116" s="7" t="n">
        <x:v>46252.7770833333</x:v>
      </x:c>
      <x:c r="AG116" s="3" t="n">
        <x:v>29</x:v>
      </x:c>
      <x:c r="AH116" s="3" t="n">
        <x:v>46</x:v>
      </x:c>
      <x:c r="AI116" s="3" t="s">
        <x:v>135</x:v>
      </x:c>
      <x:c r="AJ116" s="3" t="s">
        <x:v>111</x:v>
      </x:c>
      <x:c r="AK116" s="3" t="n">
        <x:v>180</x:v>
      </x:c>
      <x:c r="AL116" s="3" t="n">
        <x:v>0</x:v>
      </x:c>
      <x:c r="AM116" s="8" t="n">
        <x:v>0.4167</x:v>
      </x:c>
      <x:c r="AN116" s="3" t="n">
        <x:v>1</x:v>
      </x:c>
      <x:c r="AO116" s="3" t="s">
        <x:v>9</x:v>
      </x:c>
      <x:c r="AP116" s="3" t="s">
        <x:v>584</x:v>
      </x:c>
      <x:c r="AQ116" s="3" t="s">
        <x:v>516</x:v>
      </x:c>
      <x:c r="AR116" s="9" t="n">
        <x:v>721.7</x:v>
      </x:c>
      <x:c r="AS116" s="3" t="s">
        <x:v>121</x:v>
      </x:c>
      <x:c r="AT116" s="7" t="n">
        <x:v>46301.9166666667</x:v>
      </x:c>
    </x:row>
    <x:row r="117" ht="31.299999237060547" hidden="0">
      <x:c r="A117" s="3" t="s">
        <x:v>586</x:v>
      </x:c>
      <x:c r="B117" s="3" t="s">
        <x:v>146</x:v>
      </x:c>
      <x:c r="C117" s="3" t="s">
        <x:v>147</x:v>
      </x:c>
      <x:c r="D117" s="3" t="s">
        <x:v>148</x:v>
      </x:c>
      <x:c r="E117" s="3" t="s">
        <x:v>249</x:v>
      </x:c>
      <x:c r="F117" s="3" t="s">
        <x:v>169</x:v>
      </x:c>
      <x:c r="G117" s="3" t="s">
        <x:v>359</x:v>
      </x:c>
      <x:c r="H117" s="3" t="s">
        <x:v>101</x:v>
      </x:c>
      <x:c r="I117" s="3" t="s">
        <x:v>102</x:v>
      </x:c>
      <x:c r="J117" s="3" t="s">
        <x:v>103</x:v>
      </x:c>
      <x:c r="K117" s="3" t="s">
        <x:v>104</x:v>
      </x:c>
      <x:c r="L117" s="3" t="s">
        <x:v>151</x:v>
      </x:c>
      <x:c r="M117" s="3" t="s">
        <x:v>152</x:v>
      </x:c>
      <x:c r="N117" s="3" t="s">
        <x:v>153</x:v>
      </x:c>
      <x:c r="O117" s="3" t="s">
        <x:v>154</x:v>
      </x:c>
      <x:c r="P117" s="3" t="s">
        <x:v>155</x:v>
      </x:c>
      <x:c r="Q117" s="3" t="s">
        <x:v>270</x:v>
      </x:c>
      <x:c r="R117" s="3" t="s">
        <x:v>156</x:v>
      </x:c>
      <x:c r="S117" s="3" t="s">
        <x:v>135</x:v>
      </x:c>
      <x:c r="T117" s="3" t="s">
        <x:v>111</x:v>
      </x:c>
      <x:c r="U117" s="3" t="s">
        <x:v>157</x:v>
      </x:c>
      <x:c r="V117" s="3" t="s">
        <x:v>158</x:v>
      </x:c>
      <x:c r="W117" s="3" t="s">
        <x:v>450</x:v>
      </x:c>
      <x:c r="X117" s="3" t="s">
        <x:v>160</x:v>
      </x:c>
      <x:c r="Y117" s="3" t="s">
        <x:v>451</x:v>
      </x:c>
      <x:c r="Z117" s="3" t="s">
        <x:v>162</x:v>
      </x:c>
      <x:c r="AA117" s="3" t="s">
        <x:v>118</x:v>
      </x:c>
      <x:c r="AB117" s="7" t="n">
        <x:v>46252.7888888889</x:v>
      </x:c>
      <x:c r="AC117" s="7" t="n">
        <x:v>46252.7916666667</x:v>
      </x:c>
      <x:c r="AD117" s="7" t="n">
        <x:v>46252.7958333333</x:v>
      </x:c>
      <x:c r="AE117" s="7" t="n">
        <x:v>46252.8125</x:v>
      </x:c>
      <x:c r="AF117" s="7" t="n">
        <x:v>46252.8576388889</x:v>
      </x:c>
      <x:c r="AG117" s="3" t="n">
        <x:v>34</x:v>
      </x:c>
      <x:c r="AH117" s="3" t="n">
        <x:v>61</x:v>
      </x:c>
      <x:c r="AI117" s="3" t="s">
        <x:v>135</x:v>
      </x:c>
      <x:c r="AJ117" s="3" t="s">
        <x:v>135</x:v>
      </x:c>
      <x:c r="AK117" s="3" t="n">
        <x:v>180</x:v>
      </x:c>
      <x:c r="AL117" s="3" t="n">
        <x:v>0</x:v>
      </x:c>
      <x:c r="AM117" s="8" t="n">
        <x:v>0.5278</x:v>
      </x:c>
      <x:c r="AN117" s="3" t="n">
        <x:v>0</x:v>
      </x:c>
      <x:c r="AO117" s="3" t="s">
        <x:v>9</x:v>
      </x:c>
      <x:c r="AP117" s="3" t="s">
        <x:v>142</x:v>
      </x:c>
      <x:c r="AQ117" s="3" t="s">
        <x:v>459</x:v>
      </x:c>
      <x:c r="AR117" s="9" t="n">
        <x:v>852.2</x:v>
      </x:c>
      <x:c r="AS117" s="3" t="s">
        <x:v>121</x:v>
      </x:c>
      <x:c r="AT117" s="7" t="n">
        <x:v>46301.9166666667</x:v>
      </x:c>
    </x:row>
    <x:row r="118" ht="31.299999237060547" hidden="0">
      <x:c r="A118" s="3" t="s">
        <x:v>587</x:v>
      </x:c>
      <x:c r="B118" s="3" t="s">
        <x:v>146</x:v>
      </x:c>
      <x:c r="C118" s="3" t="s">
        <x:v>147</x:v>
      </x:c>
      <x:c r="D118" s="3" t="s">
        <x:v>148</x:v>
      </x:c>
      <x:c r="E118" s="3" t="s">
        <x:v>249</x:v>
      </x:c>
      <x:c r="F118" s="3" t="s">
        <x:v>149</x:v>
      </x:c>
      <x:c r="G118" s="3" t="s">
        <x:v>447</x:v>
      </x:c>
      <x:c r="H118" s="3" t="s">
        <x:v>343</x:v>
      </x:c>
      <x:c r="I118" s="3" t="s">
        <x:v>102</x:v>
      </x:c>
      <x:c r="J118" s="3" t="s">
        <x:v>103</x:v>
      </x:c>
      <x:c r="K118" s="3" t="s">
        <x:v>104</x:v>
      </x:c>
      <x:c r="L118" s="3" t="s">
        <x:v>151</x:v>
      </x:c>
      <x:c r="M118" s="3" t="s">
        <x:v>152</x:v>
      </x:c>
      <x:c r="N118" s="3" t="s">
        <x:v>153</x:v>
      </x:c>
      <x:c r="O118" s="3" t="s">
        <x:v>154</x:v>
      </x:c>
      <x:c r="P118" s="3" t="s">
        <x:v>155</x:v>
      </x:c>
      <x:c r="Q118" s="3" t="s">
        <x:v>270</x:v>
      </x:c>
      <x:c r="R118" s="3" t="s">
        <x:v>344</x:v>
      </x:c>
      <x:c r="S118" s="3" t="s">
        <x:v>111</x:v>
      </x:c>
      <x:c r="T118" s="3" t="s">
        <x:v>111</x:v>
      </x:c>
      <x:c r="U118" s="3" t="s">
        <x:v>345</x:v>
      </x:c>
      <x:c r="V118" s="3" t="s">
        <x:v>178</x:v>
      </x:c>
      <x:c r="W118" s="3" t="s">
        <x:v>332</x:v>
      </x:c>
      <x:c r="X118" s="3" t="s">
        <x:v>180</x:v>
      </x:c>
      <x:c r="Y118" s="3" t="s">
        <x:v>333</x:v>
      </x:c>
      <x:c r="Z118" s="3" t="s">
        <x:v>346</x:v>
      </x:c>
      <x:c r="AA118" s="3" t="s">
        <x:v>118</x:v>
      </x:c>
      <x:c r="AB118" s="7" t="n">
        <x:v>46252.8076388889</x:v>
      </x:c>
      <x:c r="AC118" s="7" t="n">
        <x:v>46252.8090277778</x:v>
      </x:c>
      <x:c r="AD118" s="7" t="n">
        <x:v>46252.8111111111</x:v>
      </x:c>
      <x:c r="AE118" s="7" t="n">
        <x:v>46252.8194444444</x:v>
      </x:c>
      <x:c r="AF118" s="7" t="n">
        <x:v>46252.8472222222</x:v>
      </x:c>
      <x:c r="AG118" s="3" t="n">
        <x:v>17</x:v>
      </x:c>
      <x:c r="AH118" s="3" t="n">
        <x:v>36</x:v>
      </x:c>
      <x:c r="AI118" s="3" t="s">
        <x:v>135</x:v>
      </x:c>
      <x:c r="AJ118" s="3" t="s">
        <x:v>135</x:v>
      </x:c>
      <x:c r="AK118" s="3" t="n">
        <x:v>120</x:v>
      </x:c>
      <x:c r="AL118" s="3" t="n">
        <x:v>0</x:v>
      </x:c>
      <x:c r="AM118" s="8" t="n">
        <x:v>0.4417</x:v>
      </x:c>
      <x:c r="AN118" s="3" t="n">
        <x:v>0</x:v>
      </x:c>
      <x:c r="AO118" s="3" t="s">
        <x:v>9</x:v>
      </x:c>
      <x:c r="AP118" s="3" t="s">
        <x:v>142</x:v>
      </x:c>
      <x:c r="AQ118" s="3" t="s">
        <x:v>411</x:v>
      </x:c>
      <x:c r="AR118" s="9" t="n">
        <x:v>595.7</x:v>
      </x:c>
      <x:c r="AS118" s="3" t="s">
        <x:v>121</x:v>
      </x:c>
      <x:c r="AT118" s="7" t="n">
        <x:v>46301.9166666667</x:v>
      </x:c>
    </x:row>
    <x:row r="119" ht="31.299999237060547" hidden="0">
      <x:c r="A119" s="3" t="s">
        <x:v>588</x:v>
      </x:c>
      <x:c r="B119" s="3" t="s">
        <x:v>321</x:v>
      </x:c>
      <x:c r="C119" s="3" t="s">
        <x:v>322</x:v>
      </x:c>
      <x:c r="D119" s="3" t="s">
        <x:v>323</x:v>
      </x:c>
      <x:c r="E119" s="3" t="s">
        <x:v>249</x:v>
      </x:c>
      <x:c r="F119" s="3" t="s">
        <x:v>149</x:v>
      </x:c>
      <x:c r="G119" s="3" t="s">
        <x:v>575</x:v>
      </x:c>
      <x:c r="H119" s="3" t="s">
        <x:v>301</x:v>
      </x:c>
      <x:c r="I119" s="3" t="s">
        <x:v>302</x:v>
      </x:c>
      <x:c r="J119" s="3" t="s">
        <x:v>303</x:v>
      </x:c>
      <x:c r="K119" s="3" t="s">
        <x:v>104</x:v>
      </x:c>
      <x:c r="L119" s="3" t="s">
        <x:v>325</x:v>
      </x:c>
      <x:c r="M119" s="3" t="s">
        <x:v>326</x:v>
      </x:c>
      <x:c r="N119" s="3" t="s">
        <x:v>131</x:v>
      </x:c>
      <x:c r="O119" s="3" t="s">
        <x:v>327</x:v>
      </x:c>
      <x:c r="P119" s="3" t="s">
        <x:v>328</x:v>
      </x:c>
      <x:c r="Q119" s="3" t="s">
        <x:v>329</x:v>
      </x:c>
      <x:c r="R119" s="3" t="s">
        <x:v>196</x:v>
      </x:c>
      <x:c r="S119" s="3" t="s">
        <x:v>111</x:v>
      </x:c>
      <x:c r="T119" s="3" t="s">
        <x:v>111</x:v>
      </x:c>
      <x:c r="U119" s="3" t="s">
        <x:v>197</x:v>
      </x:c>
      <x:c r="V119" s="3" t="s">
        <x:v>198</x:v>
      </x:c>
      <x:c r="W119" s="3" t="s">
        <x:v>199</x:v>
      </x:c>
      <x:c r="X119" s="3" t="s">
        <x:v>366</x:v>
      </x:c>
      <x:c r="Y119" s="3" t="s">
        <x:v>527</x:v>
      </x:c>
      <x:c r="Z119" s="3" t="s">
        <x:v>201</x:v>
      </x:c>
      <x:c r="AA119" s="3" t="s">
        <x:v>368</x:v>
      </x:c>
      <x:c r="AB119" s="7" t="n">
        <x:v>46253.3583333333</x:v>
      </x:c>
      <x:c r="AC119" s="7" t="n">
        <x:v>46253.3625</x:v>
      </x:c>
      <x:c r="AD119" s="7" t="n">
        <x:v>46253.36875</x:v>
      </x:c>
      <x:c r="AE119" s="7" t="n">
        <x:v>46253.3743055556</x:v>
      </x:c>
      <x:c r="AF119" s="7" t="n">
        <x:v>46253.4006944444</x:v>
      </x:c>
      <x:c r="AG119" s="3" t="n">
        <x:v>23</x:v>
      </x:c>
      <x:c r="AH119" s="3" t="n">
        <x:v>35</x:v>
      </x:c>
      <x:c r="AI119" s="3" t="s">
        <x:v>135</x:v>
      </x:c>
      <x:c r="AJ119" s="3" t="s">
        <x:v>111</x:v>
      </x:c>
      <x:c r="AK119" s="3" t="n">
        <x:v>120</x:v>
      </x:c>
      <x:c r="AL119" s="3" t="n">
        <x:v>0</x:v>
      </x:c>
      <x:c r="AM119" s="8" t="n">
        <x:v>0.4833</x:v>
      </x:c>
      <x:c r="AN119" s="3" t="n">
        <x:v>0</x:v>
      </x:c>
      <x:c r="AO119" s="3" t="s">
        <x:v>9</x:v>
      </x:c>
      <x:c r="AP119" s="3" t="s">
        <x:v>335</x:v>
      </x:c>
      <x:c r="AQ119" s="3" t="s">
        <x:v>336</x:v>
      </x:c>
      <x:c r="AR119" s="9" t="n">
        <x:v>615.5</x:v>
      </x:c>
      <x:c r="AS119" s="3" t="s">
        <x:v>121</x:v>
      </x:c>
      <x:c r="AT119" s="7" t="n">
        <x:v>46301.9166666667</x:v>
      </x:c>
    </x:row>
    <x:row r="120" ht="31.299999237060547" hidden="0">
      <x:c r="A120" s="3" t="s">
        <x:v>589</x:v>
      </x:c>
      <x:c r="B120" s="3" t="s">
        <x:v>187</x:v>
      </x:c>
      <x:c r="C120" s="3" t="s">
        <x:v>188</x:v>
      </x:c>
      <x:c r="D120" s="3" t="s">
        <x:v>189</x:v>
      </x:c>
      <x:c r="E120" s="3" t="s">
        <x:v>249</x:v>
      </x:c>
      <x:c r="F120" s="3" t="s">
        <x:v>127</x:v>
      </x:c>
      <x:c r="G120" s="3" t="s">
        <x:v>504</x:v>
      </x:c>
      <x:c r="H120" s="3" t="s">
        <x:v>343</x:v>
      </x:c>
      <x:c r="I120" s="3" t="s">
        <x:v>102</x:v>
      </x:c>
      <x:c r="J120" s="3" t="s">
        <x:v>103</x:v>
      </x:c>
      <x:c r="K120" s="3" t="s">
        <x:v>104</x:v>
      </x:c>
      <x:c r="L120" s="3" t="s">
        <x:v>191</x:v>
      </x:c>
      <x:c r="M120" s="3" t="s">
        <x:v>192</x:v>
      </x:c>
      <x:c r="N120" s="3" t="s">
        <x:v>193</x:v>
      </x:c>
      <x:c r="O120" s="3" t="s">
        <x:v>194</x:v>
      </x:c>
      <x:c r="P120" s="3" t="s">
        <x:v>195</x:v>
      </x:c>
      <x:c r="Q120" s="3" t="s">
        <x:v>273</x:v>
      </x:c>
      <x:c r="R120" s="3" t="s">
        <x:v>344</x:v>
      </x:c>
      <x:c r="S120" s="3" t="s">
        <x:v>111</x:v>
      </x:c>
      <x:c r="T120" s="3" t="s">
        <x:v>111</x:v>
      </x:c>
      <x:c r="U120" s="3" t="s">
        <x:v>345</x:v>
      </x:c>
      <x:c r="V120" s="3" t="s">
        <x:v>178</x:v>
      </x:c>
      <x:c r="W120" s="3" t="s">
        <x:v>355</x:v>
      </x:c>
      <x:c r="X120" s="3" t="s">
        <x:v>180</x:v>
      </x:c>
      <x:c r="Y120" s="3" t="s">
        <x:v>356</x:v>
      </x:c>
      <x:c r="Z120" s="3" t="s">
        <x:v>346</x:v>
      </x:c>
      <x:c r="AA120" s="3" t="s">
        <x:v>118</x:v>
      </x:c>
      <x:c r="AB120" s="7" t="n">
        <x:v>46253.4701388889</x:v>
      </x:c>
      <x:c r="AC120" s="7" t="n">
        <x:v>46253.4736111111</x:v>
      </x:c>
      <x:c r="AD120" s="7" t="n">
        <x:v>46253.4763888889</x:v>
      </x:c>
      <x:c r="AE120" s="7" t="n">
        <x:v>46253.4965277778</x:v>
      </x:c>
      <x:c r="AF120" s="7" t="n">
        <x:v>46253.5569444444</x:v>
      </x:c>
      <x:c r="AG120" s="3" t="n">
        <x:v>38</x:v>
      </x:c>
      <x:c r="AH120" s="3" t="n">
        <x:v>78</x:v>
      </x:c>
      <x:c r="AI120" s="3" t="s">
        <x:v>135</x:v>
      </x:c>
      <x:c r="AJ120" s="3" t="s">
        <x:v>111</x:v>
      </x:c>
      <x:c r="AK120" s="3" t="n">
        <x:v>120</x:v>
      </x:c>
      <x:c r="AL120" s="3" t="n">
        <x:v>0</x:v>
      </x:c>
      <x:c r="AM120" s="8" t="n">
        <x:v>0.9667</x:v>
      </x:c>
      <x:c r="AN120" s="3" t="n">
        <x:v>0</x:v>
      </x:c>
      <x:c r="AO120" s="3" t="s">
        <x:v>19</x:v>
      </x:c>
      <x:c r="AP120" s="3" t="s">
        <x:v>444</x:v>
      </x:c>
      <x:c r="AQ120" s="3" t="s">
        <x:v>386</x:v>
      </x:c>
      <x:c r="AR120" s="9" t="n">
        <x:v>1372.6</x:v>
      </x:c>
      <x:c r="AS120" s="3" t="s">
        <x:v>185</x:v>
      </x:c>
      <x:c r="AT120" s="7" t="n">
        <x:v>46301.9166666667</x:v>
      </x:c>
    </x:row>
    <x:row r="121" ht="31.299999237060547" hidden="0">
      <x:c r="A121" s="3" t="s">
        <x:v>590</x:v>
      </x:c>
      <x:c r="B121" s="3" t="s">
        <x:v>433</x:v>
      </x:c>
      <x:c r="C121" s="3" t="s">
        <x:v>434</x:v>
      </x:c>
      <x:c r="D121" s="3" t="s">
        <x:v>435</x:v>
      </x:c>
      <x:c r="E121" s="3" t="s">
        <x:v>249</x:v>
      </x:c>
      <x:c r="F121" s="3" t="s">
        <x:v>149</x:v>
      </x:c>
      <x:c r="G121" s="3" t="s">
        <x:v>575</x:v>
      </x:c>
      <x:c r="H121" s="3" t="s">
        <x:v>301</x:v>
      </x:c>
      <x:c r="I121" s="3" t="s">
        <x:v>302</x:v>
      </x:c>
      <x:c r="J121" s="3" t="s">
        <x:v>303</x:v>
      </x:c>
      <x:c r="K121" s="3" t="s">
        <x:v>104</x:v>
      </x:c>
      <x:c r="L121" s="3" t="s">
        <x:v>437</x:v>
      </x:c>
      <x:c r="M121" s="3" t="s">
        <x:v>106</x:v>
      </x:c>
      <x:c r="N121" s="3" t="s">
        <x:v>438</x:v>
      </x:c>
      <x:c r="O121" s="3" t="s">
        <x:v>439</x:v>
      </x:c>
      <x:c r="P121" s="3" t="s">
        <x:v>440</x:v>
      </x:c>
      <x:c r="Q121" s="3" t="s">
        <x:v>441</x:v>
      </x:c>
      <x:c r="R121" s="3" t="s">
        <x:v>196</x:v>
      </x:c>
      <x:c r="S121" s="3" t="s">
        <x:v>111</x:v>
      </x:c>
      <x:c r="T121" s="3" t="s">
        <x:v>111</x:v>
      </x:c>
      <x:c r="U121" s="3" t="s">
        <x:v>197</x:v>
      </x:c>
      <x:c r="V121" s="3" t="s">
        <x:v>198</x:v>
      </x:c>
      <x:c r="W121" s="3" t="s">
        <x:v>365</x:v>
      </x:c>
      <x:c r="X121" s="3" t="s">
        <x:v>366</x:v>
      </x:c>
      <x:c r="Y121" s="3" t="s">
        <x:v>367</x:v>
      </x:c>
      <x:c r="Z121" s="3" t="s">
        <x:v>201</x:v>
      </x:c>
      <x:c r="AA121" s="3" t="s">
        <x:v>368</x:v>
      </x:c>
      <x:c r="AB121" s="7" t="n">
        <x:v>46253.5506944444</x:v>
      </x:c>
      <x:c r="AC121" s="7" t="n">
        <x:v>46253.5520833333</x:v>
      </x:c>
      <x:c r="AD121" s="7" t="n">
        <x:v>46253.5541666667</x:v>
      </x:c>
      <x:c r="AE121" s="7" t="n">
        <x:v>46253.5597222222</x:v>
      </x:c>
      <x:c r="AF121" s="7" t="n">
        <x:v>46253.5791666667</x:v>
      </x:c>
      <x:c r="AG121" s="3" t="n">
        <x:v>13</x:v>
      </x:c>
      <x:c r="AH121" s="3" t="n">
        <x:v>19</x:v>
      </x:c>
      <x:c r="AI121" s="3" t="s">
        <x:v>135</x:v>
      </x:c>
      <x:c r="AJ121" s="3" t="s">
        <x:v>135</x:v>
      </x:c>
      <x:c r="AK121" s="3" t="n">
        <x:v>120</x:v>
      </x:c>
      <x:c r="AL121" s="3" t="n">
        <x:v>0</x:v>
      </x:c>
      <x:c r="AM121" s="8" t="n">
        <x:v>0.2667</x:v>
      </x:c>
      <x:c r="AN121" s="3" t="n">
        <x:v>0</x:v>
      </x:c>
      <x:c r="AO121" s="3" t="s">
        <x:v>9</x:v>
      </x:c>
      <x:c r="AP121" s="3" t="s">
        <x:v>142</x:v>
      </x:c>
      <x:c r="AQ121" s="3" t="s">
        <x:v>120</x:v>
      </x:c>
      <x:c r="AR121" s="9" t="n">
        <x:v>455.3</x:v>
      </x:c>
      <x:c r="AS121" s="3" t="s">
        <x:v>144</x:v>
      </x:c>
      <x:c r="AT121" s="7" t="n">
        <x:v>46301.9166666667</x:v>
      </x:c>
    </x:row>
    <x:row r="122" ht="31.299999237060547" hidden="0">
      <x:c r="A122" s="3" t="s">
        <x:v>591</x:v>
      </x:c>
      <x:c r="B122" s="3" t="s">
        <x:v>187</x:v>
      </x:c>
      <x:c r="C122" s="3" t="s">
        <x:v>188</x:v>
      </x:c>
      <x:c r="D122" s="3" t="s">
        <x:v>189</x:v>
      </x:c>
      <x:c r="E122" s="3" t="s">
        <x:v>249</x:v>
      </x:c>
      <x:c r="F122" s="3" t="s">
        <x:v>127</x:v>
      </x:c>
      <x:c r="G122" s="3" t="s">
        <x:v>349</x:v>
      </x:c>
      <x:c r="H122" s="3" t="s">
        <x:v>343</x:v>
      </x:c>
      <x:c r="I122" s="3" t="s">
        <x:v>102</x:v>
      </x:c>
      <x:c r="J122" s="3" t="s">
        <x:v>103</x:v>
      </x:c>
      <x:c r="K122" s="3" t="s">
        <x:v>104</x:v>
      </x:c>
      <x:c r="L122" s="3" t="s">
        <x:v>191</x:v>
      </x:c>
      <x:c r="M122" s="3" t="s">
        <x:v>192</x:v>
      </x:c>
      <x:c r="N122" s="3" t="s">
        <x:v>193</x:v>
      </x:c>
      <x:c r="O122" s="3" t="s">
        <x:v>194</x:v>
      </x:c>
      <x:c r="P122" s="3" t="s">
        <x:v>195</x:v>
      </x:c>
      <x:c r="Q122" s="3" t="s">
        <x:v>273</x:v>
      </x:c>
      <x:c r="R122" s="3" t="s">
        <x:v>344</x:v>
      </x:c>
      <x:c r="S122" s="3" t="s">
        <x:v>111</x:v>
      </x:c>
      <x:c r="T122" s="3" t="s">
        <x:v>111</x:v>
      </x:c>
      <x:c r="U122" s="3" t="s">
        <x:v>345</x:v>
      </x:c>
      <x:c r="V122" s="3" t="s">
        <x:v>178</x:v>
      </x:c>
      <x:c r="W122" s="3" t="s">
        <x:v>355</x:v>
      </x:c>
      <x:c r="X122" s="3" t="s">
        <x:v>180</x:v>
      </x:c>
      <x:c r="Y122" s="3" t="s">
        <x:v>356</x:v>
      </x:c>
      <x:c r="Z122" s="3" t="s">
        <x:v>346</x:v>
      </x:c>
      <x:c r="AA122" s="3" t="s">
        <x:v>118</x:v>
      </x:c>
      <x:c r="AB122" s="7" t="n">
        <x:v>46253.5597222222</x:v>
      </x:c>
      <x:c r="AC122" s="7" t="n">
        <x:v>46253.5611111111</x:v>
      </x:c>
      <x:c r="AD122" s="7" t="n">
        <x:v>46253.5659722222</x:v>
      </x:c>
      <x:c r="AE122" s="7" t="n">
        <x:v>46253.5743055556</x:v>
      </x:c>
      <x:c r="AF122" s="7" t="n">
        <x:v>46253.6118055556</x:v>
      </x:c>
      <x:c r="AG122" s="3" t="n">
        <x:v>21</x:v>
      </x:c>
      <x:c r="AH122" s="3" t="n">
        <x:v>48</x:v>
      </x:c>
      <x:c r="AI122" s="3" t="s">
        <x:v>135</x:v>
      </x:c>
      <x:c r="AJ122" s="3" t="s">
        <x:v>111</x:v>
      </x:c>
      <x:c r="AK122" s="3" t="n">
        <x:v>120</x:v>
      </x:c>
      <x:c r="AL122" s="3" t="n">
        <x:v>0</x:v>
      </x:c>
      <x:c r="AM122" s="8" t="n">
        <x:v>0.575</x:v>
      </x:c>
      <x:c r="AN122" s="3" t="n">
        <x:v>0</x:v>
      </x:c>
      <x:c r="AO122" s="3" t="s">
        <x:v>9</x:v>
      </x:c>
      <x:c r="AP122" s="3" t="s">
        <x:v>335</x:v>
      </x:c>
      <x:c r="AQ122" s="3" t="s">
        <x:v>386</x:v>
      </x:c>
      <x:c r="AR122" s="9" t="n">
        <x:v>1080.1</x:v>
      </x:c>
      <x:c r="AS122" s="3" t="s">
        <x:v>185</x:v>
      </x:c>
      <x:c r="AT122" s="7" t="n">
        <x:v>46301.9166666667</x:v>
      </x:c>
    </x:row>
    <x:row r="123" ht="31.299999237060547" hidden="0">
      <x:c r="A123" s="3" t="s">
        <x:v>592</x:v>
      </x:c>
      <x:c r="B123" s="3" t="s">
        <x:v>397</x:v>
      </x:c>
      <x:c r="C123" s="3" t="s">
        <x:v>398</x:v>
      </x:c>
      <x:c r="D123" s="3" t="s">
        <x:v>399</x:v>
      </x:c>
      <x:c r="E123" s="3" t="s">
        <x:v>249</x:v>
      </x:c>
      <x:c r="F123" s="3" t="s">
        <x:v>149</x:v>
      </x:c>
      <x:c r="G123" s="3" t="s">
        <x:v>400</x:v>
      </x:c>
      <x:c r="H123" s="3" t="s">
        <x:v>301</x:v>
      </x:c>
      <x:c r="I123" s="3" t="s">
        <x:v>302</x:v>
      </x:c>
      <x:c r="J123" s="3" t="s">
        <x:v>303</x:v>
      </x:c>
      <x:c r="K123" s="3" t="s">
        <x:v>104</x:v>
      </x:c>
      <x:c r="L123" s="3" t="s">
        <x:v>401</x:v>
      </x:c>
      <x:c r="M123" s="3" t="s">
        <x:v>402</x:v>
      </x:c>
      <x:c r="N123" s="3" t="s">
        <x:v>403</x:v>
      </x:c>
      <x:c r="O123" s="3" t="s">
        <x:v>404</x:v>
      </x:c>
      <x:c r="P123" s="3" t="s">
        <x:v>405</x:v>
      </x:c>
      <x:c r="Q123" s="3" t="s">
        <x:v>406</x:v>
      </x:c>
      <x:c r="R123" s="3" t="s">
        <x:v>134</x:v>
      </x:c>
      <x:c r="S123" s="3" t="s">
        <x:v>135</x:v>
      </x:c>
      <x:c r="T123" s="3" t="s">
        <x:v>111</x:v>
      </x:c>
      <x:c r="U123" s="3" t="s">
        <x:v>136</x:v>
      </x:c>
      <x:c r="V123" s="3" t="s">
        <x:v>137</x:v>
      </x:c>
      <x:c r="W123" s="3" t="s">
        <x:v>138</x:v>
      </x:c>
      <x:c r="X123" s="3" t="s">
        <x:v>139</x:v>
      </x:c>
      <x:c r="Y123" s="3" t="s">
        <x:v>454</x:v>
      </x:c>
      <x:c r="Z123" s="3" t="s">
        <x:v>141</x:v>
      </x:c>
      <x:c r="AA123" s="3" t="s">
        <x:v>118</x:v>
      </x:c>
      <x:c r="AB123" s="7" t="n">
        <x:v>46253.5680555556</x:v>
      </x:c>
      <x:c r="AC123" s="7" t="n">
        <x:v>46253.5694444444</x:v>
      </x:c>
      <x:c r="AD123" s="7" t="n">
        <x:v>46253.5715277778</x:v>
      </x:c>
      <x:c r="AE123" s="7" t="n">
        <x:v>46253.5888888889</x:v>
      </x:c>
      <x:c r="AF123" s="7" t="n">
        <x:v>46253.6381944444</x:v>
      </x:c>
      <x:c r="AG123" s="3" t="n">
        <x:v>30</x:v>
      </x:c>
      <x:c r="AH123" s="3" t="n">
        <x:v>66</x:v>
      </x:c>
      <x:c r="AI123" s="3" t="s">
        <x:v>135</x:v>
      </x:c>
      <x:c r="AJ123" s="3" t="s">
        <x:v>135</x:v>
      </x:c>
      <x:c r="AK123" s="3" t="n">
        <x:v>180</x:v>
      </x:c>
      <x:c r="AL123" s="3" t="n">
        <x:v>0</x:v>
      </x:c>
      <x:c r="AM123" s="8" t="n">
        <x:v>0.5333</x:v>
      </x:c>
      <x:c r="AN123" s="3" t="n">
        <x:v>3</x:v>
      </x:c>
      <x:c r="AO123" s="3" t="s">
        <x:v>14</x:v>
      </x:c>
      <x:c r="AP123" s="3" t="s">
        <x:v>183</x:v>
      </x:c>
      <x:c r="AQ123" s="3" t="s">
        <x:v>593</x:v>
      </x:c>
      <x:c r="AR123" s="9" t="n">
        <x:v>1120.2</x:v>
      </x:c>
      <x:c r="AS123" s="3" t="s">
        <x:v>185</x:v>
      </x:c>
      <x:c r="AT123" s="7" t="n">
        <x:v>46301.9166666667</x:v>
      </x:c>
    </x:row>
    <x:row r="124" ht="31.299999237060547" hidden="0">
      <x:c r="A124" s="3" t="s">
        <x:v>594</x:v>
      </x:c>
      <x:c r="B124" s="3" t="s">
        <x:v>123</x:v>
      </x:c>
      <x:c r="C124" s="3" t="s">
        <x:v>124</x:v>
      </x:c>
      <x:c r="D124" s="3" t="s">
        <x:v>125</x:v>
      </x:c>
      <x:c r="E124" s="3" t="s">
        <x:v>249</x:v>
      </x:c>
      <x:c r="F124" s="3" t="s">
        <x:v>99</x:v>
      </x:c>
      <x:c r="G124" s="3" t="s">
        <x:v>416</x:v>
      </x:c>
      <x:c r="H124" s="3" t="s">
        <x:v>339</x:v>
      </x:c>
      <x:c r="I124" s="3" t="s">
        <x:v>102</x:v>
      </x:c>
      <x:c r="J124" s="3" t="s">
        <x:v>103</x:v>
      </x:c>
      <x:c r="K124" s="3" t="s">
        <x:v>104</x:v>
      </x:c>
      <x:c r="L124" s="3" t="s">
        <x:v>129</x:v>
      </x:c>
      <x:c r="M124" s="3" t="s">
        <x:v>130</x:v>
      </x:c>
      <x:c r="N124" s="3" t="s">
        <x:v>131</x:v>
      </x:c>
      <x:c r="O124" s="3" t="s">
        <x:v>132</x:v>
      </x:c>
      <x:c r="P124" s="3" t="s">
        <x:v>133</x:v>
      </x:c>
      <x:c r="Q124" s="3" t="s">
        <x:v>268</x:v>
      </x:c>
      <x:c r="R124" s="3" t="s">
        <x:v>373</x:v>
      </x:c>
      <x:c r="S124" s="3" t="s">
        <x:v>135</x:v>
      </x:c>
      <x:c r="T124" s="3" t="s">
        <x:v>111</x:v>
      </x:c>
      <x:c r="U124" s="3" t="s">
        <x:v>374</x:v>
      </x:c>
      <x:c r="V124" s="3" t="s">
        <x:v>178</x:v>
      </x:c>
      <x:c r="W124" s="3" t="s">
        <x:v>332</x:v>
      </x:c>
      <x:c r="X124" s="3" t="s">
        <x:v>180</x:v>
      </x:c>
      <x:c r="Y124" s="3" t="s">
        <x:v>333</x:v>
      </x:c>
      <x:c r="Z124" s="3" t="s">
        <x:v>375</x:v>
      </x:c>
      <x:c r="AA124" s="3" t="s">
        <x:v>118</x:v>
      </x:c>
      <x:c r="AB124" s="7" t="n">
        <x:v>46253.5736111111</x:v>
      </x:c>
      <x:c r="AC124" s="7" t="n">
        <x:v>46253.5770833333</x:v>
      </x:c>
      <x:c r="AD124" s="7" t="n">
        <x:v>46253.5805555556</x:v>
      </x:c>
      <x:c r="AE124" s="7" t="n">
        <x:v>46253.6027777778</x:v>
      </x:c>
      <x:c r="AF124" s="7" t="n">
        <x:v>46253.6236111111</x:v>
      </x:c>
      <x:c r="AG124" s="3" t="n">
        <x:v>42</x:v>
      </x:c>
      <x:c r="AH124" s="3" t="n">
        <x:v>20</x:v>
      </x:c>
      <x:c r="AI124" s="3" t="s">
        <x:v>135</x:v>
      </x:c>
      <x:c r="AJ124" s="3" t="s">
        <x:v>135</x:v>
      </x:c>
      <x:c r="AK124" s="3" t="n">
        <x:v>180</x:v>
      </x:c>
      <x:c r="AL124" s="3" t="n">
        <x:v>0</x:v>
      </x:c>
      <x:c r="AM124" s="8" t="n">
        <x:v>0.3444</x:v>
      </x:c>
      <x:c r="AN124" s="3" t="n">
        <x:v>2</x:v>
      </x:c>
      <x:c r="AO124" s="3" t="s">
        <x:v>14</x:v>
      </x:c>
      <x:c r="AP124" s="3" t="s">
        <x:v>573</x:v>
      </x:c>
      <x:c r="AQ124" s="3" t="s">
        <x:v>472</x:v>
      </x:c>
      <x:c r="AR124" s="9" t="n">
        <x:v>593</x:v>
      </x:c>
      <x:c r="AS124" s="3" t="s">
        <x:v>121</x:v>
      </x:c>
      <x:c r="AT124" s="7" t="n">
        <x:v>46301.9166666667</x:v>
      </x:c>
    </x:row>
    <x:row r="125" ht="31.299999237060547" hidden="0">
      <x:c r="A125" s="3" t="s">
        <x:v>595</x:v>
      </x:c>
      <x:c r="B125" s="3" t="s">
        <x:v>166</x:v>
      </x:c>
      <x:c r="C125" s="3" t="s">
        <x:v>167</x:v>
      </x:c>
      <x:c r="D125" s="3" t="s">
        <x:v>168</x:v>
      </x:c>
      <x:c r="E125" s="3" t="s">
        <x:v>249</x:v>
      </x:c>
      <x:c r="F125" s="3" t="s">
        <x:v>149</x:v>
      </x:c>
      <x:c r="G125" s="3" t="s">
        <x:v>416</x:v>
      </x:c>
      <x:c r="H125" s="3" t="s">
        <x:v>339</x:v>
      </x:c>
      <x:c r="I125" s="3" t="s">
        <x:v>102</x:v>
      </x:c>
      <x:c r="J125" s="3" t="s">
        <x:v>103</x:v>
      </x:c>
      <x:c r="K125" s="3" t="s">
        <x:v>104</x:v>
      </x:c>
      <x:c r="L125" s="3" t="s">
        <x:v>171</x:v>
      </x:c>
      <x:c r="M125" s="3" t="s">
        <x:v>172</x:v>
      </x:c>
      <x:c r="N125" s="3" t="s">
        <x:v>173</x:v>
      </x:c>
      <x:c r="O125" s="3" t="s">
        <x:v>174</x:v>
      </x:c>
      <x:c r="P125" s="3" t="s">
        <x:v>175</x:v>
      </x:c>
      <x:c r="Q125" s="3" t="s">
        <x:v>271</x:v>
      </x:c>
      <x:c r="R125" s="3" t="s">
        <x:v>373</x:v>
      </x:c>
      <x:c r="S125" s="3" t="s">
        <x:v>135</x:v>
      </x:c>
      <x:c r="T125" s="3" t="s">
        <x:v>111</x:v>
      </x:c>
      <x:c r="U125" s="3" t="s">
        <x:v>374</x:v>
      </x:c>
      <x:c r="V125" s="3" t="s">
        <x:v>178</x:v>
      </x:c>
      <x:c r="W125" s="3" t="s">
        <x:v>179</x:v>
      </x:c>
      <x:c r="X125" s="3" t="s">
        <x:v>180</x:v>
      </x:c>
      <x:c r="Y125" s="3" t="s">
        <x:v>414</x:v>
      </x:c>
      <x:c r="Z125" s="3" t="s">
        <x:v>375</x:v>
      </x:c>
      <x:c r="AA125" s="3" t="s">
        <x:v>118</x:v>
      </x:c>
      <x:c r="AB125" s="7" t="n">
        <x:v>46253.5743055556</x:v>
      </x:c>
      <x:c r="AC125" s="7" t="n">
        <x:v>46253.5756944444</x:v>
      </x:c>
      <x:c r="AD125" s="7" t="n">
        <x:v>46253.5777777778</x:v>
      </x:c>
      <x:c r="AE125" s="7" t="n">
        <x:v>46253.5854166667</x:v>
      </x:c>
      <x:c r="AF125" s="7" t="n">
        <x:v>46253.6625</x:v>
      </x:c>
      <x:c r="AG125" s="3" t="n">
        <x:v>16</x:v>
      </x:c>
      <x:c r="AH125" s="3" t="n">
        <x:v>103</x:v>
      </x:c>
      <x:c r="AI125" s="3" t="s">
        <x:v>135</x:v>
      </x:c>
      <x:c r="AJ125" s="3" t="s">
        <x:v>135</x:v>
      </x:c>
      <x:c r="AK125" s="3" t="n">
        <x:v>150</x:v>
      </x:c>
      <x:c r="AL125" s="3" t="n">
        <x:v>0</x:v>
      </x:c>
      <x:c r="AM125" s="8" t="n">
        <x:v>0.7933</x:v>
      </x:c>
      <x:c r="AN125" s="3" t="n">
        <x:v>0</x:v>
      </x:c>
      <x:c r="AO125" s="3" t="s">
        <x:v>14</x:v>
      </x:c>
      <x:c r="AP125" s="3" t="s">
        <x:v>347</x:v>
      </x:c>
      <x:c r="AQ125" s="3" t="s">
        <x:v>340</x:v>
      </x:c>
      <x:c r="AR125" s="9" t="n">
        <x:v>1453.6</x:v>
      </x:c>
      <x:c r="AS125" s="3" t="s">
        <x:v>185</x:v>
      </x:c>
      <x:c r="AT125" s="7" t="n">
        <x:v>46301.9166666667</x:v>
      </x:c>
    </x:row>
    <x:row r="126" ht="31.299999237060547" hidden="0">
      <x:c r="A126" s="3" t="s">
        <x:v>596</x:v>
      </x:c>
      <x:c r="B126" s="3" t="s">
        <x:v>433</x:v>
      </x:c>
      <x:c r="C126" s="3" t="s">
        <x:v>434</x:v>
      </x:c>
      <x:c r="D126" s="3" t="s">
        <x:v>435</x:v>
      </x:c>
      <x:c r="E126" s="3" t="s">
        <x:v>249</x:v>
      </x:c>
      <x:c r="F126" s="3" t="s">
        <x:v>127</x:v>
      </x:c>
      <x:c r="G126" s="3" t="s">
        <x:v>300</x:v>
      </x:c>
      <x:c r="H126" s="3" t="s">
        <x:v>301</x:v>
      </x:c>
      <x:c r="I126" s="3" t="s">
        <x:v>302</x:v>
      </x:c>
      <x:c r="J126" s="3" t="s">
        <x:v>303</x:v>
      </x:c>
      <x:c r="K126" s="3" t="s">
        <x:v>104</x:v>
      </x:c>
      <x:c r="L126" s="3" t="s">
        <x:v>437</x:v>
      </x:c>
      <x:c r="M126" s="3" t="s">
        <x:v>106</x:v>
      </x:c>
      <x:c r="N126" s="3" t="s">
        <x:v>438</x:v>
      </x:c>
      <x:c r="O126" s="3" t="s">
        <x:v>439</x:v>
      </x:c>
      <x:c r="P126" s="3" t="s">
        <x:v>440</x:v>
      </x:c>
      <x:c r="Q126" s="3" t="s">
        <x:v>441</x:v>
      </x:c>
      <x:c r="R126" s="3" t="s">
        <x:v>310</x:v>
      </x:c>
      <x:c r="S126" s="3" t="s">
        <x:v>135</x:v>
      </x:c>
      <x:c r="T126" s="3" t="s">
        <x:v>111</x:v>
      </x:c>
      <x:c r="U126" s="3" t="s">
        <x:v>311</x:v>
      </x:c>
      <x:c r="V126" s="3" t="s">
        <x:v>312</x:v>
      </x:c>
      <x:c r="W126" s="3" t="s">
        <x:v>313</x:v>
      </x:c>
      <x:c r="X126" s="3" t="s">
        <x:v>314</x:v>
      </x:c>
      <x:c r="Y126" s="3" t="s">
        <x:v>315</x:v>
      </x:c>
      <x:c r="Z126" s="3" t="s">
        <x:v>316</x:v>
      </x:c>
      <x:c r="AA126" s="3" t="s">
        <x:v>317</x:v>
      </x:c>
      <x:c r="AB126" s="7" t="n">
        <x:v>46253.6097222222</x:v>
      </x:c>
      <x:c r="AC126" s="7" t="n">
        <x:v>46253.6125</x:v>
      </x:c>
      <x:c r="AD126" s="7" t="n">
        <x:v>46253.6180555556</x:v>
      </x:c>
      <x:c r="AE126" s="7" t="n">
        <x:v>46253.6416666667</x:v>
      </x:c>
      <x:c r="AF126" s="7" t="n">
        <x:v>46253.6736111111</x:v>
      </x:c>
      <x:c r="AG126" s="3" t="n">
        <x:v>46</x:v>
      </x:c>
      <x:c r="AH126" s="3" t="n">
        <x:v>39</x:v>
      </x:c>
      <x:c r="AI126" s="3" t="s">
        <x:v>135</x:v>
      </x:c>
      <x:c r="AJ126" s="3" t="s">
        <x:v>135</x:v>
      </x:c>
      <x:c r="AK126" s="3" t="n">
        <x:v>180</x:v>
      </x:c>
      <x:c r="AL126" s="3" t="n">
        <x:v>0</x:v>
      </x:c>
      <x:c r="AM126" s="8" t="n">
        <x:v>0.4722</x:v>
      </x:c>
      <x:c r="AN126" s="3" t="n">
        <x:v>1</x:v>
      </x:c>
      <x:c r="AO126" s="3" t="s">
        <x:v>9</x:v>
      </x:c>
      <x:c r="AP126" s="3" t="s">
        <x:v>500</x:v>
      </x:c>
      <x:c r="AQ126" s="3" t="s">
        <x:v>562</x:v>
      </x:c>
      <x:c r="AR126" s="9" t="n">
        <x:v>747.8</x:v>
      </x:c>
      <x:c r="AS126" s="3" t="s">
        <x:v>144</x:v>
      </x:c>
      <x:c r="AT126" s="7" t="n">
        <x:v>46301.9166666667</x:v>
      </x:c>
    </x:row>
    <x:row r="127" ht="31.299999237060547" hidden="0">
      <x:c r="A127" s="3" t="s">
        <x:v>597</x:v>
      </x:c>
      <x:c r="B127" s="3" t="s">
        <x:v>321</x:v>
      </x:c>
      <x:c r="C127" s="3" t="s">
        <x:v>322</x:v>
      </x:c>
      <x:c r="D127" s="3" t="s">
        <x:v>323</x:v>
      </x:c>
      <x:c r="E127" s="3" t="s">
        <x:v>249</x:v>
      </x:c>
      <x:c r="F127" s="3" t="s">
        <x:v>99</x:v>
      </x:c>
      <x:c r="G127" s="3" t="s">
        <x:v>598</x:v>
      </x:c>
      <x:c r="H127" s="3" t="s">
        <x:v>301</x:v>
      </x:c>
      <x:c r="I127" s="3" t="s">
        <x:v>302</x:v>
      </x:c>
      <x:c r="J127" s="3" t="s">
        <x:v>303</x:v>
      </x:c>
      <x:c r="K127" s="3" t="s">
        <x:v>104</x:v>
      </x:c>
      <x:c r="L127" s="3" t="s">
        <x:v>325</x:v>
      </x:c>
      <x:c r="M127" s="3" t="s">
        <x:v>326</x:v>
      </x:c>
      <x:c r="N127" s="3" t="s">
        <x:v>131</x:v>
      </x:c>
      <x:c r="O127" s="3" t="s">
        <x:v>327</x:v>
      </x:c>
      <x:c r="P127" s="3" t="s">
        <x:v>328</x:v>
      </x:c>
      <x:c r="Q127" s="3" t="s">
        <x:v>329</x:v>
      </x:c>
      <x:c r="R127" s="3" t="s">
        <x:v>196</x:v>
      </x:c>
      <x:c r="S127" s="3" t="s">
        <x:v>111</x:v>
      </x:c>
      <x:c r="T127" s="3" t="s">
        <x:v>111</x:v>
      </x:c>
      <x:c r="U127" s="3" t="s">
        <x:v>197</x:v>
      </x:c>
      <x:c r="V127" s="3" t="s">
        <x:v>198</x:v>
      </x:c>
      <x:c r="W127" s="3" t="s">
        <x:v>199</x:v>
      </x:c>
      <x:c r="X127" s="3" t="s">
        <x:v>366</x:v>
      </x:c>
      <x:c r="Y127" s="3" t="s">
        <x:v>527</x:v>
      </x:c>
      <x:c r="Z127" s="3" t="s">
        <x:v>201</x:v>
      </x:c>
      <x:c r="AA127" s="3" t="s">
        <x:v>368</x:v>
      </x:c>
      <x:c r="AB127" s="7" t="n">
        <x:v>46253.65625</x:v>
      </x:c>
      <x:c r="AC127" s="7" t="n">
        <x:v>46253.6604166667</x:v>
      </x:c>
      <x:c r="AD127" s="7" t="n">
        <x:v>46253.6625</x:v>
      </x:c>
      <x:c r="AE127" s="7" t="n">
        <x:v>46253.6833333333</x:v>
      </x:c>
      <x:c r="AF127" s="7" t="n">
        <x:v>46253.7236111111</x:v>
      </x:c>
      <x:c r="AG127" s="3" t="n">
        <x:v>39</x:v>
      </x:c>
      <x:c r="AH127" s="3" t="n">
        <x:v>49</x:v>
      </x:c>
      <x:c r="AI127" s="3" t="s">
        <x:v>135</x:v>
      </x:c>
      <x:c r="AJ127" s="3" t="s">
        <x:v>111</x:v>
      </x:c>
      <x:c r="AK127" s="3" t="n">
        <x:v>120</x:v>
      </x:c>
      <x:c r="AL127" s="3" t="n">
        <x:v>0</x:v>
      </x:c>
      <x:c r="AM127" s="8" t="n">
        <x:v>0.7333</x:v>
      </x:c>
      <x:c r="AN127" s="3" t="n">
        <x:v>0</x:v>
      </x:c>
      <x:c r="AO127" s="3" t="s">
        <x:v>14</x:v>
      </x:c>
      <x:c r="AP127" s="3" t="s">
        <x:v>318</x:v>
      </x:c>
      <x:c r="AQ127" s="3" t="s">
        <x:v>426</x:v>
      </x:c>
      <x:c r="AR127" s="9" t="n">
        <x:v>788.3</x:v>
      </x:c>
      <x:c r="AS127" s="3" t="s">
        <x:v>121</x:v>
      </x:c>
      <x:c r="AT127" s="7" t="n">
        <x:v>46301.9166666667</x:v>
      </x:c>
    </x:row>
    <x:row r="128" ht="31.299999237060547" hidden="0">
      <x:c r="A128" s="3" t="s">
        <x:v>599</x:v>
      </x:c>
      <x:c r="B128" s="3" t="s">
        <x:v>321</x:v>
      </x:c>
      <x:c r="C128" s="3" t="s">
        <x:v>322</x:v>
      </x:c>
      <x:c r="D128" s="3" t="s">
        <x:v>323</x:v>
      </x:c>
      <x:c r="E128" s="3" t="s">
        <x:v>249</x:v>
      </x:c>
      <x:c r="F128" s="3" t="s">
        <x:v>99</x:v>
      </x:c>
      <x:c r="G128" s="3" t="s">
        <x:v>324</x:v>
      </x:c>
      <x:c r="H128" s="3" t="s">
        <x:v>301</x:v>
      </x:c>
      <x:c r="I128" s="3" t="s">
        <x:v>302</x:v>
      </x:c>
      <x:c r="J128" s="3" t="s">
        <x:v>303</x:v>
      </x:c>
      <x:c r="K128" s="3" t="s">
        <x:v>104</x:v>
      </x:c>
      <x:c r="L128" s="3" t="s">
        <x:v>325</x:v>
      </x:c>
      <x:c r="M128" s="3" t="s">
        <x:v>326</x:v>
      </x:c>
      <x:c r="N128" s="3" t="s">
        <x:v>131</x:v>
      </x:c>
      <x:c r="O128" s="3" t="s">
        <x:v>327</x:v>
      </x:c>
      <x:c r="P128" s="3" t="s">
        <x:v>328</x:v>
      </x:c>
      <x:c r="Q128" s="3" t="s">
        <x:v>329</x:v>
      </x:c>
      <x:c r="R128" s="3" t="s">
        <x:v>330</x:v>
      </x:c>
      <x:c r="S128" s="3" t="s">
        <x:v>135</x:v>
      </x:c>
      <x:c r="T128" s="3" t="s">
        <x:v>111</x:v>
      </x:c>
      <x:c r="U128" s="3" t="s">
        <x:v>331</x:v>
      </x:c>
      <x:c r="V128" s="3" t="s">
        <x:v>178</x:v>
      </x:c>
      <x:c r="W128" s="3" t="s">
        <x:v>355</x:v>
      </x:c>
      <x:c r="X128" s="3" t="s">
        <x:v>180</x:v>
      </x:c>
      <x:c r="Y128" s="3" t="s">
        <x:v>356</x:v>
      </x:c>
      <x:c r="Z128" s="3" t="s">
        <x:v>334</x:v>
      </x:c>
      <x:c r="AA128" s="3" t="s">
        <x:v>118</x:v>
      </x:c>
      <x:c r="AB128" s="7" t="n">
        <x:v>46253.7125</x:v>
      </x:c>
      <x:c r="AC128" s="7" t="n">
        <x:v>46253.7152777778</x:v>
      </x:c>
      <x:c r="AD128" s="7" t="n">
        <x:v>46253.7215277778</x:v>
      </x:c>
      <x:c r="AE128" s="7" t="n">
        <x:v>46253.7451388889</x:v>
      </x:c>
      <x:c r="AF128" s="7" t="n">
        <x:v>46253.7680555556</x:v>
      </x:c>
      <x:c r="AG128" s="3" t="n">
        <x:v>47</x:v>
      </x:c>
      <x:c r="AH128" s="3" t="n">
        <x:v>30</x:v>
      </x:c>
      <x:c r="AI128" s="3" t="s">
        <x:v>135</x:v>
      </x:c>
      <x:c r="AJ128" s="3" t="s">
        <x:v>111</x:v>
      </x:c>
      <x:c r="AK128" s="3" t="n">
        <x:v>180</x:v>
      </x:c>
      <x:c r="AL128" s="3" t="n">
        <x:v>0</x:v>
      </x:c>
      <x:c r="AM128" s="8" t="n">
        <x:v>0.4278</x:v>
      </x:c>
      <x:c r="AN128" s="3" t="n">
        <x:v>1</x:v>
      </x:c>
      <x:c r="AO128" s="3" t="s">
        <x:v>9</x:v>
      </x:c>
      <x:c r="AP128" s="3" t="s">
        <x:v>584</x:v>
      </x:c>
      <x:c r="AQ128" s="3" t="s">
        <x:v>516</x:v>
      </x:c>
      <x:c r="AR128" s="9" t="n">
        <x:v>687.5</x:v>
      </x:c>
      <x:c r="AS128" s="3" t="s">
        <x:v>144</x:v>
      </x:c>
      <x:c r="AT128" s="7" t="n">
        <x:v>46301.9166666667</x:v>
      </x:c>
    </x:row>
    <x:row r="129" ht="31.299999237060547" hidden="0">
      <x:c r="A129" s="3" t="s">
        <x:v>600</x:v>
      </x:c>
      <x:c r="B129" s="3" t="s">
        <x:v>187</x:v>
      </x:c>
      <x:c r="C129" s="3" t="s">
        <x:v>188</x:v>
      </x:c>
      <x:c r="D129" s="3" t="s">
        <x:v>189</x:v>
      </x:c>
      <x:c r="E129" s="3" t="s">
        <x:v>249</x:v>
      </x:c>
      <x:c r="F129" s="3" t="s">
        <x:v>149</x:v>
      </x:c>
      <x:c r="G129" s="3" t="s">
        <x:v>477</x:v>
      </x:c>
      <x:c r="H129" s="3" t="s">
        <x:v>343</x:v>
      </x:c>
      <x:c r="I129" s="3" t="s">
        <x:v>102</x:v>
      </x:c>
      <x:c r="J129" s="3" t="s">
        <x:v>103</x:v>
      </x:c>
      <x:c r="K129" s="3" t="s">
        <x:v>104</x:v>
      </x:c>
      <x:c r="L129" s="3" t="s">
        <x:v>191</x:v>
      </x:c>
      <x:c r="M129" s="3" t="s">
        <x:v>192</x:v>
      </x:c>
      <x:c r="N129" s="3" t="s">
        <x:v>193</x:v>
      </x:c>
      <x:c r="O129" s="3" t="s">
        <x:v>194</x:v>
      </x:c>
      <x:c r="P129" s="3" t="s">
        <x:v>195</x:v>
      </x:c>
      <x:c r="Q129" s="3" t="s">
        <x:v>273</x:v>
      </x:c>
      <x:c r="R129" s="3" t="s">
        <x:v>214</x:v>
      </x:c>
      <x:c r="S129" s="3" t="s">
        <x:v>135</x:v>
      </x:c>
      <x:c r="T129" s="3" t="s">
        <x:v>111</x:v>
      </x:c>
      <x:c r="U129" s="3" t="s">
        <x:v>215</x:v>
      </x:c>
      <x:c r="V129" s="3" t="s">
        <x:v>216</x:v>
      </x:c>
      <x:c r="W129" s="3" t="s">
        <x:v>217</x:v>
      </x:c>
      <x:c r="X129" s="3" t="s">
        <x:v>430</x:v>
      </x:c>
      <x:c r="Y129" s="3" t="s">
        <x:v>555</x:v>
      </x:c>
      <x:c r="Z129" s="3" t="s">
        <x:v>219</x:v>
      </x:c>
      <x:c r="AA129" s="3" t="s">
        <x:v>118</x:v>
      </x:c>
      <x:c r="AB129" s="7" t="n">
        <x:v>46253.7347222222</x:v>
      </x:c>
      <x:c r="AC129" s="7" t="n">
        <x:v>46253.7395833333</x:v>
      </x:c>
      <x:c r="AD129" s="7" t="n">
        <x:v>46253.7423611111</x:v>
      </x:c>
      <x:c r="AE129" s="7" t="n">
        <x:v>46253.7638888889</x:v>
      </x:c>
      <x:c r="AF129" s="7" t="n">
        <x:v>46253.8173611111</x:v>
      </x:c>
      <x:c r="AG129" s="3" t="n">
        <x:v>42</x:v>
      </x:c>
      <x:c r="AH129" s="3" t="n">
        <x:v>71</x:v>
      </x:c>
      <x:c r="AI129" s="3" t="s">
        <x:v>135</x:v>
      </x:c>
      <x:c r="AJ129" s="3" t="s">
        <x:v>111</x:v>
      </x:c>
      <x:c r="AK129" s="3" t="n">
        <x:v>150</x:v>
      </x:c>
      <x:c r="AL129" s="3" t="n">
        <x:v>0</x:v>
      </x:c>
      <x:c r="AM129" s="8" t="n">
        <x:v>0.7533</x:v>
      </x:c>
      <x:c r="AN129" s="3" t="n">
        <x:v>0</x:v>
      </x:c>
      <x:c r="AO129" s="3" t="s">
        <x:v>14</x:v>
      </x:c>
      <x:c r="AP129" s="3" t="s">
        <x:v>318</x:v>
      </x:c>
      <x:c r="AQ129" s="3" t="s">
        <x:v>386</x:v>
      </x:c>
      <x:c r="AR129" s="9" t="n">
        <x:v>1340.2</x:v>
      </x:c>
      <x:c r="AS129" s="3" t="s">
        <x:v>185</x:v>
      </x:c>
      <x:c r="AT129" s="7" t="n">
        <x:v>46301.9166666667</x:v>
      </x:c>
    </x:row>
    <x:row r="130" ht="31.299999237060547" hidden="0">
      <x:c r="A130" s="3" t="s">
        <x:v>601</x:v>
      </x:c>
      <x:c r="B130" s="3" t="s">
        <x:v>146</x:v>
      </x:c>
      <x:c r="C130" s="3" t="s">
        <x:v>147</x:v>
      </x:c>
      <x:c r="D130" s="3" t="s">
        <x:v>148</x:v>
      </x:c>
      <x:c r="E130" s="3" t="s">
        <x:v>249</x:v>
      </x:c>
      <x:c r="F130" s="3" t="s">
        <x:v>169</x:v>
      </x:c>
      <x:c r="G130" s="3" t="s">
        <x:v>477</x:v>
      </x:c>
      <x:c r="H130" s="3" t="s">
        <x:v>343</x:v>
      </x:c>
      <x:c r="I130" s="3" t="s">
        <x:v>102</x:v>
      </x:c>
      <x:c r="J130" s="3" t="s">
        <x:v>103</x:v>
      </x:c>
      <x:c r="K130" s="3" t="s">
        <x:v>104</x:v>
      </x:c>
      <x:c r="L130" s="3" t="s">
        <x:v>151</x:v>
      </x:c>
      <x:c r="M130" s="3" t="s">
        <x:v>152</x:v>
      </x:c>
      <x:c r="N130" s="3" t="s">
        <x:v>153</x:v>
      </x:c>
      <x:c r="O130" s="3" t="s">
        <x:v>154</x:v>
      </x:c>
      <x:c r="P130" s="3" t="s">
        <x:v>155</x:v>
      </x:c>
      <x:c r="Q130" s="3" t="s">
        <x:v>270</x:v>
      </x:c>
      <x:c r="R130" s="3" t="s">
        <x:v>214</x:v>
      </x:c>
      <x:c r="S130" s="3" t="s">
        <x:v>135</x:v>
      </x:c>
      <x:c r="T130" s="3" t="s">
        <x:v>111</x:v>
      </x:c>
      <x:c r="U130" s="3" t="s">
        <x:v>215</x:v>
      </x:c>
      <x:c r="V130" s="3" t="s">
        <x:v>216</x:v>
      </x:c>
      <x:c r="W130" s="3" t="s">
        <x:v>429</x:v>
      </x:c>
      <x:c r="X130" s="3" t="s">
        <x:v>430</x:v>
      </x:c>
      <x:c r="Y130" s="3" t="s">
        <x:v>431</x:v>
      </x:c>
      <x:c r="Z130" s="3" t="s">
        <x:v>219</x:v>
      </x:c>
      <x:c r="AA130" s="3" t="s">
        <x:v>118</x:v>
      </x:c>
      <x:c r="AB130" s="7" t="n">
        <x:v>46253.7611111111</x:v>
      </x:c>
      <x:c r="AC130" s="7" t="n">
        <x:v>46253.7625</x:v>
      </x:c>
      <x:c r="AD130" s="7" t="n">
        <x:v>46253.7659722222</x:v>
      </x:c>
      <x:c r="AE130" s="7" t="n">
        <x:v>46253.775</x:v>
      </x:c>
      <x:c r="AF130" s="7" t="n">
        <x:v>46253.8055555556</x:v>
      </x:c>
      <x:c r="AG130" s="3" t="n">
        <x:v>20</x:v>
      </x:c>
      <x:c r="AH130" s="3" t="n">
        <x:v>35</x:v>
      </x:c>
      <x:c r="AI130" s="3" t="s">
        <x:v>135</x:v>
      </x:c>
      <x:c r="AJ130" s="3" t="s">
        <x:v>135</x:v>
      </x:c>
      <x:c r="AK130" s="3" t="n">
        <x:v>180</x:v>
      </x:c>
      <x:c r="AL130" s="3" t="n">
        <x:v>0</x:v>
      </x:c>
      <x:c r="AM130" s="8" t="n">
        <x:v>0.3056</x:v>
      </x:c>
      <x:c r="AN130" s="3" t="n">
        <x:v>0</x:v>
      </x:c>
      <x:c r="AO130" s="3" t="s">
        <x:v>9</x:v>
      </x:c>
      <x:c r="AP130" s="3" t="s">
        <x:v>142</x:v>
      </x:c>
      <x:c r="AQ130" s="3" t="s">
        <x:v>459</x:v>
      </x:c>
      <x:c r="AR130" s="9" t="n">
        <x:v>602</x:v>
      </x:c>
      <x:c r="AS130" s="3" t="s">
        <x:v>144</x:v>
      </x:c>
      <x:c r="AT130" s="7" t="n">
        <x:v>46301.9166666667</x:v>
      </x:c>
    </x:row>
    <x:row r="131" ht="31.299999237060547" hidden="0">
      <x:c r="A131" s="3" t="s">
        <x:v>602</x:v>
      </x:c>
      <x:c r="B131" s="3" t="s">
        <x:v>297</x:v>
      </x:c>
      <x:c r="C131" s="3" t="s">
        <x:v>298</x:v>
      </x:c>
      <x:c r="D131" s="3" t="s">
        <x:v>299</x:v>
      </x:c>
      <x:c r="E131" s="3" t="s">
        <x:v>249</x:v>
      </x:c>
      <x:c r="F131" s="3" t="s">
        <x:v>99</x:v>
      </x:c>
      <x:c r="G131" s="3" t="s">
        <x:v>512</x:v>
      </x:c>
      <x:c r="H131" s="3" t="s">
        <x:v>301</x:v>
      </x:c>
      <x:c r="I131" s="3" t="s">
        <x:v>302</x:v>
      </x:c>
      <x:c r="J131" s="3" t="s">
        <x:v>303</x:v>
      </x:c>
      <x:c r="K131" s="3" t="s">
        <x:v>104</x:v>
      </x:c>
      <x:c r="L131" s="3" t="s">
        <x:v>304</x:v>
      </x:c>
      <x:c r="M131" s="3" t="s">
        <x:v>305</x:v>
      </x:c>
      <x:c r="N131" s="3" t="s">
        <x:v>306</x:v>
      </x:c>
      <x:c r="O131" s="3" t="s">
        <x:v>307</x:v>
      </x:c>
      <x:c r="P131" s="3" t="s">
        <x:v>308</x:v>
      </x:c>
      <x:c r="Q131" s="3" t="s">
        <x:v>309</x:v>
      </x:c>
      <x:c r="R131" s="3" t="s">
        <x:v>214</x:v>
      </x:c>
      <x:c r="S131" s="3" t="s">
        <x:v>135</x:v>
      </x:c>
      <x:c r="T131" s="3" t="s">
        <x:v>111</x:v>
      </x:c>
      <x:c r="U131" s="3" t="s">
        <x:v>215</x:v>
      </x:c>
      <x:c r="V131" s="3" t="s">
        <x:v>216</x:v>
      </x:c>
      <x:c r="W131" s="3" t="s">
        <x:v>217</x:v>
      </x:c>
      <x:c r="X131" s="3" t="s">
        <x:v>430</x:v>
      </x:c>
      <x:c r="Y131" s="3" t="s">
        <x:v>555</x:v>
      </x:c>
      <x:c r="Z131" s="3" t="s">
        <x:v>219</x:v>
      </x:c>
      <x:c r="AA131" s="3" t="s">
        <x:v>118</x:v>
      </x:c>
      <x:c r="AB131" s="7" t="n">
        <x:v>46253.8430555556</x:v>
      </x:c>
      <x:c r="AC131" s="7" t="n">
        <x:v>46253.8458333333</x:v>
      </x:c>
      <x:c r="AD131" s="7" t="n">
        <x:v>46253.8472222222</x:v>
      </x:c>
      <x:c r="AE131" s="7" t="n">
        <x:v>46253.85625</x:v>
      </x:c>
      <x:c r="AF131" s="7" t="n">
        <x:v>46253.9055555556</x:v>
      </x:c>
      <x:c r="AG131" s="3" t="n">
        <x:v>19</x:v>
      </x:c>
      <x:c r="AH131" s="3" t="n">
        <x:v>62</x:v>
      </x:c>
      <x:c r="AI131" s="3" t="s">
        <x:v>135</x:v>
      </x:c>
      <x:c r="AJ131" s="3" t="s">
        <x:v>111</x:v>
      </x:c>
      <x:c r="AK131" s="3" t="n">
        <x:v>180</x:v>
      </x:c>
      <x:c r="AL131" s="3" t="n">
        <x:v>0</x:v>
      </x:c>
      <x:c r="AM131" s="8" t="n">
        <x:v>0.45</x:v>
      </x:c>
      <x:c r="AN131" s="3" t="n">
        <x:v>1</x:v>
      </x:c>
      <x:c r="AO131" s="3" t="s">
        <x:v>9</x:v>
      </x:c>
      <x:c r="AP131" s="3" t="s">
        <x:v>584</x:v>
      </x:c>
      <x:c r="AQ131" s="3" t="s">
        <x:v>603</x:v>
      </x:c>
      <x:c r="AR131" s="9" t="n">
        <x:v>1171.9</x:v>
      </x:c>
      <x:c r="AS131" s="3" t="s">
        <x:v>121</x:v>
      </x:c>
      <x:c r="AT131" s="7" t="n">
        <x:v>46301.9166666667</x:v>
      </x:c>
    </x:row>
    <x:row r="132" ht="31.299999237060547" hidden="0">
      <x:c r="A132" s="3" t="s">
        <x:v>604</x:v>
      </x:c>
      <x:c r="B132" s="3" t="s">
        <x:v>321</x:v>
      </x:c>
      <x:c r="C132" s="3" t="s">
        <x:v>322</x:v>
      </x:c>
      <x:c r="D132" s="3" t="s">
        <x:v>323</x:v>
      </x:c>
      <x:c r="E132" s="3" t="s">
        <x:v>249</x:v>
      </x:c>
      <x:c r="F132" s="3" t="s">
        <x:v>149</x:v>
      </x:c>
      <x:c r="G132" s="3" t="s">
        <x:v>469</x:v>
      </x:c>
      <x:c r="H132" s="3" t="s">
        <x:v>301</x:v>
      </x:c>
      <x:c r="I132" s="3" t="s">
        <x:v>302</x:v>
      </x:c>
      <x:c r="J132" s="3" t="s">
        <x:v>303</x:v>
      </x:c>
      <x:c r="K132" s="3" t="s">
        <x:v>104</x:v>
      </x:c>
      <x:c r="L132" s="3" t="s">
        <x:v>325</x:v>
      </x:c>
      <x:c r="M132" s="3" t="s">
        <x:v>326</x:v>
      </x:c>
      <x:c r="N132" s="3" t="s">
        <x:v>131</x:v>
      </x:c>
      <x:c r="O132" s="3" t="s">
        <x:v>327</x:v>
      </x:c>
      <x:c r="P132" s="3" t="s">
        <x:v>328</x:v>
      </x:c>
      <x:c r="Q132" s="3" t="s">
        <x:v>329</x:v>
      </x:c>
      <x:c r="R132" s="3" t="s">
        <x:v>110</x:v>
      </x:c>
      <x:c r="S132" s="3" t="s">
        <x:v>111</x:v>
      </x:c>
      <x:c r="T132" s="3" t="s">
        <x:v>111</x:v>
      </x:c>
      <x:c r="U132" s="3" t="s">
        <x:v>112</x:v>
      </x:c>
      <x:c r="V132" s="3" t="s">
        <x:v>113</x:v>
      </x:c>
      <x:c r="W132" s="3" t="s">
        <x:v>419</x:v>
      </x:c>
      <x:c r="X132" s="3" t="s">
        <x:v>115</x:v>
      </x:c>
      <x:c r="Y132" s="3" t="s">
        <x:v>420</x:v>
      </x:c>
      <x:c r="Z132" s="3" t="s">
        <x:v>117</x:v>
      </x:c>
      <x:c r="AA132" s="3" t="s">
        <x:v>118</x:v>
      </x:c>
      <x:c r="AB132" s="7" t="n">
        <x:v>46253.8541666667</x:v>
      </x:c>
      <x:c r="AC132" s="7" t="n">
        <x:v>46253.8590277778</x:v>
      </x:c>
      <x:c r="AD132" s="7" t="n">
        <x:v>46253.8652777778</x:v>
      </x:c>
      <x:c r="AE132" s="7" t="n">
        <x:v>46253.8833333333</x:v>
      </x:c>
      <x:c r="AF132" s="7" t="n">
        <x:v>46253.9201388889</x:v>
      </x:c>
      <x:c r="AG132" s="3" t="n">
        <x:v>42</x:v>
      </x:c>
      <x:c r="AH132" s="3" t="n">
        <x:v>47</x:v>
      </x:c>
      <x:c r="AI132" s="3" t="s">
        <x:v>135</x:v>
      </x:c>
      <x:c r="AJ132" s="3" t="s">
        <x:v>111</x:v>
      </x:c>
      <x:c r="AK132" s="3" t="n">
        <x:v>120</x:v>
      </x:c>
      <x:c r="AL132" s="3" t="n">
        <x:v>0</x:v>
      </x:c>
      <x:c r="AM132" s="8" t="n">
        <x:v>0.7417</x:v>
      </x:c>
      <x:c r="AN132" s="3" t="n">
        <x:v>2</x:v>
      </x:c>
      <x:c r="AO132" s="3" t="s">
        <x:v>14</x:v>
      </x:c>
      <x:c r="AP132" s="3" t="s">
        <x:v>605</x:v>
      </x:c>
      <x:c r="AQ132" s="3" t="s">
        <x:v>516</x:v>
      </x:c>
      <x:c r="AR132" s="9" t="n">
        <x:v>787.4</x:v>
      </x:c>
      <x:c r="AS132" s="3" t="s">
        <x:v>121</x:v>
      </x:c>
      <x:c r="AT132" s="7" t="n">
        <x:v>46301.9166666667</x:v>
      </x:c>
    </x:row>
    <x:row r="133" ht="31.299999237060547" hidden="0">
      <x:c r="A133" s="3" t="s">
        <x:v>606</x:v>
      </x:c>
      <x:c r="B133" s="3" t="s">
        <x:v>123</x:v>
      </x:c>
      <x:c r="C133" s="3" t="s">
        <x:v>124</x:v>
      </x:c>
      <x:c r="D133" s="3" t="s">
        <x:v>125</x:v>
      </x:c>
      <x:c r="E133" s="3" t="s">
        <x:v>249</x:v>
      </x:c>
      <x:c r="F133" s="3" t="s">
        <x:v>127</x:v>
      </x:c>
      <x:c r="G133" s="3" t="s">
        <x:v>443</x:v>
      </x:c>
      <x:c r="H133" s="3" t="s">
        <x:v>101</x:v>
      </x:c>
      <x:c r="I133" s="3" t="s">
        <x:v>102</x:v>
      </x:c>
      <x:c r="J133" s="3" t="s">
        <x:v>103</x:v>
      </x:c>
      <x:c r="K133" s="3" t="s">
        <x:v>104</x:v>
      </x:c>
      <x:c r="L133" s="3" t="s">
        <x:v>129</x:v>
      </x:c>
      <x:c r="M133" s="3" t="s">
        <x:v>130</x:v>
      </x:c>
      <x:c r="N133" s="3" t="s">
        <x:v>131</x:v>
      </x:c>
      <x:c r="O133" s="3" t="s">
        <x:v>132</x:v>
      </x:c>
      <x:c r="P133" s="3" t="s">
        <x:v>133</x:v>
      </x:c>
      <x:c r="Q133" s="3" t="s">
        <x:v>268</x:v>
      </x:c>
      <x:c r="R133" s="3" t="s">
        <x:v>330</x:v>
      </x:c>
      <x:c r="S133" s="3" t="s">
        <x:v>135</x:v>
      </x:c>
      <x:c r="T133" s="3" t="s">
        <x:v>111</x:v>
      </x:c>
      <x:c r="U133" s="3" t="s">
        <x:v>331</x:v>
      </x:c>
      <x:c r="V133" s="3" t="s">
        <x:v>178</x:v>
      </x:c>
      <x:c r="W133" s="3" t="s">
        <x:v>332</x:v>
      </x:c>
      <x:c r="X133" s="3" t="s">
        <x:v>180</x:v>
      </x:c>
      <x:c r="Y133" s="3" t="s">
        <x:v>333</x:v>
      </x:c>
      <x:c r="Z133" s="3" t="s">
        <x:v>334</x:v>
      </x:c>
      <x:c r="AA133" s="3" t="s">
        <x:v>118</x:v>
      </x:c>
      <x:c r="AB133" s="7" t="n">
        <x:v>46253.8673611111</x:v>
      </x:c>
      <x:c r="AC133" s="7" t="n">
        <x:v>46253.8722222222</x:v>
      </x:c>
      <x:c r="AD133" s="7" t="n">
        <x:v>46253.8743055556</x:v>
      </x:c>
      <x:c r="AE133" s="7" t="n">
        <x:v>46253.9013888889</x:v>
      </x:c>
      <x:c r="AF133" s="7" t="n">
        <x:v>46253.9305555556</x:v>
      </x:c>
      <x:c r="AG133" s="3" t="n">
        <x:v>49</x:v>
      </x:c>
      <x:c r="AH133" s="3" t="n">
        <x:v>35</x:v>
      </x:c>
      <x:c r="AI133" s="3" t="s">
        <x:v>135</x:v>
      </x:c>
      <x:c r="AJ133" s="3" t="s">
        <x:v>135</x:v>
      </x:c>
      <x:c r="AK133" s="3" t="n">
        <x:v>180</x:v>
      </x:c>
      <x:c r="AL133" s="3" t="n">
        <x:v>0</x:v>
      </x:c>
      <x:c r="AM133" s="8" t="n">
        <x:v>0.4667</x:v>
      </x:c>
      <x:c r="AN133" s="3" t="n">
        <x:v>0</x:v>
      </x:c>
      <x:c r="AO133" s="3" t="s">
        <x:v>9</x:v>
      </x:c>
      <x:c r="AP133" s="3" t="s">
        <x:v>142</x:v>
      </x:c>
      <x:c r="AQ133" s="3" t="s">
        <x:v>357</x:v>
      </x:c>
      <x:c r="AR133" s="9" t="n">
        <x:v>732.5</x:v>
      </x:c>
      <x:c r="AS133" s="3" t="s">
        <x:v>121</x:v>
      </x:c>
      <x:c r="AT133" s="7" t="n">
        <x:v>46301.9166666667</x:v>
      </x:c>
    </x:row>
    <x:row r="134" ht="31.299999237060547" hidden="0">
      <x:c r="A134" s="3" t="s">
        <x:v>607</x:v>
      </x:c>
      <x:c r="B134" s="3" t="s">
        <x:v>222</x:v>
      </x:c>
      <x:c r="C134" s="3" t="s">
        <x:v>223</x:v>
      </x:c>
      <x:c r="D134" s="3" t="s">
        <x:v>224</x:v>
      </x:c>
      <x:c r="E134" s="3" t="s">
        <x:v>249</x:v>
      </x:c>
      <x:c r="F134" s="3" t="s">
        <x:v>169</x:v>
      </x:c>
      <x:c r="G134" s="3" t="s">
        <x:v>491</x:v>
      </x:c>
      <x:c r="H134" s="3" t="s">
        <x:v>101</x:v>
      </x:c>
      <x:c r="I134" s="3" t="s">
        <x:v>102</x:v>
      </x:c>
      <x:c r="J134" s="3" t="s">
        <x:v>103</x:v>
      </x:c>
      <x:c r="K134" s="3" t="s">
        <x:v>104</x:v>
      </x:c>
      <x:c r="L134" s="3" t="s">
        <x:v>226</x:v>
      </x:c>
      <x:c r="M134" s="3" t="s">
        <x:v>227</x:v>
      </x:c>
      <x:c r="N134" s="3" t="s">
        <x:v>228</x:v>
      </x:c>
      <x:c r="O134" s="3" t="s">
        <x:v>229</x:v>
      </x:c>
      <x:c r="P134" s="3" t="s">
        <x:v>230</x:v>
      </x:c>
      <x:c r="Q134" s="3" t="s">
        <x:v>274</x:v>
      </x:c>
      <x:c r="R134" s="3" t="s">
        <x:v>373</x:v>
      </x:c>
      <x:c r="S134" s="3" t="s">
        <x:v>135</x:v>
      </x:c>
      <x:c r="T134" s="3" t="s">
        <x:v>111</x:v>
      </x:c>
      <x:c r="U134" s="3" t="s">
        <x:v>374</x:v>
      </x:c>
      <x:c r="V134" s="3" t="s">
        <x:v>178</x:v>
      </x:c>
      <x:c r="W134" s="3" t="s">
        <x:v>355</x:v>
      </x:c>
      <x:c r="X134" s="3" t="s">
        <x:v>180</x:v>
      </x:c>
      <x:c r="Y134" s="3" t="s">
        <x:v>356</x:v>
      </x:c>
      <x:c r="Z134" s="3" t="s">
        <x:v>375</x:v>
      </x:c>
      <x:c r="AA134" s="3" t="s">
        <x:v>118</x:v>
      </x:c>
      <x:c r="AB134" s="7" t="n">
        <x:v>46254.3791666667</x:v>
      </x:c>
      <x:c r="AC134" s="7" t="n">
        <x:v>46254.3833333333</x:v>
      </x:c>
      <x:c r="AD134" s="7" t="n">
        <x:v>46254.3881944444</x:v>
      </x:c>
      <x:c r="AE134" s="7" t="n">
        <x:v>46254.4034722222</x:v>
      </x:c>
      <x:c r="AF134" s="7" t="n">
        <x:v>46254.4444444444</x:v>
      </x:c>
      <x:c r="AG134" s="3" t="n">
        <x:v>35</x:v>
      </x:c>
      <x:c r="AH134" s="3" t="n">
        <x:v>53</x:v>
      </x:c>
      <x:c r="AI134" s="3" t="s">
        <x:v>135</x:v>
      </x:c>
      <x:c r="AJ134" s="3" t="s">
        <x:v>135</x:v>
      </x:c>
      <x:c r="AK134" s="3" t="n">
        <x:v>180</x:v>
      </x:c>
      <x:c r="AL134" s="3" t="n">
        <x:v>0</x:v>
      </x:c>
      <x:c r="AM134" s="8" t="n">
        <x:v>0.4889</x:v>
      </x:c>
      <x:c r="AN134" s="3" t="n">
        <x:v>1</x:v>
      </x:c>
      <x:c r="AO134" s="3" t="s">
        <x:v>9</x:v>
      </x:c>
      <x:c r="AP134" s="3" t="s">
        <x:v>500</x:v>
      </x:c>
      <x:c r="AQ134" s="3" t="s">
        <x:v>546</x:v>
      </x:c>
      <x:c r="AR134" s="9" t="n">
        <x:v>799.1</x:v>
      </x:c>
      <x:c r="AS134" s="3" t="s">
        <x:v>144</x:v>
      </x:c>
      <x:c r="AT134" s="7" t="n">
        <x:v>46301.9166666667</x:v>
      </x:c>
    </x:row>
    <x:row r="135" ht="31.299999237060547" hidden="0">
      <x:c r="A135" s="3" t="s">
        <x:v>608</x:v>
      </x:c>
      <x:c r="B135" s="3" t="s">
        <x:v>146</x:v>
      </x:c>
      <x:c r="C135" s="3" t="s">
        <x:v>147</x:v>
      </x:c>
      <x:c r="D135" s="3" t="s">
        <x:v>148</x:v>
      </x:c>
      <x:c r="E135" s="3" t="s">
        <x:v>249</x:v>
      </x:c>
      <x:c r="F135" s="3" t="s">
        <x:v>99</x:v>
      </x:c>
      <x:c r="G135" s="3" t="s">
        <x:v>507</x:v>
      </x:c>
      <x:c r="H135" s="3" t="s">
        <x:v>101</x:v>
      </x:c>
      <x:c r="I135" s="3" t="s">
        <x:v>102</x:v>
      </x:c>
      <x:c r="J135" s="3" t="s">
        <x:v>103</x:v>
      </x:c>
      <x:c r="K135" s="3" t="s">
        <x:v>104</x:v>
      </x:c>
      <x:c r="L135" s="3" t="s">
        <x:v>151</x:v>
      </x:c>
      <x:c r="M135" s="3" t="s">
        <x:v>152</x:v>
      </x:c>
      <x:c r="N135" s="3" t="s">
        <x:v>153</x:v>
      </x:c>
      <x:c r="O135" s="3" t="s">
        <x:v>154</x:v>
      </x:c>
      <x:c r="P135" s="3" t="s">
        <x:v>155</x:v>
      </x:c>
      <x:c r="Q135" s="3" t="s">
        <x:v>270</x:v>
      </x:c>
      <x:c r="R135" s="3" t="s">
        <x:v>373</x:v>
      </x:c>
      <x:c r="S135" s="3" t="s">
        <x:v>135</x:v>
      </x:c>
      <x:c r="T135" s="3" t="s">
        <x:v>111</x:v>
      </x:c>
      <x:c r="U135" s="3" t="s">
        <x:v>374</x:v>
      </x:c>
      <x:c r="V135" s="3" t="s">
        <x:v>178</x:v>
      </x:c>
      <x:c r="W135" s="3" t="s">
        <x:v>332</x:v>
      </x:c>
      <x:c r="X135" s="3" t="s">
        <x:v>180</x:v>
      </x:c>
      <x:c r="Y135" s="3" t="s">
        <x:v>333</x:v>
      </x:c>
      <x:c r="Z135" s="3" t="s">
        <x:v>375</x:v>
      </x:c>
      <x:c r="AA135" s="3" t="s">
        <x:v>118</x:v>
      </x:c>
      <x:c r="AB135" s="7" t="n">
        <x:v>46254.3972222222</x:v>
      </x:c>
      <x:c r="AC135" s="7" t="n">
        <x:v>46254.4</x:v>
      </x:c>
      <x:c r="AD135" s="7" t="n">
        <x:v>46254.4020833333</x:v>
      </x:c>
      <x:c r="AE135" s="7" t="n">
        <x:v>46254.4270833333</x:v>
      </x:c>
      <x:c r="AF135" s="7" t="n">
        <x:v>46254.4493055556</x:v>
      </x:c>
      <x:c r="AG135" s="3" t="n">
        <x:v>43</x:v>
      </x:c>
      <x:c r="AH135" s="3" t="n">
        <x:v>29</x:v>
      </x:c>
      <x:c r="AI135" s="3" t="s">
        <x:v>135</x:v>
      </x:c>
      <x:c r="AJ135" s="3" t="s">
        <x:v>135</x:v>
      </x:c>
      <x:c r="AK135" s="3" t="n">
        <x:v>180</x:v>
      </x:c>
      <x:c r="AL135" s="3" t="n">
        <x:v>0</x:v>
      </x:c>
      <x:c r="AM135" s="8" t="n">
        <x:v>0.4</x:v>
      </x:c>
      <x:c r="AN135" s="3" t="n">
        <x:v>2</x:v>
      </x:c>
      <x:c r="AO135" s="3" t="s">
        <x:v>14</x:v>
      </x:c>
      <x:c r="AP135" s="3" t="s">
        <x:v>573</x:v>
      </x:c>
      <x:c r="AQ135" s="3" t="s">
        <x:v>533</x:v>
      </x:c>
      <x:c r="AR135" s="9" t="n">
        <x:v>662.3</x:v>
      </x:c>
      <x:c r="AS135" s="3" t="s">
        <x:v>121</x:v>
      </x:c>
      <x:c r="AT135" s="7" t="n">
        <x:v>46301.9166666667</x:v>
      </x:c>
    </x:row>
    <x:row r="136" ht="31.299999237060547" hidden="0">
      <x:c r="A136" s="3" t="s">
        <x:v>609</x:v>
      </x:c>
      <x:c r="B136" s="3" t="s">
        <x:v>297</x:v>
      </x:c>
      <x:c r="C136" s="3" t="s">
        <x:v>298</x:v>
      </x:c>
      <x:c r="D136" s="3" t="s">
        <x:v>299</x:v>
      </x:c>
      <x:c r="E136" s="3" t="s">
        <x:v>249</x:v>
      </x:c>
      <x:c r="F136" s="3" t="s">
        <x:v>99</x:v>
      </x:c>
      <x:c r="G136" s="3" t="s">
        <x:v>469</x:v>
      </x:c>
      <x:c r="H136" s="3" t="s">
        <x:v>301</x:v>
      </x:c>
      <x:c r="I136" s="3" t="s">
        <x:v>302</x:v>
      </x:c>
      <x:c r="J136" s="3" t="s">
        <x:v>303</x:v>
      </x:c>
      <x:c r="K136" s="3" t="s">
        <x:v>104</x:v>
      </x:c>
      <x:c r="L136" s="3" t="s">
        <x:v>304</x:v>
      </x:c>
      <x:c r="M136" s="3" t="s">
        <x:v>305</x:v>
      </x:c>
      <x:c r="N136" s="3" t="s">
        <x:v>306</x:v>
      </x:c>
      <x:c r="O136" s="3" t="s">
        <x:v>307</x:v>
      </x:c>
      <x:c r="P136" s="3" t="s">
        <x:v>308</x:v>
      </x:c>
      <x:c r="Q136" s="3" t="s">
        <x:v>309</x:v>
      </x:c>
      <x:c r="R136" s="3" t="s">
        <x:v>110</x:v>
      </x:c>
      <x:c r="S136" s="3" t="s">
        <x:v>111</x:v>
      </x:c>
      <x:c r="T136" s="3" t="s">
        <x:v>111</x:v>
      </x:c>
      <x:c r="U136" s="3" t="s">
        <x:v>112</x:v>
      </x:c>
      <x:c r="V136" s="3" t="s">
        <x:v>113</x:v>
      </x:c>
      <x:c r="W136" s="3" t="s">
        <x:v>114</x:v>
      </x:c>
      <x:c r="X136" s="3" t="s">
        <x:v>115</x:v>
      </x:c>
      <x:c r="Y136" s="3" t="s">
        <x:v>116</x:v>
      </x:c>
      <x:c r="Z136" s="3" t="s">
        <x:v>117</x:v>
      </x:c>
      <x:c r="AA136" s="3" t="s">
        <x:v>118</x:v>
      </x:c>
      <x:c r="AB136" s="7" t="n">
        <x:v>46254.4118055556</x:v>
      </x:c>
      <x:c r="AC136" s="7" t="n">
        <x:v>46254.4138888889</x:v>
      </x:c>
      <x:c r="AD136" s="7" t="n">
        <x:v>46254.4152777778</x:v>
      </x:c>
      <x:c r="AE136" s="7" t="n">
        <x:v>46254.4298611111</x:v>
      </x:c>
      <x:c r="AF136" s="7" t="n">
        <x:v>46254.4944444444</x:v>
      </x:c>
      <x:c r="AG136" s="3" t="n">
        <x:v>26</x:v>
      </x:c>
      <x:c r="AH136" s="3" t="n">
        <x:v>85</x:v>
      </x:c>
      <x:c r="AI136" s="3" t="s">
        <x:v>135</x:v>
      </x:c>
      <x:c r="AJ136" s="3" t="s">
        <x:v>111</x:v>
      </x:c>
      <x:c r="AK136" s="3" t="n">
        <x:v>120</x:v>
      </x:c>
      <x:c r="AL136" s="3" t="n">
        <x:v>0</x:v>
      </x:c>
      <x:c r="AM136" s="8" t="n">
        <x:v>0.925</x:v>
      </x:c>
      <x:c r="AN136" s="3" t="n">
        <x:v>1</x:v>
      </x:c>
      <x:c r="AO136" s="3" t="s">
        <x:v>19</x:v>
      </x:c>
      <x:c r="AP136" s="3" t="s">
        <x:v>515</x:v>
      </x:c>
      <x:c r="AQ136" s="3" t="s">
        <x:v>603</x:v>
      </x:c>
      <x:c r="AR136" s="9" t="n">
        <x:v>1369</x:v>
      </x:c>
      <x:c r="AS136" s="3" t="s">
        <x:v>185</x:v>
      </x:c>
      <x:c r="AT136" s="7" t="n">
        <x:v>46301.9166666667</x:v>
      </x:c>
    </x:row>
    <x:row r="137" ht="31.299999237060547" hidden="0">
      <x:c r="A137" s="3" t="s">
        <x:v>610</x:v>
      </x:c>
      <x:c r="B137" s="3" t="s">
        <x:v>146</x:v>
      </x:c>
      <x:c r="C137" s="3" t="s">
        <x:v>147</x:v>
      </x:c>
      <x:c r="D137" s="3" t="s">
        <x:v>148</x:v>
      </x:c>
      <x:c r="E137" s="3" t="s">
        <x:v>249</x:v>
      </x:c>
      <x:c r="F137" s="3" t="s">
        <x:v>99</x:v>
      </x:c>
      <x:c r="G137" s="3" t="s">
        <x:v>461</x:v>
      </x:c>
      <x:c r="H137" s="3" t="s">
        <x:v>101</x:v>
      </x:c>
      <x:c r="I137" s="3" t="s">
        <x:v>102</x:v>
      </x:c>
      <x:c r="J137" s="3" t="s">
        <x:v>103</x:v>
      </x:c>
      <x:c r="K137" s="3" t="s">
        <x:v>104</x:v>
      </x:c>
      <x:c r="L137" s="3" t="s">
        <x:v>151</x:v>
      </x:c>
      <x:c r="M137" s="3" t="s">
        <x:v>152</x:v>
      </x:c>
      <x:c r="N137" s="3" t="s">
        <x:v>153</x:v>
      </x:c>
      <x:c r="O137" s="3" t="s">
        <x:v>154</x:v>
      </x:c>
      <x:c r="P137" s="3" t="s">
        <x:v>155</x:v>
      </x:c>
      <x:c r="Q137" s="3" t="s">
        <x:v>270</x:v>
      </x:c>
      <x:c r="R137" s="3" t="s">
        <x:v>156</x:v>
      </x:c>
      <x:c r="S137" s="3" t="s">
        <x:v>135</x:v>
      </x:c>
      <x:c r="T137" s="3" t="s">
        <x:v>111</x:v>
      </x:c>
      <x:c r="U137" s="3" t="s">
        <x:v>157</x:v>
      </x:c>
      <x:c r="V137" s="3" t="s">
        <x:v>158</x:v>
      </x:c>
      <x:c r="W137" s="3" t="s">
        <x:v>450</x:v>
      </x:c>
      <x:c r="X137" s="3" t="s">
        <x:v>160</x:v>
      </x:c>
      <x:c r="Y137" s="3" t="s">
        <x:v>451</x:v>
      </x:c>
      <x:c r="Z137" s="3" t="s">
        <x:v>162</x:v>
      </x:c>
      <x:c r="AA137" s="3" t="s">
        <x:v>118</x:v>
      </x:c>
      <x:c r="AB137" s="7" t="n">
        <x:v>46254.4402777778</x:v>
      </x:c>
      <x:c r="AC137" s="7" t="n">
        <x:v>46254.4430555556</x:v>
      </x:c>
      <x:c r="AD137" s="7" t="n">
        <x:v>46254.4458333333</x:v>
      </x:c>
      <x:c r="AE137" s="7" t="n">
        <x:v>46254.4756944444</x:v>
      </x:c>
      <x:c r="AF137" s="7" t="n">
        <x:v>46254.5104166667</x:v>
      </x:c>
      <x:c r="AG137" s="3" t="n">
        <x:v>51</x:v>
      </x:c>
      <x:c r="AH137" s="3" t="n">
        <x:v>42</x:v>
      </x:c>
      <x:c r="AI137" s="3" t="s">
        <x:v>135</x:v>
      </x:c>
      <x:c r="AJ137" s="3" t="s">
        <x:v>135</x:v>
      </x:c>
      <x:c r="AK137" s="3" t="n">
        <x:v>180</x:v>
      </x:c>
      <x:c r="AL137" s="3" t="n">
        <x:v>0</x:v>
      </x:c>
      <x:c r="AM137" s="8" t="n">
        <x:v>0.5167</x:v>
      </x:c>
      <x:c r="AN137" s="3" t="n">
        <x:v>1</x:v>
      </x:c>
      <x:c r="AO137" s="3" t="s">
        <x:v>9</x:v>
      </x:c>
      <x:c r="AP137" s="3" t="s">
        <x:v>500</x:v>
      </x:c>
      <x:c r="AQ137" s="3" t="s">
        <x:v>533</x:v>
      </x:c>
      <x:c r="AR137" s="9" t="n">
        <x:v>791.9</x:v>
      </x:c>
      <x:c r="AS137" s="3" t="s">
        <x:v>121</x:v>
      </x:c>
      <x:c r="AT137" s="7" t="n">
        <x:v>46301.9166666667</x:v>
      </x:c>
    </x:row>
    <x:row r="138" ht="31.299999237060547" hidden="0">
      <x:c r="A138" s="3" t="s">
        <x:v>611</x:v>
      </x:c>
      <x:c r="B138" s="3" t="s">
        <x:v>123</x:v>
      </x:c>
      <x:c r="C138" s="3" t="s">
        <x:v>124</x:v>
      </x:c>
      <x:c r="D138" s="3" t="s">
        <x:v>125</x:v>
      </x:c>
      <x:c r="E138" s="3" t="s">
        <x:v>249</x:v>
      </x:c>
      <x:c r="F138" s="3" t="s">
        <x:v>149</x:v>
      </x:c>
      <x:c r="G138" s="3" t="s">
        <x:v>349</x:v>
      </x:c>
      <x:c r="H138" s="3" t="s">
        <x:v>343</x:v>
      </x:c>
      <x:c r="I138" s="3" t="s">
        <x:v>102</x:v>
      </x:c>
      <x:c r="J138" s="3" t="s">
        <x:v>103</x:v>
      </x:c>
      <x:c r="K138" s="3" t="s">
        <x:v>104</x:v>
      </x:c>
      <x:c r="L138" s="3" t="s">
        <x:v>129</x:v>
      </x:c>
      <x:c r="M138" s="3" t="s">
        <x:v>130</x:v>
      </x:c>
      <x:c r="N138" s="3" t="s">
        <x:v>131</x:v>
      </x:c>
      <x:c r="O138" s="3" t="s">
        <x:v>132</x:v>
      </x:c>
      <x:c r="P138" s="3" t="s">
        <x:v>133</x:v>
      </x:c>
      <x:c r="Q138" s="3" t="s">
        <x:v>268</x:v>
      </x:c>
      <x:c r="R138" s="3" t="s">
        <x:v>344</x:v>
      </x:c>
      <x:c r="S138" s="3" t="s">
        <x:v>111</x:v>
      </x:c>
      <x:c r="T138" s="3" t="s">
        <x:v>111</x:v>
      </x:c>
      <x:c r="U138" s="3" t="s">
        <x:v>345</x:v>
      </x:c>
      <x:c r="V138" s="3" t="s">
        <x:v>178</x:v>
      </x:c>
      <x:c r="W138" s="3" t="s">
        <x:v>332</x:v>
      </x:c>
      <x:c r="X138" s="3" t="s">
        <x:v>180</x:v>
      </x:c>
      <x:c r="Y138" s="3" t="s">
        <x:v>333</x:v>
      </x:c>
      <x:c r="Z138" s="3" t="s">
        <x:v>346</x:v>
      </x:c>
      <x:c r="AA138" s="3" t="s">
        <x:v>118</x:v>
      </x:c>
      <x:c r="AB138" s="7" t="n">
        <x:v>46254.4520833333</x:v>
      </x:c>
      <x:c r="AC138" s="7" t="n">
        <x:v>46254.4569444444</x:v>
      </x:c>
      <x:c r="AD138" s="7" t="n">
        <x:v>46254.4611111111</x:v>
      </x:c>
      <x:c r="AE138" s="7" t="n">
        <x:v>46254.475</x:v>
      </x:c>
      <x:c r="AF138" s="7" t="n">
        <x:v>46254.5027777778</x:v>
      </x:c>
      <x:c r="AG138" s="3" t="n">
        <x:v>33</x:v>
      </x:c>
      <x:c r="AH138" s="3" t="n">
        <x:v>31</x:v>
      </x:c>
      <x:c r="AI138" s="3" t="s">
        <x:v>135</x:v>
      </x:c>
      <x:c r="AJ138" s="3" t="s">
        <x:v>135</x:v>
      </x:c>
      <x:c r="AK138" s="3" t="n">
        <x:v>120</x:v>
      </x:c>
      <x:c r="AL138" s="3" t="n">
        <x:v>0</x:v>
      </x:c>
      <x:c r="AM138" s="8" t="n">
        <x:v>0.5333</x:v>
      </x:c>
      <x:c r="AN138" s="3" t="n">
        <x:v>2</x:v>
      </x:c>
      <x:c r="AO138" s="3" t="s">
        <x:v>14</x:v>
      </x:c>
      <x:c r="AP138" s="3" t="s">
        <x:v>573</x:v>
      </x:c>
      <x:c r="AQ138" s="3" t="s">
        <x:v>472</x:v>
      </x:c>
      <x:c r="AR138" s="9" t="n">
        <x:v>631.7</x:v>
      </x:c>
      <x:c r="AS138" s="3" t="s">
        <x:v>185</x:v>
      </x:c>
      <x:c r="AT138" s="7" t="n">
        <x:v>46301.9166666667</x:v>
      </x:c>
    </x:row>
    <x:row r="139" ht="31.299999237060547" hidden="0">
      <x:c r="A139" s="3" t="s">
        <x:v>612</x:v>
      </x:c>
      <x:c r="B139" s="3" t="s">
        <x:v>205</x:v>
      </x:c>
      <x:c r="C139" s="3" t="s">
        <x:v>206</x:v>
      </x:c>
      <x:c r="D139" s="3" t="s">
        <x:v>207</x:v>
      </x:c>
      <x:c r="E139" s="3" t="s">
        <x:v>249</x:v>
      </x:c>
      <x:c r="F139" s="3" t="s">
        <x:v>169</x:v>
      </x:c>
      <x:c r="G139" s="3" t="s">
        <x:v>359</x:v>
      </x:c>
      <x:c r="H139" s="3" t="s">
        <x:v>101</x:v>
      </x:c>
      <x:c r="I139" s="3" t="s">
        <x:v>102</x:v>
      </x:c>
      <x:c r="J139" s="3" t="s">
        <x:v>103</x:v>
      </x:c>
      <x:c r="K139" s="3" t="s">
        <x:v>104</x:v>
      </x:c>
      <x:c r="L139" s="3" t="s">
        <x:v>209</x:v>
      </x:c>
      <x:c r="M139" s="3" t="s">
        <x:v>210</x:v>
      </x:c>
      <x:c r="N139" s="3" t="s">
        <x:v>211</x:v>
      </x:c>
      <x:c r="O139" s="3" t="s">
        <x:v>212</x:v>
      </x:c>
      <x:c r="P139" s="3" t="s">
        <x:v>213</x:v>
      </x:c>
      <x:c r="Q139" s="3" t="s">
        <x:v>254</x:v>
      </x:c>
      <x:c r="R139" s="3" t="s">
        <x:v>156</x:v>
      </x:c>
      <x:c r="S139" s="3" t="s">
        <x:v>135</x:v>
      </x:c>
      <x:c r="T139" s="3" t="s">
        <x:v>111</x:v>
      </x:c>
      <x:c r="U139" s="3" t="s">
        <x:v>157</x:v>
      </x:c>
      <x:c r="V139" s="3" t="s">
        <x:v>158</x:v>
      </x:c>
      <x:c r="W139" s="3" t="s">
        <x:v>450</x:v>
      </x:c>
      <x:c r="X139" s="3" t="s">
        <x:v>160</x:v>
      </x:c>
      <x:c r="Y139" s="3" t="s">
        <x:v>451</x:v>
      </x:c>
      <x:c r="Z139" s="3" t="s">
        <x:v>162</x:v>
      </x:c>
      <x:c r="AA139" s="3" t="s">
        <x:v>118</x:v>
      </x:c>
      <x:c r="AB139" s="7" t="n">
        <x:v>46254.4708333333</x:v>
      </x:c>
      <x:c r="AC139" s="7" t="n">
        <x:v>46254.475</x:v>
      </x:c>
      <x:c r="AD139" s="7" t="n">
        <x:v>46254.4770833333</x:v>
      </x:c>
      <x:c r="AE139" s="7" t="n">
        <x:v>46254.5013888889</x:v>
      </x:c>
      <x:c r="AF139" s="7" t="n">
        <x:v>46254.5701388889</x:v>
      </x:c>
      <x:c r="AG139" s="3" t="n">
        <x:v>44</x:v>
      </x:c>
      <x:c r="AH139" s="3" t="n">
        <x:v>89</x:v>
      </x:c>
      <x:c r="AI139" s="3" t="s">
        <x:v>135</x:v>
      </x:c>
      <x:c r="AJ139" s="3" t="s">
        <x:v>135</x:v>
      </x:c>
      <x:c r="AK139" s="3" t="n">
        <x:v>180</x:v>
      </x:c>
      <x:c r="AL139" s="3" t="n">
        <x:v>0</x:v>
      </x:c>
      <x:c r="AM139" s="8" t="n">
        <x:v>0.7389</x:v>
      </x:c>
      <x:c r="AN139" s="3" t="n">
        <x:v>0</x:v>
      </x:c>
      <x:c r="AO139" s="3" t="s">
        <x:v>14</x:v>
      </x:c>
      <x:c r="AP139" s="3" t="s">
        <x:v>347</x:v>
      </x:c>
      <x:c r="AQ139" s="3" t="s">
        <x:v>478</x:v>
      </x:c>
      <x:c r="AR139" s="9" t="n">
        <x:v>1098.8</x:v>
      </x:c>
      <x:c r="AS139" s="3" t="s">
        <x:v>185</x:v>
      </x:c>
      <x:c r="AT139" s="7" t="n">
        <x:v>46301.9166666667</x:v>
      </x:c>
    </x:row>
    <x:row r="140" ht="31.299999237060547" hidden="0">
      <x:c r="A140" s="3" t="s">
        <x:v>613</x:v>
      </x:c>
      <x:c r="B140" s="3" t="s">
        <x:v>321</x:v>
      </x:c>
      <x:c r="C140" s="3" t="s">
        <x:v>322</x:v>
      </x:c>
      <x:c r="D140" s="3" t="s">
        <x:v>323</x:v>
      </x:c>
      <x:c r="E140" s="3" t="s">
        <x:v>249</x:v>
      </x:c>
      <x:c r="F140" s="3" t="s">
        <x:v>149</x:v>
      </x:c>
      <x:c r="G140" s="3" t="s">
        <x:v>614</x:v>
      </x:c>
      <x:c r="H140" s="3" t="s">
        <x:v>301</x:v>
      </x:c>
      <x:c r="I140" s="3" t="s">
        <x:v>302</x:v>
      </x:c>
      <x:c r="J140" s="3" t="s">
        <x:v>303</x:v>
      </x:c>
      <x:c r="K140" s="3" t="s">
        <x:v>104</x:v>
      </x:c>
      <x:c r="L140" s="3" t="s">
        <x:v>325</x:v>
      </x:c>
      <x:c r="M140" s="3" t="s">
        <x:v>326</x:v>
      </x:c>
      <x:c r="N140" s="3" t="s">
        <x:v>131</x:v>
      </x:c>
      <x:c r="O140" s="3" t="s">
        <x:v>327</x:v>
      </x:c>
      <x:c r="P140" s="3" t="s">
        <x:v>328</x:v>
      </x:c>
      <x:c r="Q140" s="3" t="s">
        <x:v>329</x:v>
      </x:c>
      <x:c r="R140" s="3" t="s">
        <x:v>196</x:v>
      </x:c>
      <x:c r="S140" s="3" t="s">
        <x:v>111</x:v>
      </x:c>
      <x:c r="T140" s="3" t="s">
        <x:v>111</x:v>
      </x:c>
      <x:c r="U140" s="3" t="s">
        <x:v>197</x:v>
      </x:c>
      <x:c r="V140" s="3" t="s">
        <x:v>198</x:v>
      </x:c>
      <x:c r="W140" s="3" t="s">
        <x:v>365</x:v>
      </x:c>
      <x:c r="X140" s="3" t="s">
        <x:v>366</x:v>
      </x:c>
      <x:c r="Y140" s="3" t="s">
        <x:v>367</x:v>
      </x:c>
      <x:c r="Z140" s="3" t="s">
        <x:v>201</x:v>
      </x:c>
      <x:c r="AA140" s="3" t="s">
        <x:v>368</x:v>
      </x:c>
      <x:c r="AB140" s="7" t="n">
        <x:v>46254.4763888889</x:v>
      </x:c>
      <x:c r="AC140" s="7" t="n">
        <x:v>46254.4791666667</x:v>
      </x:c>
      <x:c r="AD140" s="7" t="n">
        <x:v>46254.4819444444</x:v>
      </x:c>
      <x:c r="AE140" s="7" t="n">
        <x:v>46254.4875</x:v>
      </x:c>
      <x:c r="AF140" s="7" t="n">
        <x:v>46254.5222222222</x:v>
      </x:c>
      <x:c r="AG140" s="3" t="n">
        <x:v>16</x:v>
      </x:c>
      <x:c r="AH140" s="3" t="n">
        <x:v>43</x:v>
      </x:c>
      <x:c r="AI140" s="3" t="s">
        <x:v>135</x:v>
      </x:c>
      <x:c r="AJ140" s="3" t="s">
        <x:v>111</x:v>
      </x:c>
      <x:c r="AK140" s="3" t="n">
        <x:v>120</x:v>
      </x:c>
      <x:c r="AL140" s="3" t="n">
        <x:v>0</x:v>
      </x:c>
      <x:c r="AM140" s="8" t="n">
        <x:v>0.4917</x:v>
      </x:c>
      <x:c r="AN140" s="3" t="n">
        <x:v>0</x:v>
      </x:c>
      <x:c r="AO140" s="3" t="s">
        <x:v>9</x:v>
      </x:c>
      <x:c r="AP140" s="3" t="s">
        <x:v>335</x:v>
      </x:c>
      <x:c r="AQ140" s="3" t="s">
        <x:v>336</x:v>
      </x:c>
      <x:c r="AR140" s="9" t="n">
        <x:v>641.6</x:v>
      </x:c>
      <x:c r="AS140" s="3" t="s">
        <x:v>121</x:v>
      </x:c>
      <x:c r="AT140" s="7" t="n">
        <x:v>46301.9166666667</x:v>
      </x:c>
    </x:row>
    <x:row r="141" ht="31.299999237060547" hidden="0">
      <x:c r="A141" s="3" t="s">
        <x:v>615</x:v>
      </x:c>
      <x:c r="B141" s="3" t="s">
        <x:v>187</x:v>
      </x:c>
      <x:c r="C141" s="3" t="s">
        <x:v>188</x:v>
      </x:c>
      <x:c r="D141" s="3" t="s">
        <x:v>189</x:v>
      </x:c>
      <x:c r="E141" s="3" t="s">
        <x:v>249</x:v>
      </x:c>
      <x:c r="F141" s="3" t="s">
        <x:v>99</x:v>
      </x:c>
      <x:c r="G141" s="3" t="s">
        <x:v>463</x:v>
      </x:c>
      <x:c r="H141" s="3" t="s">
        <x:v>101</x:v>
      </x:c>
      <x:c r="I141" s="3" t="s">
        <x:v>102</x:v>
      </x:c>
      <x:c r="J141" s="3" t="s">
        <x:v>103</x:v>
      </x:c>
      <x:c r="K141" s="3" t="s">
        <x:v>104</x:v>
      </x:c>
      <x:c r="L141" s="3" t="s">
        <x:v>191</x:v>
      </x:c>
      <x:c r="M141" s="3" t="s">
        <x:v>192</x:v>
      </x:c>
      <x:c r="N141" s="3" t="s">
        <x:v>193</x:v>
      </x:c>
      <x:c r="O141" s="3" t="s">
        <x:v>194</x:v>
      </x:c>
      <x:c r="P141" s="3" t="s">
        <x:v>195</x:v>
      </x:c>
      <x:c r="Q141" s="3" t="s">
        <x:v>273</x:v>
      </x:c>
      <x:c r="R141" s="3" t="s">
        <x:v>380</x:v>
      </x:c>
      <x:c r="S141" s="3" t="s">
        <x:v>111</x:v>
      </x:c>
      <x:c r="T141" s="3" t="s">
        <x:v>111</x:v>
      </x:c>
      <x:c r="U141" s="3" t="s">
        <x:v>381</x:v>
      </x:c>
      <x:c r="V141" s="3" t="s">
        <x:v>312</x:v>
      </x:c>
      <x:c r="W141" s="3" t="s">
        <x:v>382</x:v>
      </x:c>
      <x:c r="X141" s="3" t="s">
        <x:v>314</x:v>
      </x:c>
      <x:c r="Y141" s="3" t="s">
        <x:v>383</x:v>
      </x:c>
      <x:c r="Z141" s="3" t="s">
        <x:v>384</x:v>
      </x:c>
      <x:c r="AA141" s="3" t="s">
        <x:v>385</x:v>
      </x:c>
      <x:c r="AB141" s="7" t="n">
        <x:v>46254.5222222222</x:v>
      </x:c>
      <x:c r="AC141" s="7" t="n">
        <x:v>46254.5243055556</x:v>
      </x:c>
      <x:c r="AD141" s="7" t="n">
        <x:v>46254.5284722222</x:v>
      </x:c>
      <x:c r="AE141" s="7" t="n">
        <x:v>46254.5388888889</x:v>
      </x:c>
      <x:c r="AF141" s="7" t="n">
        <x:v>46254.5819444444</x:v>
      </x:c>
      <x:c r="AG141" s="3" t="n">
        <x:v>24</x:v>
      </x:c>
      <x:c r="AH141" s="3" t="n">
        <x:v>55</x:v>
      </x:c>
      <x:c r="AI141" s="3" t="s">
        <x:v>135</x:v>
      </x:c>
      <x:c r="AJ141" s="3" t="s">
        <x:v>111</x:v>
      </x:c>
      <x:c r="AK141" s="3" t="n">
        <x:v>120</x:v>
      </x:c>
      <x:c r="AL141" s="3" t="n">
        <x:v>0</x:v>
      </x:c>
      <x:c r="AM141" s="8" t="n">
        <x:v>0.6583</x:v>
      </x:c>
      <x:c r="AN141" s="3" t="n">
        <x:v>0</x:v>
      </x:c>
      <x:c r="AO141" s="3" t="s">
        <x:v>14</x:v>
      </x:c>
      <x:c r="AP141" s="3" t="s">
        <x:v>318</x:v>
      </x:c>
      <x:c r="AQ141" s="3" t="s">
        <x:v>386</x:v>
      </x:c>
      <x:c r="AR141" s="9" t="n">
        <x:v>1144</x:v>
      </x:c>
      <x:c r="AS141" s="3" t="s">
        <x:v>185</x:v>
      </x:c>
      <x:c r="AT141" s="7" t="n">
        <x:v>46301.9166666667</x:v>
      </x:c>
    </x:row>
    <x:row r="142" ht="31.299999237060547" hidden="0">
      <x:c r="A142" s="3" t="s">
        <x:v>616</x:v>
      </x:c>
      <x:c r="B142" s="3" t="s">
        <x:v>166</x:v>
      </x:c>
      <x:c r="C142" s="3" t="s">
        <x:v>167</x:v>
      </x:c>
      <x:c r="D142" s="3" t="s">
        <x:v>168</x:v>
      </x:c>
      <x:c r="E142" s="3" t="s">
        <x:v>249</x:v>
      </x:c>
      <x:c r="F142" s="3" t="s">
        <x:v>149</x:v>
      </x:c>
      <x:c r="G142" s="3" t="s">
        <x:v>535</x:v>
      </x:c>
      <x:c r="H142" s="3" t="s">
        <x:v>101</x:v>
      </x:c>
      <x:c r="I142" s="3" t="s">
        <x:v>102</x:v>
      </x:c>
      <x:c r="J142" s="3" t="s">
        <x:v>103</x:v>
      </x:c>
      <x:c r="K142" s="3" t="s">
        <x:v>104</x:v>
      </x:c>
      <x:c r="L142" s="3" t="s">
        <x:v>171</x:v>
      </x:c>
      <x:c r="M142" s="3" t="s">
        <x:v>172</x:v>
      </x:c>
      <x:c r="N142" s="3" t="s">
        <x:v>173</x:v>
      </x:c>
      <x:c r="O142" s="3" t="s">
        <x:v>174</x:v>
      </x:c>
      <x:c r="P142" s="3" t="s">
        <x:v>175</x:v>
      </x:c>
      <x:c r="Q142" s="3" t="s">
        <x:v>271</x:v>
      </x:c>
      <x:c r="R142" s="3" t="s">
        <x:v>176</x:v>
      </x:c>
      <x:c r="S142" s="3" t="s">
        <x:v>135</x:v>
      </x:c>
      <x:c r="T142" s="3" t="s">
        <x:v>135</x:v>
      </x:c>
      <x:c r="U142" s="3" t="s">
        <x:v>177</x:v>
      </x:c>
      <x:c r="V142" s="3" t="s">
        <x:v>178</x:v>
      </x:c>
      <x:c r="W142" s="3" t="s">
        <x:v>332</x:v>
      </x:c>
      <x:c r="X142" s="3" t="s">
        <x:v>180</x:v>
      </x:c>
      <x:c r="Y142" s="3" t="s">
        <x:v>333</x:v>
      </x:c>
      <x:c r="Z142" s="3" t="s">
        <x:v>182</x:v>
      </x:c>
      <x:c r="AA142" s="3" t="s">
        <x:v>118</x:v>
      </x:c>
      <x:c r="AB142" s="7" t="n">
        <x:v>46254.5923611111</x:v>
      </x:c>
      <x:c r="AC142" s="7" t="n">
        <x:v>46254.5944444445</x:v>
      </x:c>
      <x:c r="AD142" s="7" t="n">
        <x:v>46254.5986111111</x:v>
      </x:c>
      <x:c r="AE142" s="7" t="n">
        <x:v>46254.6131944444</x:v>
      </x:c>
      <x:c r="AF142" s="7" t="n">
        <x:v>46254.6715277778</x:v>
      </x:c>
      <x:c r="AG142" s="3" t="n">
        <x:v>30</x:v>
      </x:c>
      <x:c r="AH142" s="3" t="n">
        <x:v>75</x:v>
      </x:c>
      <x:c r="AI142" s="3" t="s">
        <x:v>135</x:v>
      </x:c>
      <x:c r="AJ142" s="3" t="s">
        <x:v>135</x:v>
      </x:c>
      <x:c r="AK142" s="3" t="n">
        <x:v>150</x:v>
      </x:c>
      <x:c r="AL142" s="3" t="n">
        <x:v>0</x:v>
      </x:c>
      <x:c r="AM142" s="8" t="n">
        <x:v>0.7</x:v>
      </x:c>
      <x:c r="AN142" s="3" t="n">
        <x:v>1</x:v>
      </x:c>
      <x:c r="AO142" s="3" t="s">
        <x:v>14</x:v>
      </x:c>
      <x:c r="AP142" s="3" t="s">
        <x:v>471</x:v>
      </x:c>
      <x:c r="AQ142" s="3" t="s">
        <x:v>501</x:v>
      </x:c>
      <x:c r="AR142" s="9" t="n">
        <x:v>1315</x:v>
      </x:c>
      <x:c r="AS142" s="3" t="s">
        <x:v>121</x:v>
      </x:c>
      <x:c r="AT142" s="7" t="n">
        <x:v>46301.9166666667</x:v>
      </x:c>
    </x:row>
    <x:row r="143" ht="31.299999237060547" hidden="0">
      <x:c r="A143" s="3" t="s">
        <x:v>617</x:v>
      </x:c>
      <x:c r="B143" s="3" t="s">
        <x:v>205</x:v>
      </x:c>
      <x:c r="C143" s="3" t="s">
        <x:v>206</x:v>
      </x:c>
      <x:c r="D143" s="3" t="s">
        <x:v>207</x:v>
      </x:c>
      <x:c r="E143" s="3" t="s">
        <x:v>249</x:v>
      </x:c>
      <x:c r="F143" s="3" t="s">
        <x:v>127</x:v>
      </x:c>
      <x:c r="G143" s="3" t="s">
        <x:v>486</x:v>
      </x:c>
      <x:c r="H143" s="3" t="s">
        <x:v>101</x:v>
      </x:c>
      <x:c r="I143" s="3" t="s">
        <x:v>102</x:v>
      </x:c>
      <x:c r="J143" s="3" t="s">
        <x:v>103</x:v>
      </x:c>
      <x:c r="K143" s="3" t="s">
        <x:v>104</x:v>
      </x:c>
      <x:c r="L143" s="3" t="s">
        <x:v>209</x:v>
      </x:c>
      <x:c r="M143" s="3" t="s">
        <x:v>210</x:v>
      </x:c>
      <x:c r="N143" s="3" t="s">
        <x:v>211</x:v>
      </x:c>
      <x:c r="O143" s="3" t="s">
        <x:v>212</x:v>
      </x:c>
      <x:c r="P143" s="3" t="s">
        <x:v>213</x:v>
      </x:c>
      <x:c r="Q143" s="3" t="s">
        <x:v>254</x:v>
      </x:c>
      <x:c r="R143" s="3" t="s">
        <x:v>176</x:v>
      </x:c>
      <x:c r="S143" s="3" t="s">
        <x:v>135</x:v>
      </x:c>
      <x:c r="T143" s="3" t="s">
        <x:v>135</x:v>
      </x:c>
      <x:c r="U143" s="3" t="s">
        <x:v>177</x:v>
      </x:c>
      <x:c r="V143" s="3" t="s">
        <x:v>178</x:v>
      </x:c>
      <x:c r="W143" s="3" t="s">
        <x:v>332</x:v>
      </x:c>
      <x:c r="X143" s="3" t="s">
        <x:v>180</x:v>
      </x:c>
      <x:c r="Y143" s="3" t="s">
        <x:v>333</x:v>
      </x:c>
      <x:c r="Z143" s="3" t="s">
        <x:v>182</x:v>
      </x:c>
      <x:c r="AA143" s="3" t="s">
        <x:v>118</x:v>
      </x:c>
      <x:c r="AB143" s="7" t="n">
        <x:v>46254.6236111111</x:v>
      </x:c>
      <x:c r="AC143" s="7" t="n">
        <x:v>46254.625</x:v>
      </x:c>
      <x:c r="AD143" s="7" t="n">
        <x:v>46254.6291666667</x:v>
      </x:c>
      <x:c r="AE143" s="7" t="n">
        <x:v>46254.6444444444</x:v>
      </x:c>
      <x:c r="AF143" s="7" t="n">
        <x:v>46254.6729166667</x:v>
      </x:c>
      <x:c r="AG143" s="3" t="n">
        <x:v>30</x:v>
      </x:c>
      <x:c r="AH143" s="3" t="n">
        <x:v>37</x:v>
      </x:c>
      <x:c r="AI143" s="3" t="s">
        <x:v>135</x:v>
      </x:c>
      <x:c r="AJ143" s="3" t="s">
        <x:v>135</x:v>
      </x:c>
      <x:c r="AK143" s="3" t="n">
        <x:v>180</x:v>
      </x:c>
      <x:c r="AL143" s="3" t="n">
        <x:v>0</x:v>
      </x:c>
      <x:c r="AM143" s="8" t="n">
        <x:v>0.3722</x:v>
      </x:c>
      <x:c r="AN143" s="3" t="n">
        <x:v>0</x:v>
      </x:c>
      <x:c r="AO143" s="3" t="s">
        <x:v>9</x:v>
      </x:c>
      <x:c r="AP143" s="3" t="s">
        <x:v>142</x:v>
      </x:c>
      <x:c r="AQ143" s="3" t="s">
        <x:v>220</x:v>
      </x:c>
      <x:c r="AR143" s="9" t="n">
        <x:v>661.4</x:v>
      </x:c>
      <x:c r="AS143" s="3" t="s">
        <x:v>144</x:v>
      </x:c>
      <x:c r="AT143" s="7" t="n">
        <x:v>46301.9166666667</x:v>
      </x:c>
    </x:row>
    <x:row r="144" ht="31.299999237060547" hidden="0">
      <x:c r="A144" s="3" t="s">
        <x:v>618</x:v>
      </x:c>
      <x:c r="B144" s="3" t="s">
        <x:v>397</x:v>
      </x:c>
      <x:c r="C144" s="3" t="s">
        <x:v>398</x:v>
      </x:c>
      <x:c r="D144" s="3" t="s">
        <x:v>399</x:v>
      </x:c>
      <x:c r="E144" s="3" t="s">
        <x:v>249</x:v>
      </x:c>
      <x:c r="F144" s="3" t="s">
        <x:v>127</x:v>
      </x:c>
      <x:c r="G144" s="3" t="s">
        <x:v>324</x:v>
      </x:c>
      <x:c r="H144" s="3" t="s">
        <x:v>301</x:v>
      </x:c>
      <x:c r="I144" s="3" t="s">
        <x:v>302</x:v>
      </x:c>
      <x:c r="J144" s="3" t="s">
        <x:v>303</x:v>
      </x:c>
      <x:c r="K144" s="3" t="s">
        <x:v>104</x:v>
      </x:c>
      <x:c r="L144" s="3" t="s">
        <x:v>401</x:v>
      </x:c>
      <x:c r="M144" s="3" t="s">
        <x:v>402</x:v>
      </x:c>
      <x:c r="N144" s="3" t="s">
        <x:v>403</x:v>
      </x:c>
      <x:c r="O144" s="3" t="s">
        <x:v>404</x:v>
      </x:c>
      <x:c r="P144" s="3" t="s">
        <x:v>405</x:v>
      </x:c>
      <x:c r="Q144" s="3" t="s">
        <x:v>406</x:v>
      </x:c>
      <x:c r="R144" s="3" t="s">
        <x:v>330</x:v>
      </x:c>
      <x:c r="S144" s="3" t="s">
        <x:v>135</x:v>
      </x:c>
      <x:c r="T144" s="3" t="s">
        <x:v>111</x:v>
      </x:c>
      <x:c r="U144" s="3" t="s">
        <x:v>331</x:v>
      </x:c>
      <x:c r="V144" s="3" t="s">
        <x:v>178</x:v>
      </x:c>
      <x:c r="W144" s="3" t="s">
        <x:v>355</x:v>
      </x:c>
      <x:c r="X144" s="3" t="s">
        <x:v>180</x:v>
      </x:c>
      <x:c r="Y144" s="3" t="s">
        <x:v>356</x:v>
      </x:c>
      <x:c r="Z144" s="3" t="s">
        <x:v>334</x:v>
      </x:c>
      <x:c r="AA144" s="3" t="s">
        <x:v>118</x:v>
      </x:c>
      <x:c r="AB144" s="7" t="n">
        <x:v>46254.6291666667</x:v>
      </x:c>
      <x:c r="AC144" s="7" t="n">
        <x:v>46254.6333333333</x:v>
      </x:c>
      <x:c r="AD144" s="7" t="n">
        <x:v>46254.6347222222</x:v>
      </x:c>
      <x:c r="AE144" s="7" t="n">
        <x:v>46254.6534722222</x:v>
      </x:c>
      <x:c r="AF144" s="7" t="n">
        <x:v>46254.68125</x:v>
      </x:c>
      <x:c r="AG144" s="3" t="n">
        <x:v>35</x:v>
      </x:c>
      <x:c r="AH144" s="3" t="n">
        <x:v>30</x:v>
      </x:c>
      <x:c r="AI144" s="3" t="s">
        <x:v>135</x:v>
      </x:c>
      <x:c r="AJ144" s="3" t="s">
        <x:v>135</x:v>
      </x:c>
      <x:c r="AK144" s="3" t="n">
        <x:v>180</x:v>
      </x:c>
      <x:c r="AL144" s="3" t="n">
        <x:v>0</x:v>
      </x:c>
      <x:c r="AM144" s="8" t="n">
        <x:v>0.3611</x:v>
      </x:c>
      <x:c r="AN144" s="3" t="n">
        <x:v>0</x:v>
      </x:c>
      <x:c r="AO144" s="3" t="s">
        <x:v>9</x:v>
      </x:c>
      <x:c r="AP144" s="3" t="s">
        <x:v>142</x:v>
      </x:c>
      <x:c r="AQ144" s="3" t="s">
        <x:v>408</x:v>
      </x:c>
      <x:c r="AR144" s="9" t="n">
        <x:v>633.5</x:v>
      </x:c>
      <x:c r="AS144" s="3" t="s">
        <x:v>121</x:v>
      </x:c>
      <x:c r="AT144" s="7" t="n">
        <x:v>46301.9166666667</x:v>
      </x:c>
    </x:row>
    <x:row r="145" ht="31.299999237060547" hidden="0">
      <x:c r="A145" s="3" t="s">
        <x:v>619</x:v>
      </x:c>
      <x:c r="B145" s="3" t="s">
        <x:v>321</x:v>
      </x:c>
      <x:c r="C145" s="3" t="s">
        <x:v>322</x:v>
      </x:c>
      <x:c r="D145" s="3" t="s">
        <x:v>323</x:v>
      </x:c>
      <x:c r="E145" s="3" t="s">
        <x:v>249</x:v>
      </x:c>
      <x:c r="F145" s="3" t="s">
        <x:v>127</x:v>
      </x:c>
      <x:c r="G145" s="3" t="s">
        <x:v>581</x:v>
      </x:c>
      <x:c r="H145" s="3" t="s">
        <x:v>301</x:v>
      </x:c>
      <x:c r="I145" s="3" t="s">
        <x:v>302</x:v>
      </x:c>
      <x:c r="J145" s="3" t="s">
        <x:v>303</x:v>
      </x:c>
      <x:c r="K145" s="3" t="s">
        <x:v>104</x:v>
      </x:c>
      <x:c r="L145" s="3" t="s">
        <x:v>325</x:v>
      </x:c>
      <x:c r="M145" s="3" t="s">
        <x:v>326</x:v>
      </x:c>
      <x:c r="N145" s="3" t="s">
        <x:v>131</x:v>
      </x:c>
      <x:c r="O145" s="3" t="s">
        <x:v>327</x:v>
      </x:c>
      <x:c r="P145" s="3" t="s">
        <x:v>328</x:v>
      </x:c>
      <x:c r="Q145" s="3" t="s">
        <x:v>329</x:v>
      </x:c>
      <x:c r="R145" s="3" t="s">
        <x:v>380</x:v>
      </x:c>
      <x:c r="S145" s="3" t="s">
        <x:v>111</x:v>
      </x:c>
      <x:c r="T145" s="3" t="s">
        <x:v>111</x:v>
      </x:c>
      <x:c r="U145" s="3" t="s">
        <x:v>381</x:v>
      </x:c>
      <x:c r="V145" s="3" t="s">
        <x:v>312</x:v>
      </x:c>
      <x:c r="W145" s="3" t="s">
        <x:v>382</x:v>
      </x:c>
      <x:c r="X145" s="3" t="s">
        <x:v>314</x:v>
      </x:c>
      <x:c r="Y145" s="3" t="s">
        <x:v>383</x:v>
      </x:c>
      <x:c r="Z145" s="3" t="s">
        <x:v>384</x:v>
      </x:c>
      <x:c r="AA145" s="3" t="s">
        <x:v>385</x:v>
      </x:c>
      <x:c r="AB145" s="7" t="n">
        <x:v>46254.6333333333</x:v>
      </x:c>
      <x:c r="AC145" s="7" t="n">
        <x:v>46254.6361111111</x:v>
      </x:c>
      <x:c r="AD145" s="7" t="n">
        <x:v>46254.6409722222</x:v>
      </x:c>
      <x:c r="AE145" s="7" t="n">
        <x:v>46254.6631944444</x:v>
      </x:c>
      <x:c r="AF145" s="7" t="n">
        <x:v>46254.7090277778</x:v>
      </x:c>
      <x:c r="AG145" s="3" t="n">
        <x:v>43</x:v>
      </x:c>
      <x:c r="AH145" s="3" t="n">
        <x:v>62</x:v>
      </x:c>
      <x:c r="AI145" s="3" t="s">
        <x:v>135</x:v>
      </x:c>
      <x:c r="AJ145" s="3" t="s">
        <x:v>111</x:v>
      </x:c>
      <x:c r="AK145" s="3" t="n">
        <x:v>120</x:v>
      </x:c>
      <x:c r="AL145" s="3" t="n">
        <x:v>0</x:v>
      </x:c>
      <x:c r="AM145" s="8" t="n">
        <x:v>0.875</x:v>
      </x:c>
      <x:c r="AN145" s="3" t="n">
        <x:v>0</x:v>
      </x:c>
      <x:c r="AO145" s="3" t="s">
        <x:v>19</x:v>
      </x:c>
      <x:c r="AP145" s="3" t="s">
        <x:v>444</x:v>
      </x:c>
      <x:c r="AQ145" s="3" t="s">
        <x:v>426</x:v>
      </x:c>
      <x:c r="AR145" s="9" t="n">
        <x:v>899.9</x:v>
      </x:c>
      <x:c r="AS145" s="3" t="s">
        <x:v>185</x:v>
      </x:c>
      <x:c r="AT145" s="7" t="n">
        <x:v>46301.9166666667</x:v>
      </x:c>
    </x:row>
    <x:row r="146" ht="31.299999237060547" hidden="0">
      <x:c r="A146" s="3" t="s">
        <x:v>620</x:v>
      </x:c>
      <x:c r="B146" s="3" t="s">
        <x:v>433</x:v>
      </x:c>
      <x:c r="C146" s="3" t="s">
        <x:v>434</x:v>
      </x:c>
      <x:c r="D146" s="3" t="s">
        <x:v>435</x:v>
      </x:c>
      <x:c r="E146" s="3" t="s">
        <x:v>249</x:v>
      </x:c>
      <x:c r="F146" s="3" t="s">
        <x:v>169</x:v>
      </x:c>
      <x:c r="G146" s="3" t="s">
        <x:v>544</x:v>
      </x:c>
      <x:c r="H146" s="3" t="s">
        <x:v>301</x:v>
      </x:c>
      <x:c r="I146" s="3" t="s">
        <x:v>302</x:v>
      </x:c>
      <x:c r="J146" s="3" t="s">
        <x:v>303</x:v>
      </x:c>
      <x:c r="K146" s="3" t="s">
        <x:v>104</x:v>
      </x:c>
      <x:c r="L146" s="3" t="s">
        <x:v>437</x:v>
      </x:c>
      <x:c r="M146" s="3" t="s">
        <x:v>106</x:v>
      </x:c>
      <x:c r="N146" s="3" t="s">
        <x:v>438</x:v>
      </x:c>
      <x:c r="O146" s="3" t="s">
        <x:v>439</x:v>
      </x:c>
      <x:c r="P146" s="3" t="s">
        <x:v>440</x:v>
      </x:c>
      <x:c r="Q146" s="3" t="s">
        <x:v>441</x:v>
      </x:c>
      <x:c r="R146" s="3" t="s">
        <x:v>134</x:v>
      </x:c>
      <x:c r="S146" s="3" t="s">
        <x:v>135</x:v>
      </x:c>
      <x:c r="T146" s="3" t="s">
        <x:v>111</x:v>
      </x:c>
      <x:c r="U146" s="3" t="s">
        <x:v>136</x:v>
      </x:c>
      <x:c r="V146" s="3" t="s">
        <x:v>137</x:v>
      </x:c>
      <x:c r="W146" s="3" t="s">
        <x:v>138</x:v>
      </x:c>
      <x:c r="X146" s="3" t="s">
        <x:v>139</x:v>
      </x:c>
      <x:c r="Y146" s="3" t="s">
        <x:v>454</x:v>
      </x:c>
      <x:c r="Z146" s="3" t="s">
        <x:v>141</x:v>
      </x:c>
      <x:c r="AA146" s="3" t="s">
        <x:v>118</x:v>
      </x:c>
      <x:c r="AB146" s="7" t="n">
        <x:v>46254.6798611111</x:v>
      </x:c>
      <x:c r="AC146" s="7" t="n">
        <x:v>46254.6833333333</x:v>
      </x:c>
      <x:c r="AD146" s="7" t="n">
        <x:v>46254.6875</x:v>
      </x:c>
      <x:c r="AE146" s="7" t="n">
        <x:v>46254.6944444444</x:v>
      </x:c>
      <x:c r="AF146" s="7" t="n">
        <x:v>46254.7090277778</x:v>
      </x:c>
      <x:c r="AG146" s="3" t="n">
        <x:v>21</x:v>
      </x:c>
      <x:c r="AH146" s="3" t="n">
        <x:v>12</x:v>
      </x:c>
      <x:c r="AI146" s="3" t="s">
        <x:v>135</x:v>
      </x:c>
      <x:c r="AJ146" s="3" t="s">
        <x:v>135</x:v>
      </x:c>
      <x:c r="AK146" s="3" t="n">
        <x:v>180</x:v>
      </x:c>
      <x:c r="AL146" s="3" t="n">
        <x:v>0</x:v>
      </x:c>
      <x:c r="AM146" s="8" t="n">
        <x:v>0.1833</x:v>
      </x:c>
      <x:c r="AN146" s="3" t="n">
        <x:v>0</x:v>
      </x:c>
      <x:c r="AO146" s="3" t="s">
        <x:v>9</x:v>
      </x:c>
      <x:c r="AP146" s="3" t="s">
        <x:v>142</x:v>
      </x:c>
      <x:c r="AQ146" s="3" t="s">
        <x:v>120</x:v>
      </x:c>
      <x:c r="AR146" s="9" t="n">
        <x:v>440.9</x:v>
      </x:c>
      <x:c r="AS146" s="3" t="s">
        <x:v>144</x:v>
      </x:c>
      <x:c r="AT146" s="7" t="n">
        <x:v>46301.9166666667</x:v>
      </x:c>
    </x:row>
    <x:row r="147" ht="31.299999237060547" hidden="0">
      <x:c r="A147" s="3" t="s">
        <x:v>621</x:v>
      </x:c>
      <x:c r="B147" s="3" t="s">
        <x:v>187</x:v>
      </x:c>
      <x:c r="C147" s="3" t="s">
        <x:v>188</x:v>
      </x:c>
      <x:c r="D147" s="3" t="s">
        <x:v>189</x:v>
      </x:c>
      <x:c r="E147" s="3" t="s">
        <x:v>249</x:v>
      </x:c>
      <x:c r="F147" s="3" t="s">
        <x:v>99</x:v>
      </x:c>
      <x:c r="G147" s="3" t="s">
        <x:v>491</x:v>
      </x:c>
      <x:c r="H147" s="3" t="s">
        <x:v>101</x:v>
      </x:c>
      <x:c r="I147" s="3" t="s">
        <x:v>102</x:v>
      </x:c>
      <x:c r="J147" s="3" t="s">
        <x:v>103</x:v>
      </x:c>
      <x:c r="K147" s="3" t="s">
        <x:v>104</x:v>
      </x:c>
      <x:c r="L147" s="3" t="s">
        <x:v>191</x:v>
      </x:c>
      <x:c r="M147" s="3" t="s">
        <x:v>192</x:v>
      </x:c>
      <x:c r="N147" s="3" t="s">
        <x:v>193</x:v>
      </x:c>
      <x:c r="O147" s="3" t="s">
        <x:v>194</x:v>
      </x:c>
      <x:c r="P147" s="3" t="s">
        <x:v>195</x:v>
      </x:c>
      <x:c r="Q147" s="3" t="s">
        <x:v>273</x:v>
      </x:c>
      <x:c r="R147" s="3" t="s">
        <x:v>373</x:v>
      </x:c>
      <x:c r="S147" s="3" t="s">
        <x:v>135</x:v>
      </x:c>
      <x:c r="T147" s="3" t="s">
        <x:v>111</x:v>
      </x:c>
      <x:c r="U147" s="3" t="s">
        <x:v>374</x:v>
      </x:c>
      <x:c r="V147" s="3" t="s">
        <x:v>178</x:v>
      </x:c>
      <x:c r="W147" s="3" t="s">
        <x:v>179</x:v>
      </x:c>
      <x:c r="X147" s="3" t="s">
        <x:v>180</x:v>
      </x:c>
      <x:c r="Y147" s="3" t="s">
        <x:v>414</x:v>
      </x:c>
      <x:c r="Z147" s="3" t="s">
        <x:v>375</x:v>
      </x:c>
      <x:c r="AA147" s="3" t="s">
        <x:v>118</x:v>
      </x:c>
      <x:c r="AB147" s="7" t="n">
        <x:v>46254.7194444445</x:v>
      </x:c>
      <x:c r="AC147" s="7" t="n">
        <x:v>46254.7222222222</x:v>
      </x:c>
      <x:c r="AD147" s="7" t="n">
        <x:v>46254.7263888889</x:v>
      </x:c>
      <x:c r="AE147" s="7" t="n">
        <x:v>46254.75</x:v>
      </x:c>
      <x:c r="AF147" s="7" t="n">
        <x:v>46254.8048611111</x:v>
      </x:c>
      <x:c r="AG147" s="3" t="n">
        <x:v>44</x:v>
      </x:c>
      <x:c r="AH147" s="3" t="n">
        <x:v>74</x:v>
      </x:c>
      <x:c r="AI147" s="3" t="s">
        <x:v>135</x:v>
      </x:c>
      <x:c r="AJ147" s="3" t="s">
        <x:v>111</x:v>
      </x:c>
      <x:c r="AK147" s="3" t="n">
        <x:v>150</x:v>
      </x:c>
      <x:c r="AL147" s="3" t="n">
        <x:v>0</x:v>
      </x:c>
      <x:c r="AM147" s="8" t="n">
        <x:v>0.7867</x:v>
      </x:c>
      <x:c r="AN147" s="3" t="n">
        <x:v>0</x:v>
      </x:c>
      <x:c r="AO147" s="3" t="s">
        <x:v>14</x:v>
      </x:c>
      <x:c r="AP147" s="3" t="s">
        <x:v>318</x:v>
      </x:c>
      <x:c r="AQ147" s="3" t="s">
        <x:v>386</x:v>
      </x:c>
      <x:c r="AR147" s="9" t="n">
        <x:v>1370.8</x:v>
      </x:c>
      <x:c r="AS147" s="3" t="s">
        <x:v>185</x:v>
      </x:c>
      <x:c r="AT147" s="7" t="n">
        <x:v>46301.9166666667</x:v>
      </x:c>
    </x:row>
    <x:row r="148" ht="31.299999237060547" hidden="0">
      <x:c r="A148" s="3" t="s">
        <x:v>622</x:v>
      </x:c>
      <x:c r="B148" s="3" t="s">
        <x:v>205</x:v>
      </x:c>
      <x:c r="C148" s="3" t="s">
        <x:v>206</x:v>
      </x:c>
      <x:c r="D148" s="3" t="s">
        <x:v>207</x:v>
      </x:c>
      <x:c r="E148" s="3" t="s">
        <x:v>249</x:v>
      </x:c>
      <x:c r="F148" s="3" t="s">
        <x:v>149</x:v>
      </x:c>
      <x:c r="G148" s="3" t="s">
        <x:v>623</x:v>
      </x:c>
      <x:c r="H148" s="3" t="s">
        <x:v>101</x:v>
      </x:c>
      <x:c r="I148" s="3" t="s">
        <x:v>102</x:v>
      </x:c>
      <x:c r="J148" s="3" t="s">
        <x:v>103</x:v>
      </x:c>
      <x:c r="K148" s="3" t="s">
        <x:v>104</x:v>
      </x:c>
      <x:c r="L148" s="3" t="s">
        <x:v>209</x:v>
      </x:c>
      <x:c r="M148" s="3" t="s">
        <x:v>210</x:v>
      </x:c>
      <x:c r="N148" s="3" t="s">
        <x:v>211</x:v>
      </x:c>
      <x:c r="O148" s="3" t="s">
        <x:v>212</x:v>
      </x:c>
      <x:c r="P148" s="3" t="s">
        <x:v>213</x:v>
      </x:c>
      <x:c r="Q148" s="3" t="s">
        <x:v>254</x:v>
      </x:c>
      <x:c r="R148" s="3" t="s">
        <x:v>176</x:v>
      </x:c>
      <x:c r="S148" s="3" t="s">
        <x:v>135</x:v>
      </x:c>
      <x:c r="T148" s="3" t="s">
        <x:v>135</x:v>
      </x:c>
      <x:c r="U148" s="3" t="s">
        <x:v>177</x:v>
      </x:c>
      <x:c r="V148" s="3" t="s">
        <x:v>178</x:v>
      </x:c>
      <x:c r="W148" s="3" t="s">
        <x:v>355</x:v>
      </x:c>
      <x:c r="X148" s="3" t="s">
        <x:v>180</x:v>
      </x:c>
      <x:c r="Y148" s="3" t="s">
        <x:v>356</x:v>
      </x:c>
      <x:c r="Z148" s="3" t="s">
        <x:v>182</x:v>
      </x:c>
      <x:c r="AA148" s="3" t="s">
        <x:v>118</x:v>
      </x:c>
      <x:c r="AB148" s="7" t="n">
        <x:v>46254.7430555556</x:v>
      </x:c>
      <x:c r="AC148" s="7" t="n">
        <x:v>46254.7472222222</x:v>
      </x:c>
      <x:c r="AD148" s="7" t="n">
        <x:v>46254.7506944445</x:v>
      </x:c>
      <x:c r="AE148" s="7" t="n">
        <x:v>46254.7680555556</x:v>
      </x:c>
      <x:c r="AF148" s="7" t="n">
        <x:v>46254.8090277778</x:v>
      </x:c>
      <x:c r="AG148" s="3" t="n">
        <x:v>36</x:v>
      </x:c>
      <x:c r="AH148" s="3" t="n">
        <x:v>51</x:v>
      </x:c>
      <x:c r="AI148" s="3" t="s">
        <x:v>135</x:v>
      </x:c>
      <x:c r="AJ148" s="3" t="s">
        <x:v>135</x:v>
      </x:c>
      <x:c r="AK148" s="3" t="n">
        <x:v>180</x:v>
      </x:c>
      <x:c r="AL148" s="3" t="n">
        <x:v>0</x:v>
      </x:c>
      <x:c r="AM148" s="8" t="n">
        <x:v>0.4833</x:v>
      </x:c>
      <x:c r="AN148" s="3" t="n">
        <x:v>0</x:v>
      </x:c>
      <x:c r="AO148" s="3" t="s">
        <x:v>9</x:v>
      </x:c>
      <x:c r="AP148" s="3" t="s">
        <x:v>142</x:v>
      </x:c>
      <x:c r="AQ148" s="3" t="s">
        <x:v>220</x:v>
      </x:c>
      <x:c r="AR148" s="9" t="n">
        <x:v>789.2</x:v>
      </x:c>
      <x:c r="AS148" s="3" t="s">
        <x:v>121</x:v>
      </x:c>
      <x:c r="AT148" s="7" t="n">
        <x:v>46301.9166666667</x:v>
      </x:c>
    </x:row>
    <x:row r="149" ht="31.299999237060547" hidden="0">
      <x:c r="A149" s="3" t="s">
        <x:v>624</x:v>
      </x:c>
      <x:c r="B149" s="3" t="s">
        <x:v>233</x:v>
      </x:c>
      <x:c r="C149" s="3" t="s">
        <x:v>234</x:v>
      </x:c>
      <x:c r="D149" s="3" t="s">
        <x:v>235</x:v>
      </x:c>
      <x:c r="E149" s="3" t="s">
        <x:v>249</x:v>
      </x:c>
      <x:c r="F149" s="3" t="s">
        <x:v>127</x:v>
      </x:c>
      <x:c r="G149" s="3" t="s">
        <x:v>486</x:v>
      </x:c>
      <x:c r="H149" s="3" t="s">
        <x:v>101</x:v>
      </x:c>
      <x:c r="I149" s="3" t="s">
        <x:v>102</x:v>
      </x:c>
      <x:c r="J149" s="3" t="s">
        <x:v>103</x:v>
      </x:c>
      <x:c r="K149" s="3" t="s">
        <x:v>104</x:v>
      </x:c>
      <x:c r="L149" s="3" t="s">
        <x:v>237</x:v>
      </x:c>
      <x:c r="M149" s="3" t="s">
        <x:v>172</x:v>
      </x:c>
      <x:c r="N149" s="3" t="s">
        <x:v>238</x:v>
      </x:c>
      <x:c r="O149" s="3" t="s">
        <x:v>239</x:v>
      </x:c>
      <x:c r="P149" s="3" t="s">
        <x:v>240</x:v>
      </x:c>
      <x:c r="Q149" s="3" t="s">
        <x:v>276</x:v>
      </x:c>
      <x:c r="R149" s="3" t="s">
        <x:v>176</x:v>
      </x:c>
      <x:c r="S149" s="3" t="s">
        <x:v>135</x:v>
      </x:c>
      <x:c r="T149" s="3" t="s">
        <x:v>135</x:v>
      </x:c>
      <x:c r="U149" s="3" t="s">
        <x:v>177</x:v>
      </x:c>
      <x:c r="V149" s="3" t="s">
        <x:v>178</x:v>
      </x:c>
      <x:c r="W149" s="3" t="s">
        <x:v>179</x:v>
      </x:c>
      <x:c r="X149" s="3" t="s">
        <x:v>180</x:v>
      </x:c>
      <x:c r="Y149" s="3" t="s">
        <x:v>414</x:v>
      </x:c>
      <x:c r="Z149" s="3" t="s">
        <x:v>182</x:v>
      </x:c>
      <x:c r="AA149" s="3" t="s">
        <x:v>118</x:v>
      </x:c>
      <x:c r="AB149" s="7" t="n">
        <x:v>46254.7951388889</x:v>
      </x:c>
      <x:c r="AC149" s="7" t="n">
        <x:v>46254.7972222222</x:v>
      </x:c>
      <x:c r="AD149" s="7" t="n">
        <x:v>46254.8020833333</x:v>
      </x:c>
      <x:c r="AE149" s="7" t="n">
        <x:v>46254.8138888889</x:v>
      </x:c>
      <x:c r="AF149" s="7" t="n">
        <x:v>46254.8680555556</x:v>
      </x:c>
      <x:c r="AG149" s="3" t="n">
        <x:v>27</x:v>
      </x:c>
      <x:c r="AH149" s="3" t="n">
        <x:v>73</x:v>
      </x:c>
      <x:c r="AI149" s="3" t="s">
        <x:v>135</x:v>
      </x:c>
      <x:c r="AJ149" s="3" t="s">
        <x:v>111</x:v>
      </x:c>
      <x:c r="AK149" s="3" t="n">
        <x:v>150</x:v>
      </x:c>
      <x:c r="AL149" s="3" t="n">
        <x:v>0</x:v>
      </x:c>
      <x:c r="AM149" s="8" t="n">
        <x:v>0.6667</x:v>
      </x:c>
      <x:c r="AN149" s="3" t="n">
        <x:v>0</x:v>
      </x:c>
      <x:c r="AO149" s="3" t="s">
        <x:v>14</x:v>
      </x:c>
      <x:c r="AP149" s="3" t="s">
        <x:v>318</x:v>
      </x:c>
      <x:c r="AQ149" s="3" t="s">
        <x:v>361</x:v>
      </x:c>
      <x:c r="AR149" s="9" t="n">
        <x:v>907.1</x:v>
      </x:c>
      <x:c r="AS149" s="3" t="s">
        <x:v>121</x:v>
      </x:c>
      <x:c r="AT149" s="7" t="n">
        <x:v>46301.9166666667</x:v>
      </x:c>
    </x:row>
    <x:row r="150" ht="31.299999237060547" hidden="0">
      <x:c r="A150" s="3" t="s">
        <x:v>625</x:v>
      </x:c>
      <x:c r="B150" s="3" t="s">
        <x:v>166</x:v>
      </x:c>
      <x:c r="C150" s="3" t="s">
        <x:v>167</x:v>
      </x:c>
      <x:c r="D150" s="3" t="s">
        <x:v>168</x:v>
      </x:c>
      <x:c r="E150" s="3" t="s">
        <x:v>249</x:v>
      </x:c>
      <x:c r="F150" s="3" t="s">
        <x:v>169</x:v>
      </x:c>
      <x:c r="G150" s="3" t="s">
        <x:v>541</x:v>
      </x:c>
      <x:c r="H150" s="3" t="s">
        <x:v>301</x:v>
      </x:c>
      <x:c r="I150" s="3" t="s">
        <x:v>302</x:v>
      </x:c>
      <x:c r="J150" s="3" t="s">
        <x:v>303</x:v>
      </x:c>
      <x:c r="K150" s="3" t="s">
        <x:v>104</x:v>
      </x:c>
      <x:c r="L150" s="3" t="s">
        <x:v>171</x:v>
      </x:c>
      <x:c r="M150" s="3" t="s">
        <x:v>172</x:v>
      </x:c>
      <x:c r="N150" s="3" t="s">
        <x:v>173</x:v>
      </x:c>
      <x:c r="O150" s="3" t="s">
        <x:v>174</x:v>
      </x:c>
      <x:c r="P150" s="3" t="s">
        <x:v>175</x:v>
      </x:c>
      <x:c r="Q150" s="3" t="s">
        <x:v>271</x:v>
      </x:c>
      <x:c r="R150" s="3" t="s">
        <x:v>196</x:v>
      </x:c>
      <x:c r="S150" s="3" t="s">
        <x:v>111</x:v>
      </x:c>
      <x:c r="T150" s="3" t="s">
        <x:v>111</x:v>
      </x:c>
      <x:c r="U150" s="3" t="s">
        <x:v>197</x:v>
      </x:c>
      <x:c r="V150" s="3" t="s">
        <x:v>198</x:v>
      </x:c>
      <x:c r="W150" s="3" t="s">
        <x:v>199</x:v>
      </x:c>
      <x:c r="X150" s="3" t="s">
        <x:v>366</x:v>
      </x:c>
      <x:c r="Y150" s="3" t="s">
        <x:v>527</x:v>
      </x:c>
      <x:c r="Z150" s="3" t="s">
        <x:v>201</x:v>
      </x:c>
      <x:c r="AA150" s="3" t="s">
        <x:v>368</x:v>
      </x:c>
      <x:c r="AB150" s="7" t="n">
        <x:v>46255.3347222222</x:v>
      </x:c>
      <x:c r="AC150" s="7" t="n">
        <x:v>46255.3381944444</x:v>
      </x:c>
      <x:c r="AD150" s="7" t="n">
        <x:v>46255.3402777778</x:v>
      </x:c>
      <x:c r="AE150" s="7" t="n">
        <x:v>46255.3541666667</x:v>
      </x:c>
      <x:c r="AF150" s="7" t="n">
        <x:v>46255.4090277778</x:v>
      </x:c>
      <x:c r="AG150" s="3" t="n">
        <x:v>28</x:v>
      </x:c>
      <x:c r="AH150" s="3" t="n">
        <x:v>70</x:v>
      </x:c>
      <x:c r="AI150" s="3" t="s">
        <x:v>135</x:v>
      </x:c>
      <x:c r="AJ150" s="3" t="s">
        <x:v>135</x:v>
      </x:c>
      <x:c r="AK150" s="3" t="n">
        <x:v>120</x:v>
      </x:c>
      <x:c r="AL150" s="3" t="n">
        <x:v>0</x:v>
      </x:c>
      <x:c r="AM150" s="8" t="n">
        <x:v>0.8167</x:v>
      </x:c>
      <x:c r="AN150" s="3" t="n">
        <x:v>0</x:v>
      </x:c>
      <x:c r="AO150" s="3" t="s">
        <x:v>14</x:v>
      </x:c>
      <x:c r="AP150" s="3" t="s">
        <x:v>347</x:v>
      </x:c>
      <x:c r="AQ150" s="3" t="s">
        <x:v>340</x:v>
      </x:c>
      <x:c r="AR150" s="9" t="n">
        <x:v>1270</x:v>
      </x:c>
      <x:c r="AS150" s="3" t="s">
        <x:v>185</x:v>
      </x:c>
      <x:c r="AT150" s="7" t="n">
        <x:v>46301.9166666667</x:v>
      </x:c>
    </x:row>
    <x:row r="151" ht="31.299999237060547" hidden="0">
      <x:c r="A151" s="3" t="s">
        <x:v>626</x:v>
      </x:c>
      <x:c r="B151" s="3" t="s">
        <x:v>222</x:v>
      </x:c>
      <x:c r="C151" s="3" t="s">
        <x:v>223</x:v>
      </x:c>
      <x:c r="D151" s="3" t="s">
        <x:v>224</x:v>
      </x:c>
      <x:c r="E151" s="3" t="s">
        <x:v>249</x:v>
      </x:c>
      <x:c r="F151" s="3" t="s">
        <x:v>149</x:v>
      </x:c>
      <x:c r="G151" s="3" t="s">
        <x:v>447</x:v>
      </x:c>
      <x:c r="H151" s="3" t="s">
        <x:v>343</x:v>
      </x:c>
      <x:c r="I151" s="3" t="s">
        <x:v>102</x:v>
      </x:c>
      <x:c r="J151" s="3" t="s">
        <x:v>103</x:v>
      </x:c>
      <x:c r="K151" s="3" t="s">
        <x:v>104</x:v>
      </x:c>
      <x:c r="L151" s="3" t="s">
        <x:v>226</x:v>
      </x:c>
      <x:c r="M151" s="3" t="s">
        <x:v>227</x:v>
      </x:c>
      <x:c r="N151" s="3" t="s">
        <x:v>228</x:v>
      </x:c>
      <x:c r="O151" s="3" t="s">
        <x:v>229</x:v>
      </x:c>
      <x:c r="P151" s="3" t="s">
        <x:v>230</x:v>
      </x:c>
      <x:c r="Q151" s="3" t="s">
        <x:v>274</x:v>
      </x:c>
      <x:c r="R151" s="3" t="s">
        <x:v>344</x:v>
      </x:c>
      <x:c r="S151" s="3" t="s">
        <x:v>111</x:v>
      </x:c>
      <x:c r="T151" s="3" t="s">
        <x:v>111</x:v>
      </x:c>
      <x:c r="U151" s="3" t="s">
        <x:v>345</x:v>
      </x:c>
      <x:c r="V151" s="3" t="s">
        <x:v>178</x:v>
      </x:c>
      <x:c r="W151" s="3" t="s">
        <x:v>332</x:v>
      </x:c>
      <x:c r="X151" s="3" t="s">
        <x:v>180</x:v>
      </x:c>
      <x:c r="Y151" s="3" t="s">
        <x:v>333</x:v>
      </x:c>
      <x:c r="Z151" s="3" t="s">
        <x:v>346</x:v>
      </x:c>
      <x:c r="AA151" s="3" t="s">
        <x:v>118</x:v>
      </x:c>
      <x:c r="AB151" s="7" t="n">
        <x:v>46255.3694444444</x:v>
      </x:c>
      <x:c r="AC151" s="7" t="n">
        <x:v>46255.3722222222</x:v>
      </x:c>
      <x:c r="AD151" s="7" t="n">
        <x:v>46255.3743055556</x:v>
      </x:c>
      <x:c r="AE151" s="7" t="n">
        <x:v>46255.3944444444</x:v>
      </x:c>
      <x:c r="AF151" s="7" t="n">
        <x:v>46255.4083333333</x:v>
      </x:c>
      <x:c r="AG151" s="3" t="n">
        <x:v>36</x:v>
      </x:c>
      <x:c r="AH151" s="3" t="n">
        <x:v>16</x:v>
      </x:c>
      <x:c r="AI151" s="3" t="s">
        <x:v>135</x:v>
      </x:c>
      <x:c r="AJ151" s="3" t="s">
        <x:v>135</x:v>
      </x:c>
      <x:c r="AK151" s="3" t="n">
        <x:v>120</x:v>
      </x:c>
      <x:c r="AL151" s="3" t="n">
        <x:v>0</x:v>
      </x:c>
      <x:c r="AM151" s="8" t="n">
        <x:v>0.4333</x:v>
      </x:c>
      <x:c r="AN151" s="3" t="n">
        <x:v>2</x:v>
      </x:c>
      <x:c r="AO151" s="3" t="s">
        <x:v>14</x:v>
      </x:c>
      <x:c r="AP151" s="3" t="s">
        <x:v>573</x:v>
      </x:c>
      <x:c r="AQ151" s="3" t="s">
        <x:v>546</x:v>
      </x:c>
      <x:c r="AR151" s="9" t="n">
        <x:v>537.2</x:v>
      </x:c>
      <x:c r="AS151" s="3" t="s">
        <x:v>121</x:v>
      </x:c>
      <x:c r="AT151" s="7" t="n">
        <x:v>46301.9166666667</x:v>
      </x:c>
    </x:row>
    <x:row r="152" ht="31.299999237060547" hidden="0">
      <x:c r="A152" s="3" t="s">
        <x:v>627</x:v>
      </x:c>
      <x:c r="B152" s="3" t="s">
        <x:v>321</x:v>
      </x:c>
      <x:c r="C152" s="3" t="s">
        <x:v>322</x:v>
      </x:c>
      <x:c r="D152" s="3" t="s">
        <x:v>323</x:v>
      </x:c>
      <x:c r="E152" s="3" t="s">
        <x:v>249</x:v>
      </x:c>
      <x:c r="F152" s="3" t="s">
        <x:v>99</x:v>
      </x:c>
      <x:c r="G152" s="3" t="s">
        <x:v>480</x:v>
      </x:c>
      <x:c r="H152" s="3" t="s">
        <x:v>301</x:v>
      </x:c>
      <x:c r="I152" s="3" t="s">
        <x:v>302</x:v>
      </x:c>
      <x:c r="J152" s="3" t="s">
        <x:v>303</x:v>
      </x:c>
      <x:c r="K152" s="3" t="s">
        <x:v>104</x:v>
      </x:c>
      <x:c r="L152" s="3" t="s">
        <x:v>325</x:v>
      </x:c>
      <x:c r="M152" s="3" t="s">
        <x:v>326</x:v>
      </x:c>
      <x:c r="N152" s="3" t="s">
        <x:v>131</x:v>
      </x:c>
      <x:c r="O152" s="3" t="s">
        <x:v>327</x:v>
      </x:c>
      <x:c r="P152" s="3" t="s">
        <x:v>328</x:v>
      </x:c>
      <x:c r="Q152" s="3" t="s">
        <x:v>329</x:v>
      </x:c>
      <x:c r="R152" s="3" t="s">
        <x:v>134</x:v>
      </x:c>
      <x:c r="S152" s="3" t="s">
        <x:v>135</x:v>
      </x:c>
      <x:c r="T152" s="3" t="s">
        <x:v>111</x:v>
      </x:c>
      <x:c r="U152" s="3" t="s">
        <x:v>136</x:v>
      </x:c>
      <x:c r="V152" s="3" t="s">
        <x:v>137</x:v>
      </x:c>
      <x:c r="W152" s="3" t="s">
        <x:v>407</x:v>
      </x:c>
      <x:c r="X152" s="3" t="s">
        <x:v>139</x:v>
      </x:c>
      <x:c r="Y152" s="3" t="s">
        <x:v>140</x:v>
      </x:c>
      <x:c r="Z152" s="3" t="s">
        <x:v>141</x:v>
      </x:c>
      <x:c r="AA152" s="3" t="s">
        <x:v>118</x:v>
      </x:c>
      <x:c r="AB152" s="7" t="n">
        <x:v>46255.4069444445</x:v>
      </x:c>
      <x:c r="AC152" s="7" t="n">
        <x:v>46255.4090277778</x:v>
      </x:c>
      <x:c r="AD152" s="7" t="n">
        <x:v>46255.4118055556</x:v>
      </x:c>
      <x:c r="AE152" s="7" t="n">
        <x:v>46255.4284722222</x:v>
      </x:c>
      <x:c r="AF152" s="7" t="n">
        <x:v>46255.4611111111</x:v>
      </x:c>
      <x:c r="AG152" s="3" t="n">
        <x:v>31</x:v>
      </x:c>
      <x:c r="AH152" s="3" t="n">
        <x:v>42</x:v>
      </x:c>
      <x:c r="AI152" s="3" t="s">
        <x:v>135</x:v>
      </x:c>
      <x:c r="AJ152" s="3" t="s">
        <x:v>111</x:v>
      </x:c>
      <x:c r="AK152" s="3" t="n">
        <x:v>180</x:v>
      </x:c>
      <x:c r="AL152" s="3" t="n">
        <x:v>0</x:v>
      </x:c>
      <x:c r="AM152" s="8" t="n">
        <x:v>0.4056</x:v>
      </x:c>
      <x:c r="AN152" s="3" t="n">
        <x:v>1</x:v>
      </x:c>
      <x:c r="AO152" s="3" t="s">
        <x:v>9</x:v>
      </x:c>
      <x:c r="AP152" s="3" t="s">
        <x:v>584</x:v>
      </x:c>
      <x:c r="AQ152" s="3" t="s">
        <x:v>516</x:v>
      </x:c>
      <x:c r="AR152" s="9" t="n">
        <x:v>701.9</x:v>
      </x:c>
      <x:c r="AS152" s="3" t="s">
        <x:v>121</x:v>
      </x:c>
      <x:c r="AT152" s="7" t="n">
        <x:v>46301.9166666667</x:v>
      </x:c>
    </x:row>
    <x:row r="153" ht="31.299999237060547" hidden="0">
      <x:c r="A153" s="3" t="s">
        <x:v>628</x:v>
      </x:c>
      <x:c r="B153" s="3" t="s">
        <x:v>83</x:v>
      </x:c>
      <x:c r="C153" s="3" t="s">
        <x:v>96</x:v>
      </x:c>
      <x:c r="D153" s="3" t="s">
        <x:v>97</x:v>
      </x:c>
      <x:c r="E153" s="3" t="s">
        <x:v>249</x:v>
      </x:c>
      <x:c r="F153" s="3" t="s">
        <x:v>127</x:v>
      </x:c>
      <x:c r="G153" s="3" t="s">
        <x:v>364</x:v>
      </x:c>
      <x:c r="H153" s="3" t="s">
        <x:v>339</x:v>
      </x:c>
      <x:c r="I153" s="3" t="s">
        <x:v>102</x:v>
      </x:c>
      <x:c r="J153" s="3" t="s">
        <x:v>103</x:v>
      </x:c>
      <x:c r="K153" s="3" t="s">
        <x:v>104</x:v>
      </x:c>
      <x:c r="L153" s="3" t="s">
        <x:v>105</x:v>
      </x:c>
      <x:c r="M153" s="3" t="s">
        <x:v>106</x:v>
      </x:c>
      <x:c r="N153" s="3" t="s">
        <x:v>107</x:v>
      </x:c>
      <x:c r="O153" s="3" t="s">
        <x:v>108</x:v>
      </x:c>
      <x:c r="P153" s="3" t="s">
        <x:v>109</x:v>
      </x:c>
      <x:c r="Q153" s="3" t="s">
        <x:v>250</x:v>
      </x:c>
      <x:c r="R153" s="3" t="s">
        <x:v>196</x:v>
      </x:c>
      <x:c r="S153" s="3" t="s">
        <x:v>111</x:v>
      </x:c>
      <x:c r="T153" s="3" t="s">
        <x:v>111</x:v>
      </x:c>
      <x:c r="U153" s="3" t="s">
        <x:v>197</x:v>
      </x:c>
      <x:c r="V153" s="3" t="s">
        <x:v>198</x:v>
      </x:c>
      <x:c r="W153" s="3" t="s">
        <x:v>365</x:v>
      </x:c>
      <x:c r="X153" s="3" t="s">
        <x:v>366</x:v>
      </x:c>
      <x:c r="Y153" s="3" t="s">
        <x:v>367</x:v>
      </x:c>
      <x:c r="Z153" s="3" t="s">
        <x:v>201</x:v>
      </x:c>
      <x:c r="AA153" s="3" t="s">
        <x:v>368</x:v>
      </x:c>
      <x:c r="AB153" s="7" t="n">
        <x:v>46255.4347222222</x:v>
      </x:c>
      <x:c r="AC153" s="7" t="n">
        <x:v>46255.4375</x:v>
      </x:c>
      <x:c r="AD153" s="7" t="n">
        <x:v>46255.4388888889</x:v>
      </x:c>
      <x:c r="AE153" s="7" t="n">
        <x:v>46255.4590277778</x:v>
      </x:c>
      <x:c r="AF153" s="7" t="n">
        <x:v>46255.4763888889</x:v>
      </x:c>
      <x:c r="AG153" s="3" t="n">
        <x:v>35</x:v>
      </x:c>
      <x:c r="AH153" s="3" t="n">
        <x:v>18</x:v>
      </x:c>
      <x:c r="AI153" s="3" t="s">
        <x:v>111</x:v>
      </x:c>
      <x:c r="AJ153" s="3" t="s">
        <x:v>111</x:v>
      </x:c>
      <x:c r="AK153" s="3" t="n">
        <x:v>60</x:v>
      </x:c>
      <x:c r="AL153" s="3" t="n">
        <x:v>0</x:v>
      </x:c>
      <x:c r="AM153" s="8" t="n">
        <x:v>0.8833</x:v>
      </x:c>
      <x:c r="AN153" s="3" t="n">
        <x:v>1</x:v>
      </x:c>
      <x:c r="AO153" s="3" t="s">
        <x:v>19</x:v>
      </x:c>
      <x:c r="AP153" s="3" t="s">
        <x:v>629</x:v>
      </x:c>
      <x:c r="AQ153" s="3" t="s">
        <x:v>562</x:v>
      </x:c>
      <x:c r="AR153" s="9" t="n">
        <x:v>867.1</x:v>
      </x:c>
      <x:c r="AS153" s="3" t="s">
        <x:v>185</x:v>
      </x:c>
      <x:c r="AT153" s="7" t="n">
        <x:v>46301.9166666667</x:v>
      </x:c>
    </x:row>
    <x:row r="154" ht="31.299999237060547" hidden="0">
      <x:c r="A154" s="3" t="s">
        <x:v>630</x:v>
      </x:c>
      <x:c r="B154" s="3" t="s">
        <x:v>123</x:v>
      </x:c>
      <x:c r="C154" s="3" t="s">
        <x:v>124</x:v>
      </x:c>
      <x:c r="D154" s="3" t="s">
        <x:v>125</x:v>
      </x:c>
      <x:c r="E154" s="3" t="s">
        <x:v>249</x:v>
      </x:c>
      <x:c r="F154" s="3" t="s">
        <x:v>127</x:v>
      </x:c>
      <x:c r="G154" s="3" t="s">
        <x:v>416</x:v>
      </x:c>
      <x:c r="H154" s="3" t="s">
        <x:v>339</x:v>
      </x:c>
      <x:c r="I154" s="3" t="s">
        <x:v>102</x:v>
      </x:c>
      <x:c r="J154" s="3" t="s">
        <x:v>103</x:v>
      </x:c>
      <x:c r="K154" s="3" t="s">
        <x:v>104</x:v>
      </x:c>
      <x:c r="L154" s="3" t="s">
        <x:v>129</x:v>
      </x:c>
      <x:c r="M154" s="3" t="s">
        <x:v>130</x:v>
      </x:c>
      <x:c r="N154" s="3" t="s">
        <x:v>131</x:v>
      </x:c>
      <x:c r="O154" s="3" t="s">
        <x:v>132</x:v>
      </x:c>
      <x:c r="P154" s="3" t="s">
        <x:v>133</x:v>
      </x:c>
      <x:c r="Q154" s="3" t="s">
        <x:v>268</x:v>
      </x:c>
      <x:c r="R154" s="3" t="s">
        <x:v>373</x:v>
      </x:c>
      <x:c r="S154" s="3" t="s">
        <x:v>135</x:v>
      </x:c>
      <x:c r="T154" s="3" t="s">
        <x:v>111</x:v>
      </x:c>
      <x:c r="U154" s="3" t="s">
        <x:v>374</x:v>
      </x:c>
      <x:c r="V154" s="3" t="s">
        <x:v>178</x:v>
      </x:c>
      <x:c r="W154" s="3" t="s">
        <x:v>332</x:v>
      </x:c>
      <x:c r="X154" s="3" t="s">
        <x:v>180</x:v>
      </x:c>
      <x:c r="Y154" s="3" t="s">
        <x:v>333</x:v>
      </x:c>
      <x:c r="Z154" s="3" t="s">
        <x:v>375</x:v>
      </x:c>
      <x:c r="AA154" s="3" t="s">
        <x:v>118</x:v>
      </x:c>
      <x:c r="AB154" s="7" t="n">
        <x:v>46255.4409722222</x:v>
      </x:c>
      <x:c r="AC154" s="7" t="n">
        <x:v>46255.4451388889</x:v>
      </x:c>
      <x:c r="AD154" s="7" t="n">
        <x:v>46255.4472222222</x:v>
      </x:c>
      <x:c r="AE154" s="7" t="n">
        <x:v>46255.4534722222</x:v>
      </x:c>
      <x:c r="AF154" s="7" t="n">
        <x:v>46255.5</x:v>
      </x:c>
      <x:c r="AG154" s="3" t="n">
        <x:v>18</x:v>
      </x:c>
      <x:c r="AH154" s="3" t="n">
        <x:v>63</x:v>
      </x:c>
      <x:c r="AI154" s="3" t="s">
        <x:v>135</x:v>
      </x:c>
      <x:c r="AJ154" s="3" t="s">
        <x:v>135</x:v>
      </x:c>
      <x:c r="AK154" s="3" t="n">
        <x:v>180</x:v>
      </x:c>
      <x:c r="AL154" s="3" t="n">
        <x:v>0</x:v>
      </x:c>
      <x:c r="AM154" s="8" t="n">
        <x:v>0.45</x:v>
      </x:c>
      <x:c r="AN154" s="3" t="n">
        <x:v>3</x:v>
      </x:c>
      <x:c r="AO154" s="3" t="s">
        <x:v>14</x:v>
      </x:c>
      <x:c r="AP154" s="3" t="s">
        <x:v>183</x:v>
      </x:c>
      <x:c r="AQ154" s="3" t="s">
        <x:v>631</x:v>
      </x:c>
      <x:c r="AR154" s="9" t="n">
        <x:v>1044.6</x:v>
      </x:c>
      <x:c r="AS154" s="3" t="s">
        <x:v>185</x:v>
      </x:c>
      <x:c r="AT154" s="7" t="n">
        <x:v>46301.9166666667</x:v>
      </x:c>
    </x:row>
    <x:row r="155" ht="31.299999237060547" hidden="0">
      <x:c r="A155" s="3" t="s">
        <x:v>632</x:v>
      </x:c>
      <x:c r="B155" s="3" t="s">
        <x:v>222</x:v>
      </x:c>
      <x:c r="C155" s="3" t="s">
        <x:v>223</x:v>
      </x:c>
      <x:c r="D155" s="3" t="s">
        <x:v>224</x:v>
      </x:c>
      <x:c r="E155" s="3" t="s">
        <x:v>249</x:v>
      </x:c>
      <x:c r="F155" s="3" t="s">
        <x:v>127</x:v>
      </x:c>
      <x:c r="G155" s="3" t="s">
        <x:v>447</x:v>
      </x:c>
      <x:c r="H155" s="3" t="s">
        <x:v>343</x:v>
      </x:c>
      <x:c r="I155" s="3" t="s">
        <x:v>102</x:v>
      </x:c>
      <x:c r="J155" s="3" t="s">
        <x:v>103</x:v>
      </x:c>
      <x:c r="K155" s="3" t="s">
        <x:v>104</x:v>
      </x:c>
      <x:c r="L155" s="3" t="s">
        <x:v>226</x:v>
      </x:c>
      <x:c r="M155" s="3" t="s">
        <x:v>227</x:v>
      </x:c>
      <x:c r="N155" s="3" t="s">
        <x:v>228</x:v>
      </x:c>
      <x:c r="O155" s="3" t="s">
        <x:v>229</x:v>
      </x:c>
      <x:c r="P155" s="3" t="s">
        <x:v>230</x:v>
      </x:c>
      <x:c r="Q155" s="3" t="s">
        <x:v>274</x:v>
      </x:c>
      <x:c r="R155" s="3" t="s">
        <x:v>344</x:v>
      </x:c>
      <x:c r="S155" s="3" t="s">
        <x:v>111</x:v>
      </x:c>
      <x:c r="T155" s="3" t="s">
        <x:v>111</x:v>
      </x:c>
      <x:c r="U155" s="3" t="s">
        <x:v>345</x:v>
      </x:c>
      <x:c r="V155" s="3" t="s">
        <x:v>178</x:v>
      </x:c>
      <x:c r="W155" s="3" t="s">
        <x:v>332</x:v>
      </x:c>
      <x:c r="X155" s="3" t="s">
        <x:v>180</x:v>
      </x:c>
      <x:c r="Y155" s="3" t="s">
        <x:v>333</x:v>
      </x:c>
      <x:c r="Z155" s="3" t="s">
        <x:v>346</x:v>
      </x:c>
      <x:c r="AA155" s="3" t="s">
        <x:v>118</x:v>
      </x:c>
      <x:c r="AB155" s="7" t="n">
        <x:v>46255.4548611111</x:v>
      </x:c>
      <x:c r="AC155" s="7" t="n">
        <x:v>46255.4583333333</x:v>
      </x:c>
      <x:c r="AD155" s="7" t="n">
        <x:v>46255.4618055556</x:v>
      </x:c>
      <x:c r="AE155" s="7" t="n">
        <x:v>46255.4715277778</x:v>
      </x:c>
      <x:c r="AF155" s="7" t="n">
        <x:v>46255.5090277778</x:v>
      </x:c>
      <x:c r="AG155" s="3" t="n">
        <x:v>24</x:v>
      </x:c>
      <x:c r="AH155" s="3" t="n">
        <x:v>48</x:v>
      </x:c>
      <x:c r="AI155" s="3" t="s">
        <x:v>135</x:v>
      </x:c>
      <x:c r="AJ155" s="3" t="s">
        <x:v>135</x:v>
      </x:c>
      <x:c r="AK155" s="3" t="n">
        <x:v>120</x:v>
      </x:c>
      <x:c r="AL155" s="3" t="n">
        <x:v>0</x:v>
      </x:c>
      <x:c r="AM155" s="8" t="n">
        <x:v>0.6</x:v>
      </x:c>
      <x:c r="AN155" s="3" t="n">
        <x:v>3</x:v>
      </x:c>
      <x:c r="AO155" s="3" t="s">
        <x:v>14</x:v>
      </x:c>
      <x:c r="AP155" s="3" t="s">
        <x:v>633</x:v>
      </x:c>
      <x:c r="AQ155" s="3" t="s">
        <x:v>634</x:v>
      </x:c>
      <x:c r="AR155" s="9" t="n">
        <x:v>963.6</x:v>
      </x:c>
      <x:c r="AS155" s="3" t="s">
        <x:v>185</x:v>
      </x:c>
      <x:c r="AT155" s="7" t="n">
        <x:v>46301.9166666667</x:v>
      </x:c>
    </x:row>
    <x:row r="156" ht="31.299999237060547" hidden="0">
      <x:c r="A156" s="3" t="s">
        <x:v>635</x:v>
      </x:c>
      <x:c r="B156" s="3" t="s">
        <x:v>321</x:v>
      </x:c>
      <x:c r="C156" s="3" t="s">
        <x:v>322</x:v>
      </x:c>
      <x:c r="D156" s="3" t="s">
        <x:v>323</x:v>
      </x:c>
      <x:c r="E156" s="3" t="s">
        <x:v>249</x:v>
      </x:c>
      <x:c r="F156" s="3" t="s">
        <x:v>99</x:v>
      </x:c>
      <x:c r="G156" s="3" t="s">
        <x:v>324</x:v>
      </x:c>
      <x:c r="H156" s="3" t="s">
        <x:v>301</x:v>
      </x:c>
      <x:c r="I156" s="3" t="s">
        <x:v>302</x:v>
      </x:c>
      <x:c r="J156" s="3" t="s">
        <x:v>303</x:v>
      </x:c>
      <x:c r="K156" s="3" t="s">
        <x:v>104</x:v>
      </x:c>
      <x:c r="L156" s="3" t="s">
        <x:v>325</x:v>
      </x:c>
      <x:c r="M156" s="3" t="s">
        <x:v>326</x:v>
      </x:c>
      <x:c r="N156" s="3" t="s">
        <x:v>131</x:v>
      </x:c>
      <x:c r="O156" s="3" t="s">
        <x:v>327</x:v>
      </x:c>
      <x:c r="P156" s="3" t="s">
        <x:v>328</x:v>
      </x:c>
      <x:c r="Q156" s="3" t="s">
        <x:v>329</x:v>
      </x:c>
      <x:c r="R156" s="3" t="s">
        <x:v>330</x:v>
      </x:c>
      <x:c r="S156" s="3" t="s">
        <x:v>135</x:v>
      </x:c>
      <x:c r="T156" s="3" t="s">
        <x:v>111</x:v>
      </x:c>
      <x:c r="U156" s="3" t="s">
        <x:v>331</x:v>
      </x:c>
      <x:c r="V156" s="3" t="s">
        <x:v>178</x:v>
      </x:c>
      <x:c r="W156" s="3" t="s">
        <x:v>332</x:v>
      </x:c>
      <x:c r="X156" s="3" t="s">
        <x:v>180</x:v>
      </x:c>
      <x:c r="Y156" s="3" t="s">
        <x:v>333</x:v>
      </x:c>
      <x:c r="Z156" s="3" t="s">
        <x:v>334</x:v>
      </x:c>
      <x:c r="AA156" s="3" t="s">
        <x:v>118</x:v>
      </x:c>
      <x:c r="AB156" s="7" t="n">
        <x:v>46255.4847222222</x:v>
      </x:c>
      <x:c r="AC156" s="7" t="n">
        <x:v>46255.4868055556</x:v>
      </x:c>
      <x:c r="AD156" s="7" t="n">
        <x:v>46255.4923611111</x:v>
      </x:c>
      <x:c r="AE156" s="7" t="n">
        <x:v>46255.5180555556</x:v>
      </x:c>
      <x:c r="AF156" s="7" t="n">
        <x:v>46255.5513888889</x:v>
      </x:c>
      <x:c r="AG156" s="3" t="n">
        <x:v>48</x:v>
      </x:c>
      <x:c r="AH156" s="3" t="n">
        <x:v>38</x:v>
      </x:c>
      <x:c r="AI156" s="3" t="s">
        <x:v>135</x:v>
      </x:c>
      <x:c r="AJ156" s="3" t="s">
        <x:v>111</x:v>
      </x:c>
      <x:c r="AK156" s="3" t="n">
        <x:v>180</x:v>
      </x:c>
      <x:c r="AL156" s="3" t="n">
        <x:v>0</x:v>
      </x:c>
      <x:c r="AM156" s="8" t="n">
        <x:v>0.4778</x:v>
      </x:c>
      <x:c r="AN156" s="3" t="n">
        <x:v>2</x:v>
      </x:c>
      <x:c r="AO156" s="3" t="s">
        <x:v>14</x:v>
      </x:c>
      <x:c r="AP156" s="3" t="s">
        <x:v>636</x:v>
      </x:c>
      <x:c r="AQ156" s="3" t="s">
        <x:v>516</x:v>
      </x:c>
      <x:c r="AR156" s="9" t="n">
        <x:v>749.6</x:v>
      </x:c>
      <x:c r="AS156" s="3" t="s">
        <x:v>121</x:v>
      </x:c>
      <x:c r="AT156" s="7" t="n">
        <x:v>46301.9166666667</x:v>
      </x:c>
    </x:row>
    <x:row r="157" ht="31.299999237060547" hidden="0">
      <x:c r="A157" s="3" t="s">
        <x:v>637</x:v>
      </x:c>
      <x:c r="B157" s="3" t="s">
        <x:v>83</x:v>
      </x:c>
      <x:c r="C157" s="3" t="s">
        <x:v>96</x:v>
      </x:c>
      <x:c r="D157" s="3" t="s">
        <x:v>97</x:v>
      </x:c>
      <x:c r="E157" s="3" t="s">
        <x:v>249</x:v>
      </x:c>
      <x:c r="F157" s="3" t="s">
        <x:v>127</x:v>
      </x:c>
      <x:c r="G157" s="3" t="s">
        <x:v>388</x:v>
      </x:c>
      <x:c r="H157" s="3" t="s">
        <x:v>339</x:v>
      </x:c>
      <x:c r="I157" s="3" t="s">
        <x:v>102</x:v>
      </x:c>
      <x:c r="J157" s="3" t="s">
        <x:v>103</x:v>
      </x:c>
      <x:c r="K157" s="3" t="s">
        <x:v>104</x:v>
      </x:c>
      <x:c r="L157" s="3" t="s">
        <x:v>105</x:v>
      </x:c>
      <x:c r="M157" s="3" t="s">
        <x:v>106</x:v>
      </x:c>
      <x:c r="N157" s="3" t="s">
        <x:v>107</x:v>
      </x:c>
      <x:c r="O157" s="3" t="s">
        <x:v>108</x:v>
      </x:c>
      <x:c r="P157" s="3" t="s">
        <x:v>109</x:v>
      </x:c>
      <x:c r="Q157" s="3" t="s">
        <x:v>250</x:v>
      </x:c>
      <x:c r="R157" s="3" t="s">
        <x:v>110</x:v>
      </x:c>
      <x:c r="S157" s="3" t="s">
        <x:v>111</x:v>
      </x:c>
      <x:c r="T157" s="3" t="s">
        <x:v>111</x:v>
      </x:c>
      <x:c r="U157" s="3" t="s">
        <x:v>112</x:v>
      </x:c>
      <x:c r="V157" s="3" t="s">
        <x:v>113</x:v>
      </x:c>
      <x:c r="W157" s="3" t="s">
        <x:v>419</x:v>
      </x:c>
      <x:c r="X157" s="3" t="s">
        <x:v>115</x:v>
      </x:c>
      <x:c r="Y157" s="3" t="s">
        <x:v>420</x:v>
      </x:c>
      <x:c r="Z157" s="3" t="s">
        <x:v>117</x:v>
      </x:c>
      <x:c r="AA157" s="3" t="s">
        <x:v>118</x:v>
      </x:c>
      <x:c r="AB157" s="7" t="n">
        <x:v>46255.4972222222</x:v>
      </x:c>
      <x:c r="AC157" s="7" t="n">
        <x:v>46255.4986111111</x:v>
      </x:c>
      <x:c r="AD157" s="7" t="n">
        <x:v>46255.5034722222</x:v>
      </x:c>
      <x:c r="AE157" s="7" t="n">
        <x:v>46255.5291666667</x:v>
      </x:c>
      <x:c r="AF157" s="7" t="n">
        <x:v>46255.5534722222</x:v>
      </x:c>
      <x:c r="AG157" s="3" t="n">
        <x:v>46</x:v>
      </x:c>
      <x:c r="AH157" s="3" t="n">
        <x:v>32</x:v>
      </x:c>
      <x:c r="AI157" s="3" t="s">
        <x:v>111</x:v>
      </x:c>
      <x:c r="AJ157" s="3" t="s">
        <x:v>111</x:v>
      </x:c>
      <x:c r="AK157" s="3" t="n">
        <x:v>60</x:v>
      </x:c>
      <x:c r="AL157" s="3" t="n">
        <x:v>0</x:v>
      </x:c>
      <x:c r="AM157" s="8" t="n">
        <x:v>1.3</x:v>
      </x:c>
      <x:c r="AN157" s="3" t="n">
        <x:v>0</x:v>
      </x:c>
      <x:c r="AO157" s="3" t="s">
        <x:v>24</x:v>
      </x:c>
      <x:c r="AP157" s="3" t="s">
        <x:v>421</x:v>
      </x:c>
      <x:c r="AQ157" s="3" t="s">
        <x:v>422</x:v>
      </x:c>
      <x:c r="AR157" s="9" t="n">
        <x:v>1017.4</x:v>
      </x:c>
      <x:c r="AS157" s="3" t="s">
        <x:v>185</x:v>
      </x:c>
      <x:c r="AT157" s="7" t="n">
        <x:v>46301.9166666667</x:v>
      </x:c>
    </x:row>
    <x:row r="158" ht="31.299999237060547" hidden="0">
      <x:c r="A158" s="3" t="s">
        <x:v>638</x:v>
      </x:c>
      <x:c r="B158" s="3" t="s">
        <x:v>297</x:v>
      </x:c>
      <x:c r="C158" s="3" t="s">
        <x:v>298</x:v>
      </x:c>
      <x:c r="D158" s="3" t="s">
        <x:v>299</x:v>
      </x:c>
      <x:c r="E158" s="3" t="s">
        <x:v>249</x:v>
      </x:c>
      <x:c r="F158" s="3" t="s">
        <x:v>149</x:v>
      </x:c>
      <x:c r="G158" s="3" t="s">
        <x:v>467</x:v>
      </x:c>
      <x:c r="H158" s="3" t="s">
        <x:v>301</x:v>
      </x:c>
      <x:c r="I158" s="3" t="s">
        <x:v>302</x:v>
      </x:c>
      <x:c r="J158" s="3" t="s">
        <x:v>303</x:v>
      </x:c>
      <x:c r="K158" s="3" t="s">
        <x:v>104</x:v>
      </x:c>
      <x:c r="L158" s="3" t="s">
        <x:v>304</x:v>
      </x:c>
      <x:c r="M158" s="3" t="s">
        <x:v>305</x:v>
      </x:c>
      <x:c r="N158" s="3" t="s">
        <x:v>306</x:v>
      </x:c>
      <x:c r="O158" s="3" t="s">
        <x:v>307</x:v>
      </x:c>
      <x:c r="P158" s="3" t="s">
        <x:v>308</x:v>
      </x:c>
      <x:c r="Q158" s="3" t="s">
        <x:v>309</x:v>
      </x:c>
      <x:c r="R158" s="3" t="s">
        <x:v>214</x:v>
      </x:c>
      <x:c r="S158" s="3" t="s">
        <x:v>135</x:v>
      </x:c>
      <x:c r="T158" s="3" t="s">
        <x:v>111</x:v>
      </x:c>
      <x:c r="U158" s="3" t="s">
        <x:v>215</x:v>
      </x:c>
      <x:c r="V158" s="3" t="s">
        <x:v>216</x:v>
      </x:c>
      <x:c r="W158" s="3" t="s">
        <x:v>429</x:v>
      </x:c>
      <x:c r="X158" s="3" t="s">
        <x:v>430</x:v>
      </x:c>
      <x:c r="Y158" s="3" t="s">
        <x:v>431</x:v>
      </x:c>
      <x:c r="Z158" s="3" t="s">
        <x:v>219</x:v>
      </x:c>
      <x:c r="AA158" s="3" t="s">
        <x:v>118</x:v>
      </x:c>
      <x:c r="AB158" s="7" t="n">
        <x:v>46255.5930555556</x:v>
      </x:c>
      <x:c r="AC158" s="7" t="n">
        <x:v>46255.5979166667</x:v>
      </x:c>
      <x:c r="AD158" s="7" t="n">
        <x:v>46255.6027777778</x:v>
      </x:c>
      <x:c r="AE158" s="7" t="n">
        <x:v>46255.6138888889</x:v>
      </x:c>
      <x:c r="AF158" s="7" t="n">
        <x:v>46255.6652777778</x:v>
      </x:c>
      <x:c r="AG158" s="3" t="n">
        <x:v>30</x:v>
      </x:c>
      <x:c r="AH158" s="3" t="n">
        <x:v>65</x:v>
      </x:c>
      <x:c r="AI158" s="3" t="s">
        <x:v>135</x:v>
      </x:c>
      <x:c r="AJ158" s="3" t="s">
        <x:v>111</x:v>
      </x:c>
      <x:c r="AK158" s="3" t="n">
        <x:v>180</x:v>
      </x:c>
      <x:c r="AL158" s="3" t="n">
        <x:v>0</x:v>
      </x:c>
      <x:c r="AM158" s="8" t="n">
        <x:v>0.5278</x:v>
      </x:c>
      <x:c r="AN158" s="3" t="n">
        <x:v>0</x:v>
      </x:c>
      <x:c r="AO158" s="3" t="s">
        <x:v>9</x:v>
      </x:c>
      <x:c r="AP158" s="3" t="s">
        <x:v>335</x:v>
      </x:c>
      <x:c r="AQ158" s="3" t="s">
        <x:v>319</x:v>
      </x:c>
      <x:c r="AR158" s="9" t="n">
        <x:v>1243</x:v>
      </x:c>
      <x:c r="AS158" s="3" t="s">
        <x:v>185</x:v>
      </x:c>
      <x:c r="AT158" s="7" t="n">
        <x:v>46301.9166666667</x:v>
      </x:c>
    </x:row>
    <x:row r="159" ht="31.299999237060547" hidden="0">
      <x:c r="A159" s="3" t="s">
        <x:v>639</x:v>
      </x:c>
      <x:c r="B159" s="3" t="s">
        <x:v>397</x:v>
      </x:c>
      <x:c r="C159" s="3" t="s">
        <x:v>398</x:v>
      </x:c>
      <x:c r="D159" s="3" t="s">
        <x:v>399</x:v>
      </x:c>
      <x:c r="E159" s="3" t="s">
        <x:v>249</x:v>
      </x:c>
      <x:c r="F159" s="3" t="s">
        <x:v>169</x:v>
      </x:c>
      <x:c r="G159" s="3" t="s">
        <x:v>425</x:v>
      </x:c>
      <x:c r="H159" s="3" t="s">
        <x:v>301</x:v>
      </x:c>
      <x:c r="I159" s="3" t="s">
        <x:v>302</x:v>
      </x:c>
      <x:c r="J159" s="3" t="s">
        <x:v>303</x:v>
      </x:c>
      <x:c r="K159" s="3" t="s">
        <x:v>104</x:v>
      </x:c>
      <x:c r="L159" s="3" t="s">
        <x:v>401</x:v>
      </x:c>
      <x:c r="M159" s="3" t="s">
        <x:v>402</x:v>
      </x:c>
      <x:c r="N159" s="3" t="s">
        <x:v>403</x:v>
      </x:c>
      <x:c r="O159" s="3" t="s">
        <x:v>404</x:v>
      </x:c>
      <x:c r="P159" s="3" t="s">
        <x:v>405</x:v>
      </x:c>
      <x:c r="Q159" s="3" t="s">
        <x:v>406</x:v>
      </x:c>
      <x:c r="R159" s="3" t="s">
        <x:v>134</x:v>
      </x:c>
      <x:c r="S159" s="3" t="s">
        <x:v>135</x:v>
      </x:c>
      <x:c r="T159" s="3" t="s">
        <x:v>111</x:v>
      </x:c>
      <x:c r="U159" s="3" t="s">
        <x:v>136</x:v>
      </x:c>
      <x:c r="V159" s="3" t="s">
        <x:v>137</x:v>
      </x:c>
      <x:c r="W159" s="3" t="s">
        <x:v>407</x:v>
      </x:c>
      <x:c r="X159" s="3" t="s">
        <x:v>139</x:v>
      </x:c>
      <x:c r="Y159" s="3" t="s">
        <x:v>140</x:v>
      </x:c>
      <x:c r="Z159" s="3" t="s">
        <x:v>141</x:v>
      </x:c>
      <x:c r="AA159" s="3" t="s">
        <x:v>118</x:v>
      </x:c>
      <x:c r="AB159" s="7" t="n">
        <x:v>46255.6118055556</x:v>
      </x:c>
      <x:c r="AC159" s="7" t="n">
        <x:v>46255.6152777778</x:v>
      </x:c>
      <x:c r="AD159" s="7" t="n">
        <x:v>46255.6166666667</x:v>
      </x:c>
      <x:c r="AE159" s="7" t="n">
        <x:v>46255.6409722222</x:v>
      </x:c>
      <x:c r="AF159" s="7" t="n">
        <x:v>46255.6680555556</x:v>
      </x:c>
      <x:c r="AG159" s="3" t="n">
        <x:v>42</x:v>
      </x:c>
      <x:c r="AH159" s="3" t="n">
        <x:v>33</x:v>
      </x:c>
      <x:c r="AI159" s="3" t="s">
        <x:v>135</x:v>
      </x:c>
      <x:c r="AJ159" s="3" t="s">
        <x:v>135</x:v>
      </x:c>
      <x:c r="AK159" s="3" t="n">
        <x:v>180</x:v>
      </x:c>
      <x:c r="AL159" s="3" t="n">
        <x:v>0</x:v>
      </x:c>
      <x:c r="AM159" s="8" t="n">
        <x:v>0.4167</x:v>
      </x:c>
      <x:c r="AN159" s="3" t="n">
        <x:v>0</x:v>
      </x:c>
      <x:c r="AO159" s="3" t="s">
        <x:v>9</x:v>
      </x:c>
      <x:c r="AP159" s="3" t="s">
        <x:v>142</x:v>
      </x:c>
      <x:c r="AQ159" s="3" t="s">
        <x:v>408</x:v>
      </x:c>
      <x:c r="AR159" s="9" t="n">
        <x:v>686.6</x:v>
      </x:c>
      <x:c r="AS159" s="3" t="s">
        <x:v>121</x:v>
      </x:c>
      <x:c r="AT159" s="7" t="n">
        <x:v>46301.9166666667</x:v>
      </x:c>
    </x:row>
    <x:row r="160" ht="31.299999237060547" hidden="0">
      <x:c r="A160" s="3" t="s">
        <x:v>640</x:v>
      </x:c>
      <x:c r="B160" s="3" t="s">
        <x:v>146</x:v>
      </x:c>
      <x:c r="C160" s="3" t="s">
        <x:v>147</x:v>
      </x:c>
      <x:c r="D160" s="3" t="s">
        <x:v>148</x:v>
      </x:c>
      <x:c r="E160" s="3" t="s">
        <x:v>249</x:v>
      </x:c>
      <x:c r="F160" s="3" t="s">
        <x:v>127</x:v>
      </x:c>
      <x:c r="G160" s="3" t="s">
        <x:v>379</x:v>
      </x:c>
      <x:c r="H160" s="3" t="s">
        <x:v>339</x:v>
      </x:c>
      <x:c r="I160" s="3" t="s">
        <x:v>102</x:v>
      </x:c>
      <x:c r="J160" s="3" t="s">
        <x:v>103</x:v>
      </x:c>
      <x:c r="K160" s="3" t="s">
        <x:v>104</x:v>
      </x:c>
      <x:c r="L160" s="3" t="s">
        <x:v>151</x:v>
      </x:c>
      <x:c r="M160" s="3" t="s">
        <x:v>152</x:v>
      </x:c>
      <x:c r="N160" s="3" t="s">
        <x:v>153</x:v>
      </x:c>
      <x:c r="O160" s="3" t="s">
        <x:v>154</x:v>
      </x:c>
      <x:c r="P160" s="3" t="s">
        <x:v>155</x:v>
      </x:c>
      <x:c r="Q160" s="3" t="s">
        <x:v>270</x:v>
      </x:c>
      <x:c r="R160" s="3" t="s">
        <x:v>380</x:v>
      </x:c>
      <x:c r="S160" s="3" t="s">
        <x:v>111</x:v>
      </x:c>
      <x:c r="T160" s="3" t="s">
        <x:v>111</x:v>
      </x:c>
      <x:c r="U160" s="3" t="s">
        <x:v>381</x:v>
      </x:c>
      <x:c r="V160" s="3" t="s">
        <x:v>312</x:v>
      </x:c>
      <x:c r="W160" s="3" t="s">
        <x:v>351</x:v>
      </x:c>
      <x:c r="X160" s="3" t="s">
        <x:v>314</x:v>
      </x:c>
      <x:c r="Y160" s="3" t="s">
        <x:v>352</x:v>
      </x:c>
      <x:c r="Z160" s="3" t="s">
        <x:v>384</x:v>
      </x:c>
      <x:c r="AA160" s="3" t="s">
        <x:v>385</x:v>
      </x:c>
      <x:c r="AB160" s="7" t="n">
        <x:v>46255.6138888889</x:v>
      </x:c>
      <x:c r="AC160" s="7" t="n">
        <x:v>46255.6180555556</x:v>
      </x:c>
      <x:c r="AD160" s="7" t="n">
        <x:v>46255.6229166667</x:v>
      </x:c>
      <x:c r="AE160" s="7" t="n">
        <x:v>46255.6444444444</x:v>
      </x:c>
      <x:c r="AF160" s="7" t="n">
        <x:v>46255.7013888889</x:v>
      </x:c>
      <x:c r="AG160" s="3" t="n">
        <x:v>44</x:v>
      </x:c>
      <x:c r="AH160" s="3" t="n">
        <x:v>73</x:v>
      </x:c>
      <x:c r="AI160" s="3" t="s">
        <x:v>135</x:v>
      </x:c>
      <x:c r="AJ160" s="3" t="s">
        <x:v>135</x:v>
      </x:c>
      <x:c r="AK160" s="3" t="n">
        <x:v>120</x:v>
      </x:c>
      <x:c r="AL160" s="3" t="n">
        <x:v>0</x:v>
      </x:c>
      <x:c r="AM160" s="8" t="n">
        <x:v>0.975</x:v>
      </x:c>
      <x:c r="AN160" s="3" t="n">
        <x:v>0</x:v>
      </x:c>
      <x:c r="AO160" s="3" t="s">
        <x:v>19</x:v>
      </x:c>
      <x:c r="AP160" s="3" t="s">
        <x:v>369</x:v>
      </x:c>
      <x:c r="AQ160" s="3" t="s">
        <x:v>411</x:v>
      </x:c>
      <x:c r="AR160" s="9" t="n">
        <x:v>983.6</x:v>
      </x:c>
      <x:c r="AS160" s="3" t="s">
        <x:v>185</x:v>
      </x:c>
      <x:c r="AT160" s="7" t="n">
        <x:v>46301.9166666667</x:v>
      </x:c>
    </x:row>
    <x:row r="161" ht="31.299999237060547" hidden="0">
      <x:c r="A161" s="3" t="s">
        <x:v>641</x:v>
      </x:c>
      <x:c r="B161" s="3" t="s">
        <x:v>146</x:v>
      </x:c>
      <x:c r="C161" s="3" t="s">
        <x:v>147</x:v>
      </x:c>
      <x:c r="D161" s="3" t="s">
        <x:v>148</x:v>
      </x:c>
      <x:c r="E161" s="3" t="s">
        <x:v>249</x:v>
      </x:c>
      <x:c r="F161" s="3" t="s">
        <x:v>169</x:v>
      </x:c>
      <x:c r="G161" s="3" t="s">
        <x:v>507</x:v>
      </x:c>
      <x:c r="H161" s="3" t="s">
        <x:v>101</x:v>
      </x:c>
      <x:c r="I161" s="3" t="s">
        <x:v>102</x:v>
      </x:c>
      <x:c r="J161" s="3" t="s">
        <x:v>103</x:v>
      </x:c>
      <x:c r="K161" s="3" t="s">
        <x:v>104</x:v>
      </x:c>
      <x:c r="L161" s="3" t="s">
        <x:v>151</x:v>
      </x:c>
      <x:c r="M161" s="3" t="s">
        <x:v>152</x:v>
      </x:c>
      <x:c r="N161" s="3" t="s">
        <x:v>153</x:v>
      </x:c>
      <x:c r="O161" s="3" t="s">
        <x:v>154</x:v>
      </x:c>
      <x:c r="P161" s="3" t="s">
        <x:v>155</x:v>
      </x:c>
      <x:c r="Q161" s="3" t="s">
        <x:v>270</x:v>
      </x:c>
      <x:c r="R161" s="3" t="s">
        <x:v>373</x:v>
      </x:c>
      <x:c r="S161" s="3" t="s">
        <x:v>135</x:v>
      </x:c>
      <x:c r="T161" s="3" t="s">
        <x:v>111</x:v>
      </x:c>
      <x:c r="U161" s="3" t="s">
        <x:v>374</x:v>
      </x:c>
      <x:c r="V161" s="3" t="s">
        <x:v>178</x:v>
      </x:c>
      <x:c r="W161" s="3" t="s">
        <x:v>179</x:v>
      </x:c>
      <x:c r="X161" s="3" t="s">
        <x:v>180</x:v>
      </x:c>
      <x:c r="Y161" s="3" t="s">
        <x:v>414</x:v>
      </x:c>
      <x:c r="Z161" s="3" t="s">
        <x:v>375</x:v>
      </x:c>
      <x:c r="AA161" s="3" t="s">
        <x:v>118</x:v>
      </x:c>
      <x:c r="AB161" s="7" t="n">
        <x:v>46255.625</x:v>
      </x:c>
      <x:c r="AC161" s="7" t="n">
        <x:v>46255.6270833333</x:v>
      </x:c>
      <x:c r="AD161" s="7" t="n">
        <x:v>46255.6319444444</x:v>
      </x:c>
      <x:c r="AE161" s="7" t="n">
        <x:v>46255.6541666667</x:v>
      </x:c>
      <x:c r="AF161" s="7" t="n">
        <x:v>46255.6888888889</x:v>
      </x:c>
      <x:c r="AG161" s="3" t="n">
        <x:v>42</x:v>
      </x:c>
      <x:c r="AH161" s="3" t="n">
        <x:v>47</x:v>
      </x:c>
      <x:c r="AI161" s="3" t="s">
        <x:v>135</x:v>
      </x:c>
      <x:c r="AJ161" s="3" t="s">
        <x:v>135</x:v>
      </x:c>
      <x:c r="AK161" s="3" t="n">
        <x:v>180</x:v>
      </x:c>
      <x:c r="AL161" s="3" t="n">
        <x:v>0</x:v>
      </x:c>
      <x:c r="AM161" s="8" t="n">
        <x:v>0.4944</x:v>
      </x:c>
      <x:c r="AN161" s="3" t="n">
        <x:v>3</x:v>
      </x:c>
      <x:c r="AO161" s="3" t="s">
        <x:v>14</x:v>
      </x:c>
      <x:c r="AP161" s="3" t="s">
        <x:v>183</x:v>
      </x:c>
      <x:c r="AQ161" s="3" t="s">
        <x:v>642</x:v>
      </x:c>
      <x:c r="AR161" s="9" t="n">
        <x:v>1037.4</x:v>
      </x:c>
      <x:c r="AS161" s="3" t="s">
        <x:v>185</x:v>
      </x:c>
      <x:c r="AT161" s="7" t="n">
        <x:v>46301.9166666667</x:v>
      </x:c>
    </x:row>
    <x:row r="162" ht="31.299999237060547" hidden="0">
      <x:c r="A162" s="3" t="s">
        <x:v>643</x:v>
      </x:c>
      <x:c r="B162" s="3" t="s">
        <x:v>146</x:v>
      </x:c>
      <x:c r="C162" s="3" t="s">
        <x:v>147</x:v>
      </x:c>
      <x:c r="D162" s="3" t="s">
        <x:v>148</x:v>
      </x:c>
      <x:c r="E162" s="3" t="s">
        <x:v>249</x:v>
      </x:c>
      <x:c r="F162" s="3" t="s">
        <x:v>127</x:v>
      </x:c>
      <x:c r="G162" s="3" t="s">
        <x:v>477</x:v>
      </x:c>
      <x:c r="H162" s="3" t="s">
        <x:v>343</x:v>
      </x:c>
      <x:c r="I162" s="3" t="s">
        <x:v>102</x:v>
      </x:c>
      <x:c r="J162" s="3" t="s">
        <x:v>103</x:v>
      </x:c>
      <x:c r="K162" s="3" t="s">
        <x:v>104</x:v>
      </x:c>
      <x:c r="L162" s="3" t="s">
        <x:v>151</x:v>
      </x:c>
      <x:c r="M162" s="3" t="s">
        <x:v>152</x:v>
      </x:c>
      <x:c r="N162" s="3" t="s">
        <x:v>153</x:v>
      </x:c>
      <x:c r="O162" s="3" t="s">
        <x:v>154</x:v>
      </x:c>
      <x:c r="P162" s="3" t="s">
        <x:v>155</x:v>
      </x:c>
      <x:c r="Q162" s="3" t="s">
        <x:v>270</x:v>
      </x:c>
      <x:c r="R162" s="3" t="s">
        <x:v>214</x:v>
      </x:c>
      <x:c r="S162" s="3" t="s">
        <x:v>135</x:v>
      </x:c>
      <x:c r="T162" s="3" t="s">
        <x:v>111</x:v>
      </x:c>
      <x:c r="U162" s="3" t="s">
        <x:v>215</x:v>
      </x:c>
      <x:c r="V162" s="3" t="s">
        <x:v>216</x:v>
      </x:c>
      <x:c r="W162" s="3" t="s">
        <x:v>429</x:v>
      </x:c>
      <x:c r="X162" s="3" t="s">
        <x:v>430</x:v>
      </x:c>
      <x:c r="Y162" s="3" t="s">
        <x:v>431</x:v>
      </x:c>
      <x:c r="Z162" s="3" t="s">
        <x:v>219</x:v>
      </x:c>
      <x:c r="AA162" s="3" t="s">
        <x:v>118</x:v>
      </x:c>
      <x:c r="AB162" s="7" t="n">
        <x:v>46255.6465277778</x:v>
      </x:c>
      <x:c r="AC162" s="7" t="n">
        <x:v>46255.6506944444</x:v>
      </x:c>
      <x:c r="AD162" s="7" t="n">
        <x:v>46255.6555555556</x:v>
      </x:c>
      <x:c r="AE162" s="7" t="n">
        <x:v>46255.6729166667</x:v>
      </x:c>
      <x:c r="AF162" s="7" t="n">
        <x:v>46255.7152777778</x:v>
      </x:c>
      <x:c r="AG162" s="3" t="n">
        <x:v>38</x:v>
      </x:c>
      <x:c r="AH162" s="3" t="n">
        <x:v>58</x:v>
      </x:c>
      <x:c r="AI162" s="3" t="s">
        <x:v>135</x:v>
      </x:c>
      <x:c r="AJ162" s="3" t="s">
        <x:v>135</x:v>
      </x:c>
      <x:c r="AK162" s="3" t="n">
        <x:v>180</x:v>
      </x:c>
      <x:c r="AL162" s="3" t="n">
        <x:v>0</x:v>
      </x:c>
      <x:c r="AM162" s="8" t="n">
        <x:v>0.5333</x:v>
      </x:c>
      <x:c r="AN162" s="3" t="n">
        <x:v>1</x:v>
      </x:c>
      <x:c r="AO162" s="3" t="s">
        <x:v>9</x:v>
      </x:c>
      <x:c r="AP162" s="3" t="s">
        <x:v>500</x:v>
      </x:c>
      <x:c r="AQ162" s="3" t="s">
        <x:v>533</x:v>
      </x:c>
      <x:c r="AR162" s="9" t="n">
        <x:v>848.6</x:v>
      </x:c>
      <x:c r="AS162" s="3" t="s">
        <x:v>121</x:v>
      </x:c>
      <x:c r="AT162" s="7" t="n">
        <x:v>46301.9166666667</x:v>
      </x:c>
    </x:row>
    <x:row r="163" ht="31.299999237060547" hidden="0">
      <x:c r="A163" s="3" t="s">
        <x:v>644</x:v>
      </x:c>
      <x:c r="B163" s="3" t="s">
        <x:v>433</x:v>
      </x:c>
      <x:c r="C163" s="3" t="s">
        <x:v>434</x:v>
      </x:c>
      <x:c r="D163" s="3" t="s">
        <x:v>435</x:v>
      </x:c>
      <x:c r="E163" s="3" t="s">
        <x:v>249</x:v>
      </x:c>
      <x:c r="F163" s="3" t="s">
        <x:v>169</x:v>
      </x:c>
      <x:c r="G163" s="3" t="s">
        <x:v>467</x:v>
      </x:c>
      <x:c r="H163" s="3" t="s">
        <x:v>301</x:v>
      </x:c>
      <x:c r="I163" s="3" t="s">
        <x:v>302</x:v>
      </x:c>
      <x:c r="J163" s="3" t="s">
        <x:v>303</x:v>
      </x:c>
      <x:c r="K163" s="3" t="s">
        <x:v>104</x:v>
      </x:c>
      <x:c r="L163" s="3" t="s">
        <x:v>437</x:v>
      </x:c>
      <x:c r="M163" s="3" t="s">
        <x:v>106</x:v>
      </x:c>
      <x:c r="N163" s="3" t="s">
        <x:v>438</x:v>
      </x:c>
      <x:c r="O163" s="3" t="s">
        <x:v>439</x:v>
      </x:c>
      <x:c r="P163" s="3" t="s">
        <x:v>440</x:v>
      </x:c>
      <x:c r="Q163" s="3" t="s">
        <x:v>441</x:v>
      </x:c>
      <x:c r="R163" s="3" t="s">
        <x:v>214</x:v>
      </x:c>
      <x:c r="S163" s="3" t="s">
        <x:v>135</x:v>
      </x:c>
      <x:c r="T163" s="3" t="s">
        <x:v>111</x:v>
      </x:c>
      <x:c r="U163" s="3" t="s">
        <x:v>215</x:v>
      </x:c>
      <x:c r="V163" s="3" t="s">
        <x:v>216</x:v>
      </x:c>
      <x:c r="W163" s="3" t="s">
        <x:v>429</x:v>
      </x:c>
      <x:c r="X163" s="3" t="s">
        <x:v>430</x:v>
      </x:c>
      <x:c r="Y163" s="3" t="s">
        <x:v>431</x:v>
      </x:c>
      <x:c r="Z163" s="3" t="s">
        <x:v>219</x:v>
      </x:c>
      <x:c r="AA163" s="3" t="s">
        <x:v>118</x:v>
      </x:c>
      <x:c r="AB163" s="7" t="n">
        <x:v>46255.6680555556</x:v>
      </x:c>
      <x:c r="AC163" s="7" t="n">
        <x:v>46255.6722222222</x:v>
      </x:c>
      <x:c r="AD163" s="7" t="n">
        <x:v>46255.6784722222</x:v>
      </x:c>
      <x:c r="AE163" s="7" t="n">
        <x:v>46255.7013888889</x:v>
      </x:c>
      <x:c r="AF163" s="7" t="n">
        <x:v>46255.7618055556</x:v>
      </x:c>
      <x:c r="AG163" s="3" t="n">
        <x:v>48</x:v>
      </x:c>
      <x:c r="AH163" s="3" t="n">
        <x:v>77</x:v>
      </x:c>
      <x:c r="AI163" s="3" t="s">
        <x:v>135</x:v>
      </x:c>
      <x:c r="AJ163" s="3" t="s">
        <x:v>135</x:v>
      </x:c>
      <x:c r="AK163" s="3" t="n">
        <x:v>180</x:v>
      </x:c>
      <x:c r="AL163" s="3" t="n">
        <x:v>0</x:v>
      </x:c>
      <x:c r="AM163" s="8" t="n">
        <x:v>0.6944</x:v>
      </x:c>
      <x:c r="AN163" s="3" t="n">
        <x:v>0</x:v>
      </x:c>
      <x:c r="AO163" s="3" t="s">
        <x:v>14</x:v>
      </x:c>
      <x:c r="AP163" s="3" t="s">
        <x:v>347</x:v>
      </x:c>
      <x:c r="AQ163" s="3" t="s">
        <x:v>120</x:v>
      </x:c>
      <x:c r="AR163" s="9" t="n">
        <x:v>1030.4</x:v>
      </x:c>
      <x:c r="AS163" s="3" t="s">
        <x:v>121</x:v>
      </x:c>
      <x:c r="AT163" s="7" t="n">
        <x:v>46301.9166666667</x:v>
      </x:c>
    </x:row>
    <x:row r="164" ht="31.299999237060547" hidden="0">
      <x:c r="A164" s="3" t="s">
        <x:v>645</x:v>
      </x:c>
      <x:c r="B164" s="3" t="s">
        <x:v>166</x:v>
      </x:c>
      <x:c r="C164" s="3" t="s">
        <x:v>167</x:v>
      </x:c>
      <x:c r="D164" s="3" t="s">
        <x:v>168</x:v>
      </x:c>
      <x:c r="E164" s="3" t="s">
        <x:v>249</x:v>
      </x:c>
      <x:c r="F164" s="3" t="s">
        <x:v>127</x:v>
      </x:c>
      <x:c r="G164" s="3" t="s">
        <x:v>324</x:v>
      </x:c>
      <x:c r="H164" s="3" t="s">
        <x:v>301</x:v>
      </x:c>
      <x:c r="I164" s="3" t="s">
        <x:v>302</x:v>
      </x:c>
      <x:c r="J164" s="3" t="s">
        <x:v>303</x:v>
      </x:c>
      <x:c r="K164" s="3" t="s">
        <x:v>104</x:v>
      </x:c>
      <x:c r="L164" s="3" t="s">
        <x:v>171</x:v>
      </x:c>
      <x:c r="M164" s="3" t="s">
        <x:v>172</x:v>
      </x:c>
      <x:c r="N164" s="3" t="s">
        <x:v>173</x:v>
      </x:c>
      <x:c r="O164" s="3" t="s">
        <x:v>174</x:v>
      </x:c>
      <x:c r="P164" s="3" t="s">
        <x:v>175</x:v>
      </x:c>
      <x:c r="Q164" s="3" t="s">
        <x:v>271</x:v>
      </x:c>
      <x:c r="R164" s="3" t="s">
        <x:v>330</x:v>
      </x:c>
      <x:c r="S164" s="3" t="s">
        <x:v>135</x:v>
      </x:c>
      <x:c r="T164" s="3" t="s">
        <x:v>111</x:v>
      </x:c>
      <x:c r="U164" s="3" t="s">
        <x:v>331</x:v>
      </x:c>
      <x:c r="V164" s="3" t="s">
        <x:v>178</x:v>
      </x:c>
      <x:c r="W164" s="3" t="s">
        <x:v>332</x:v>
      </x:c>
      <x:c r="X164" s="3" t="s">
        <x:v>180</x:v>
      </x:c>
      <x:c r="Y164" s="3" t="s">
        <x:v>333</x:v>
      </x:c>
      <x:c r="Z164" s="3" t="s">
        <x:v>334</x:v>
      </x:c>
      <x:c r="AA164" s="3" t="s">
        <x:v>118</x:v>
      </x:c>
      <x:c r="AB164" s="7" t="n">
        <x:v>46255.6722222222</x:v>
      </x:c>
      <x:c r="AC164" s="7" t="n">
        <x:v>46255.6743055556</x:v>
      </x:c>
      <x:c r="AD164" s="7" t="n">
        <x:v>46255.6784722222</x:v>
      </x:c>
      <x:c r="AE164" s="7" t="n">
        <x:v>46255.6958333333</x:v>
      </x:c>
      <x:c r="AF164" s="7" t="n">
        <x:v>46255.7694444444</x:v>
      </x:c>
      <x:c r="AG164" s="3" t="n">
        <x:v>34</x:v>
      </x:c>
      <x:c r="AH164" s="3" t="n">
        <x:v>98</x:v>
      </x:c>
      <x:c r="AI164" s="3" t="s">
        <x:v>135</x:v>
      </x:c>
      <x:c r="AJ164" s="3" t="s">
        <x:v>135</x:v>
      </x:c>
      <x:c r="AK164" s="3" t="n">
        <x:v>180</x:v>
      </x:c>
      <x:c r="AL164" s="3" t="n">
        <x:v>0</x:v>
      </x:c>
      <x:c r="AM164" s="8" t="n">
        <x:v>0.7333</x:v>
      </x:c>
      <x:c r="AN164" s="3" t="n">
        <x:v>0</x:v>
      </x:c>
      <x:c r="AO164" s="3" t="s">
        <x:v>14</x:v>
      </x:c>
      <x:c r="AP164" s="3" t="s">
        <x:v>347</x:v>
      </x:c>
      <x:c r="AQ164" s="3" t="s">
        <x:v>340</x:v>
      </x:c>
      <x:c r="AR164" s="9" t="n">
        <x:v>1498.6</x:v>
      </x:c>
      <x:c r="AS164" s="3" t="s">
        <x:v>185</x:v>
      </x:c>
      <x:c r="AT164" s="7" t="n">
        <x:v>46301.9166666667</x:v>
      </x:c>
    </x:row>
    <x:row r="165" ht="31.299999237060547" hidden="0">
      <x:c r="A165" s="3" t="s">
        <x:v>646</x:v>
      </x:c>
      <x:c r="B165" s="3" t="s">
        <x:v>397</x:v>
      </x:c>
      <x:c r="C165" s="3" t="s">
        <x:v>398</x:v>
      </x:c>
      <x:c r="D165" s="3" t="s">
        <x:v>399</x:v>
      </x:c>
      <x:c r="E165" s="3" t="s">
        <x:v>249</x:v>
      </x:c>
      <x:c r="F165" s="3" t="s">
        <x:v>169</x:v>
      </x:c>
      <x:c r="G165" s="3" t="s">
        <x:v>614</x:v>
      </x:c>
      <x:c r="H165" s="3" t="s">
        <x:v>301</x:v>
      </x:c>
      <x:c r="I165" s="3" t="s">
        <x:v>302</x:v>
      </x:c>
      <x:c r="J165" s="3" t="s">
        <x:v>303</x:v>
      </x:c>
      <x:c r="K165" s="3" t="s">
        <x:v>104</x:v>
      </x:c>
      <x:c r="L165" s="3" t="s">
        <x:v>401</x:v>
      </x:c>
      <x:c r="M165" s="3" t="s">
        <x:v>402</x:v>
      </x:c>
      <x:c r="N165" s="3" t="s">
        <x:v>403</x:v>
      </x:c>
      <x:c r="O165" s="3" t="s">
        <x:v>404</x:v>
      </x:c>
      <x:c r="P165" s="3" t="s">
        <x:v>405</x:v>
      </x:c>
      <x:c r="Q165" s="3" t="s">
        <x:v>406</x:v>
      </x:c>
      <x:c r="R165" s="3" t="s">
        <x:v>196</x:v>
      </x:c>
      <x:c r="S165" s="3" t="s">
        <x:v>111</x:v>
      </x:c>
      <x:c r="T165" s="3" t="s">
        <x:v>111</x:v>
      </x:c>
      <x:c r="U165" s="3" t="s">
        <x:v>197</x:v>
      </x:c>
      <x:c r="V165" s="3" t="s">
        <x:v>198</x:v>
      </x:c>
      <x:c r="W165" s="3" t="s">
        <x:v>365</x:v>
      </x:c>
      <x:c r="X165" s="3" t="s">
        <x:v>366</x:v>
      </x:c>
      <x:c r="Y165" s="3" t="s">
        <x:v>367</x:v>
      </x:c>
      <x:c r="Z165" s="3" t="s">
        <x:v>201</x:v>
      </x:c>
      <x:c r="AA165" s="3" t="s">
        <x:v>368</x:v>
      </x:c>
      <x:c r="AB165" s="7" t="n">
        <x:v>46255.7388888889</x:v>
      </x:c>
      <x:c r="AC165" s="7" t="n">
        <x:v>46255.7409722222</x:v>
      </x:c>
      <x:c r="AD165" s="7" t="n">
        <x:v>46255.74375</x:v>
      </x:c>
      <x:c r="AE165" s="7" t="n">
        <x:v>46255.7527777778</x:v>
      </x:c>
      <x:c r="AF165" s="7" t="n">
        <x:v>46255.7694444444</x:v>
      </x:c>
      <x:c r="AG165" s="3" t="n">
        <x:v>20</x:v>
      </x:c>
      <x:c r="AH165" s="3" t="n">
        <x:v>20</x:v>
      </x:c>
      <x:c r="AI165" s="3" t="s">
        <x:v>135</x:v>
      </x:c>
      <x:c r="AJ165" s="3" t="s">
        <x:v>135</x:v>
      </x:c>
      <x:c r="AK165" s="3" t="n">
        <x:v>120</x:v>
      </x:c>
      <x:c r="AL165" s="3" t="n">
        <x:v>0</x:v>
      </x:c>
      <x:c r="AM165" s="8" t="n">
        <x:v>0.3333</x:v>
      </x:c>
      <x:c r="AN165" s="3" t="n">
        <x:v>0</x:v>
      </x:c>
      <x:c r="AO165" s="3" t="s">
        <x:v>9</x:v>
      </x:c>
      <x:c r="AP165" s="3" t="s">
        <x:v>142</x:v>
      </x:c>
      <x:c r="AQ165" s="3" t="s">
        <x:v>408</x:v>
      </x:c>
      <x:c r="AR165" s="9" t="n">
        <x:v>494</x:v>
      </x:c>
      <x:c r="AS165" s="3" t="s">
        <x:v>144</x:v>
      </x:c>
      <x:c r="AT165" s="7" t="n">
        <x:v>46301.9166666667</x:v>
      </x:c>
    </x:row>
    <x:row r="166" ht="31.299999237060547" hidden="0">
      <x:c r="A166" s="3" t="s">
        <x:v>647</x:v>
      </x:c>
      <x:c r="B166" s="3" t="s">
        <x:v>83</x:v>
      </x:c>
      <x:c r="C166" s="3" t="s">
        <x:v>96</x:v>
      </x:c>
      <x:c r="D166" s="3" t="s">
        <x:v>97</x:v>
      </x:c>
      <x:c r="E166" s="3" t="s">
        <x:v>249</x:v>
      </x:c>
      <x:c r="F166" s="3" t="s">
        <x:v>99</x:v>
      </x:c>
      <x:c r="G166" s="3" t="s">
        <x:v>498</x:v>
      </x:c>
      <x:c r="H166" s="3" t="s">
        <x:v>101</x:v>
      </x:c>
      <x:c r="I166" s="3" t="s">
        <x:v>102</x:v>
      </x:c>
      <x:c r="J166" s="3" t="s">
        <x:v>103</x:v>
      </x:c>
      <x:c r="K166" s="3" t="s">
        <x:v>104</x:v>
      </x:c>
      <x:c r="L166" s="3" t="s">
        <x:v>105</x:v>
      </x:c>
      <x:c r="M166" s="3" t="s">
        <x:v>106</x:v>
      </x:c>
      <x:c r="N166" s="3" t="s">
        <x:v>107</x:v>
      </x:c>
      <x:c r="O166" s="3" t="s">
        <x:v>108</x:v>
      </x:c>
      <x:c r="P166" s="3" t="s">
        <x:v>109</x:v>
      </x:c>
      <x:c r="Q166" s="3" t="s">
        <x:v>250</x:v>
      </x:c>
      <x:c r="R166" s="3" t="s">
        <x:v>310</x:v>
      </x:c>
      <x:c r="S166" s="3" t="s">
        <x:v>135</x:v>
      </x:c>
      <x:c r="T166" s="3" t="s">
        <x:v>111</x:v>
      </x:c>
      <x:c r="U166" s="3" t="s">
        <x:v>311</x:v>
      </x:c>
      <x:c r="V166" s="3" t="s">
        <x:v>312</x:v>
      </x:c>
      <x:c r="W166" s="3" t="s">
        <x:v>351</x:v>
      </x:c>
      <x:c r="X166" s="3" t="s">
        <x:v>314</x:v>
      </x:c>
      <x:c r="Y166" s="3" t="s">
        <x:v>352</x:v>
      </x:c>
      <x:c r="Z166" s="3" t="s">
        <x:v>316</x:v>
      </x:c>
      <x:c r="AA166" s="3" t="s">
        <x:v>317</x:v>
      </x:c>
      <x:c r="AB166" s="7" t="n">
        <x:v>46255.7590277778</x:v>
      </x:c>
      <x:c r="AC166" s="7" t="n">
        <x:v>46255.7638888889</x:v>
      </x:c>
      <x:c r="AD166" s="7" t="n">
        <x:v>46255.76875</x:v>
      </x:c>
      <x:c r="AE166" s="7" t="n">
        <x:v>46255.7840277778</x:v>
      </x:c>
      <x:c r="AF166" s="7" t="n">
        <x:v>46255.8020833333</x:v>
      </x:c>
      <x:c r="AG166" s="3" t="n">
        <x:v>36</x:v>
      </x:c>
      <x:c r="AH166" s="3" t="n">
        <x:v>18</x:v>
      </x:c>
      <x:c r="AI166" s="3" t="s">
        <x:v>111</x:v>
      </x:c>
      <x:c r="AJ166" s="3" t="s">
        <x:v>111</x:v>
      </x:c>
      <x:c r="AK166" s="3" t="n">
        <x:v>60</x:v>
      </x:c>
      <x:c r="AL166" s="3" t="n">
        <x:v>0</x:v>
      </x:c>
      <x:c r="AM166" s="8" t="n">
        <x:v>0.9</x:v>
      </x:c>
      <x:c r="AN166" s="3" t="n">
        <x:v>1</x:v>
      </x:c>
      <x:c r="AO166" s="3" t="s">
        <x:v>19</x:v>
      </x:c>
      <x:c r="AP166" s="3" t="s">
        <x:v>629</x:v>
      </x:c>
      <x:c r="AQ166" s="3" t="s">
        <x:v>562</x:v>
      </x:c>
      <x:c r="AR166" s="9" t="n">
        <x:v>871.6</x:v>
      </x:c>
      <x:c r="AS166" s="3" t="s">
        <x:v>121</x:v>
      </x:c>
      <x:c r="AT166" s="7" t="n">
        <x:v>46301.9166666667</x:v>
      </x:c>
    </x:row>
    <x:row r="167" ht="31.299999237060547" hidden="0">
      <x:c r="A167" s="3" t="s">
        <x:v>648</x:v>
      </x:c>
      <x:c r="B167" s="3" t="s">
        <x:v>233</x:v>
      </x:c>
      <x:c r="C167" s="3" t="s">
        <x:v>234</x:v>
      </x:c>
      <x:c r="D167" s="3" t="s">
        <x:v>235</x:v>
      </x:c>
      <x:c r="E167" s="3" t="s">
        <x:v>249</x:v>
      </x:c>
      <x:c r="F167" s="3" t="s">
        <x:v>149</x:v>
      </x:c>
      <x:c r="G167" s="3" t="s">
        <x:v>535</x:v>
      </x:c>
      <x:c r="H167" s="3" t="s">
        <x:v>101</x:v>
      </x:c>
      <x:c r="I167" s="3" t="s">
        <x:v>102</x:v>
      </x:c>
      <x:c r="J167" s="3" t="s">
        <x:v>103</x:v>
      </x:c>
      <x:c r="K167" s="3" t="s">
        <x:v>104</x:v>
      </x:c>
      <x:c r="L167" s="3" t="s">
        <x:v>237</x:v>
      </x:c>
      <x:c r="M167" s="3" t="s">
        <x:v>172</x:v>
      </x:c>
      <x:c r="N167" s="3" t="s">
        <x:v>238</x:v>
      </x:c>
      <x:c r="O167" s="3" t="s">
        <x:v>239</x:v>
      </x:c>
      <x:c r="P167" s="3" t="s">
        <x:v>240</x:v>
      </x:c>
      <x:c r="Q167" s="3" t="s">
        <x:v>276</x:v>
      </x:c>
      <x:c r="R167" s="3" t="s">
        <x:v>176</x:v>
      </x:c>
      <x:c r="S167" s="3" t="s">
        <x:v>135</x:v>
      </x:c>
      <x:c r="T167" s="3" t="s">
        <x:v>135</x:v>
      </x:c>
      <x:c r="U167" s="3" t="s">
        <x:v>177</x:v>
      </x:c>
      <x:c r="V167" s="3" t="s">
        <x:v>178</x:v>
      </x:c>
      <x:c r="W167" s="3" t="s">
        <x:v>355</x:v>
      </x:c>
      <x:c r="X167" s="3" t="s">
        <x:v>180</x:v>
      </x:c>
      <x:c r="Y167" s="3" t="s">
        <x:v>356</x:v>
      </x:c>
      <x:c r="Z167" s="3" t="s">
        <x:v>182</x:v>
      </x:c>
      <x:c r="AA167" s="3" t="s">
        <x:v>118</x:v>
      </x:c>
      <x:c r="AB167" s="7" t="n">
        <x:v>46256.3854166667</x:v>
      </x:c>
      <x:c r="AC167" s="7" t="n">
        <x:v>46256.3895833333</x:v>
      </x:c>
      <x:c r="AD167" s="7" t="n">
        <x:v>46256.3951388889</x:v>
      </x:c>
      <x:c r="AE167" s="7" t="n">
        <x:v>46256.4055555556</x:v>
      </x:c>
      <x:c r="AF167" s="7" t="n">
        <x:v>46256.4451388889</x:v>
      </x:c>
      <x:c r="AG167" s="3" t="n">
        <x:v>29</x:v>
      </x:c>
      <x:c r="AH167" s="3" t="n">
        <x:v>49</x:v>
      </x:c>
      <x:c r="AI167" s="3" t="s">
        <x:v>135</x:v>
      </x:c>
      <x:c r="AJ167" s="3" t="s">
        <x:v>111</x:v>
      </x:c>
      <x:c r="AK167" s="3" t="n">
        <x:v>150</x:v>
      </x:c>
      <x:c r="AL167" s="3" t="n">
        <x:v>0</x:v>
      </x:c>
      <x:c r="AM167" s="8" t="n">
        <x:v>0.52</x:v>
      </x:c>
      <x:c r="AN167" s="3" t="n">
        <x:v>0</x:v>
      </x:c>
      <x:c r="AO167" s="3" t="s">
        <x:v>9</x:v>
      </x:c>
      <x:c r="AP167" s="3" t="s">
        <x:v>335</x:v>
      </x:c>
      <x:c r="AQ167" s="3" t="s">
        <x:v>361</x:v>
      </x:c>
      <x:c r="AR167" s="9" t="n">
        <x:v>743.3</x:v>
      </x:c>
      <x:c r="AS167" s="3" t="s">
        <x:v>121</x:v>
      </x:c>
      <x:c r="AT167" s="7" t="n">
        <x:v>46301.9166666667</x:v>
      </x:c>
    </x:row>
    <x:row r="168" ht="31.299999237060547" hidden="0">
      <x:c r="A168" s="3" t="s">
        <x:v>649</x:v>
      </x:c>
      <x:c r="B168" s="3" t="s">
        <x:v>433</x:v>
      </x:c>
      <x:c r="C168" s="3" t="s">
        <x:v>434</x:v>
      </x:c>
      <x:c r="D168" s="3" t="s">
        <x:v>435</x:v>
      </x:c>
      <x:c r="E168" s="3" t="s">
        <x:v>249</x:v>
      </x:c>
      <x:c r="F168" s="3" t="s">
        <x:v>149</x:v>
      </x:c>
      <x:c r="G168" s="3" t="s">
        <x:v>469</x:v>
      </x:c>
      <x:c r="H168" s="3" t="s">
        <x:v>301</x:v>
      </x:c>
      <x:c r="I168" s="3" t="s">
        <x:v>302</x:v>
      </x:c>
      <x:c r="J168" s="3" t="s">
        <x:v>303</x:v>
      </x:c>
      <x:c r="K168" s="3" t="s">
        <x:v>104</x:v>
      </x:c>
      <x:c r="L168" s="3" t="s">
        <x:v>437</x:v>
      </x:c>
      <x:c r="M168" s="3" t="s">
        <x:v>106</x:v>
      </x:c>
      <x:c r="N168" s="3" t="s">
        <x:v>438</x:v>
      </x:c>
      <x:c r="O168" s="3" t="s">
        <x:v>439</x:v>
      </x:c>
      <x:c r="P168" s="3" t="s">
        <x:v>440</x:v>
      </x:c>
      <x:c r="Q168" s="3" t="s">
        <x:v>441</x:v>
      </x:c>
      <x:c r="R168" s="3" t="s">
        <x:v>110</x:v>
      </x:c>
      <x:c r="S168" s="3" t="s">
        <x:v>111</x:v>
      </x:c>
      <x:c r="T168" s="3" t="s">
        <x:v>111</x:v>
      </x:c>
      <x:c r="U168" s="3" t="s">
        <x:v>112</x:v>
      </x:c>
      <x:c r="V168" s="3" t="s">
        <x:v>113</x:v>
      </x:c>
      <x:c r="W168" s="3" t="s">
        <x:v>114</x:v>
      </x:c>
      <x:c r="X168" s="3" t="s">
        <x:v>115</x:v>
      </x:c>
      <x:c r="Y168" s="3" t="s">
        <x:v>116</x:v>
      </x:c>
      <x:c r="Z168" s="3" t="s">
        <x:v>117</x:v>
      </x:c>
      <x:c r="AA168" s="3" t="s">
        <x:v>118</x:v>
      </x:c>
      <x:c r="AB168" s="7" t="n">
        <x:v>46256.4055555556</x:v>
      </x:c>
      <x:c r="AC168" s="7" t="n">
        <x:v>46256.4104166667</x:v>
      </x:c>
      <x:c r="AD168" s="7" t="n">
        <x:v>46256.4125</x:v>
      </x:c>
      <x:c r="AE168" s="7" t="n">
        <x:v>46256.4388888889</x:v>
      </x:c>
      <x:c r="AF168" s="7" t="n">
        <x:v>46256.4604166667</x:v>
      </x:c>
      <x:c r="AG168" s="3" t="n">
        <x:v>48</x:v>
      </x:c>
      <x:c r="AH168" s="3" t="n">
        <x:v>28</x:v>
      </x:c>
      <x:c r="AI168" s="3" t="s">
        <x:v>135</x:v>
      </x:c>
      <x:c r="AJ168" s="3" t="s">
        <x:v>135</x:v>
      </x:c>
      <x:c r="AK168" s="3" t="n">
        <x:v>120</x:v>
      </x:c>
      <x:c r="AL168" s="3" t="n">
        <x:v>0</x:v>
      </x:c>
      <x:c r="AM168" s="8" t="n">
        <x:v>0.6333</x:v>
      </x:c>
      <x:c r="AN168" s="3" t="n">
        <x:v>1</x:v>
      </x:c>
      <x:c r="AO168" s="3" t="s">
        <x:v>14</x:v>
      </x:c>
      <x:c r="AP168" s="3" t="s">
        <x:v>471</x:v>
      </x:c>
      <x:c r="AQ168" s="3" t="s">
        <x:v>562</x:v>
      </x:c>
      <x:c r="AR168" s="9" t="n">
        <x:v>677.6</x:v>
      </x:c>
      <x:c r="AS168" s="3" t="s">
        <x:v>185</x:v>
      </x:c>
      <x:c r="AT168" s="7" t="n">
        <x:v>46301.9166666667</x:v>
      </x:c>
    </x:row>
    <x:row r="169" ht="31.299999237060547" hidden="0">
      <x:c r="A169" s="3" t="s">
        <x:v>650</x:v>
      </x:c>
      <x:c r="B169" s="3" t="s">
        <x:v>146</x:v>
      </x:c>
      <x:c r="C169" s="3" t="s">
        <x:v>147</x:v>
      </x:c>
      <x:c r="D169" s="3" t="s">
        <x:v>148</x:v>
      </x:c>
      <x:c r="E169" s="3" t="s">
        <x:v>249</x:v>
      </x:c>
      <x:c r="F169" s="3" t="s">
        <x:v>99</x:v>
      </x:c>
      <x:c r="G169" s="3" t="s">
        <x:v>477</x:v>
      </x:c>
      <x:c r="H169" s="3" t="s">
        <x:v>343</x:v>
      </x:c>
      <x:c r="I169" s="3" t="s">
        <x:v>102</x:v>
      </x:c>
      <x:c r="J169" s="3" t="s">
        <x:v>103</x:v>
      </x:c>
      <x:c r="K169" s="3" t="s">
        <x:v>104</x:v>
      </x:c>
      <x:c r="L169" s="3" t="s">
        <x:v>151</x:v>
      </x:c>
      <x:c r="M169" s="3" t="s">
        <x:v>152</x:v>
      </x:c>
      <x:c r="N169" s="3" t="s">
        <x:v>153</x:v>
      </x:c>
      <x:c r="O169" s="3" t="s">
        <x:v>154</x:v>
      </x:c>
      <x:c r="P169" s="3" t="s">
        <x:v>155</x:v>
      </x:c>
      <x:c r="Q169" s="3" t="s">
        <x:v>270</x:v>
      </x:c>
      <x:c r="R169" s="3" t="s">
        <x:v>214</x:v>
      </x:c>
      <x:c r="S169" s="3" t="s">
        <x:v>135</x:v>
      </x:c>
      <x:c r="T169" s="3" t="s">
        <x:v>111</x:v>
      </x:c>
      <x:c r="U169" s="3" t="s">
        <x:v>215</x:v>
      </x:c>
      <x:c r="V169" s="3" t="s">
        <x:v>216</x:v>
      </x:c>
      <x:c r="W169" s="3" t="s">
        <x:v>429</x:v>
      </x:c>
      <x:c r="X169" s="3" t="s">
        <x:v>430</x:v>
      </x:c>
      <x:c r="Y169" s="3" t="s">
        <x:v>431</x:v>
      </x:c>
      <x:c r="Z169" s="3" t="s">
        <x:v>219</x:v>
      </x:c>
      <x:c r="AA169" s="3" t="s">
        <x:v>118</x:v>
      </x:c>
      <x:c r="AB169" s="7" t="n">
        <x:v>46256.425</x:v>
      </x:c>
      <x:c r="AC169" s="7" t="n">
        <x:v>46256.4277777778</x:v>
      </x:c>
      <x:c r="AD169" s="7" t="n">
        <x:v>46256.4298611111</x:v>
      </x:c>
      <x:c r="AE169" s="7" t="n">
        <x:v>46256.4520833333</x:v>
      </x:c>
      <x:c r="AF169" s="7" t="n">
        <x:v>46256.4868055556</x:v>
      </x:c>
      <x:c r="AG169" s="3" t="n">
        <x:v>39</x:v>
      </x:c>
      <x:c r="AH169" s="3" t="n">
        <x:v>46</x:v>
      </x:c>
      <x:c r="AI169" s="3" t="s">
        <x:v>135</x:v>
      </x:c>
      <x:c r="AJ169" s="3" t="s">
        <x:v>135</x:v>
      </x:c>
      <x:c r="AK169" s="3" t="n">
        <x:v>180</x:v>
      </x:c>
      <x:c r="AL169" s="3" t="n">
        <x:v>0</x:v>
      </x:c>
      <x:c r="AM169" s="8" t="n">
        <x:v>0.4722</x:v>
      </x:c>
      <x:c r="AN169" s="3" t="n">
        <x:v>2</x:v>
      </x:c>
      <x:c r="AO169" s="3" t="s">
        <x:v>14</x:v>
      </x:c>
      <x:c r="AP169" s="3" t="s">
        <x:v>573</x:v>
      </x:c>
      <x:c r="AQ169" s="3" t="s">
        <x:v>533</x:v>
      </x:c>
      <x:c r="AR169" s="9" t="n">
        <x:v>766.7</x:v>
      </x:c>
      <x:c r="AS169" s="3" t="s">
        <x:v>121</x:v>
      </x:c>
      <x:c r="AT169" s="7" t="n">
        <x:v>46301.9166666667</x:v>
      </x:c>
    </x:row>
    <x:row r="170" ht="31.299999237060547" hidden="0">
      <x:c r="A170" s="3" t="s">
        <x:v>651</x:v>
      </x:c>
      <x:c r="B170" s="3" t="s">
        <x:v>233</x:v>
      </x:c>
      <x:c r="C170" s="3" t="s">
        <x:v>234</x:v>
      </x:c>
      <x:c r="D170" s="3" t="s">
        <x:v>235</x:v>
      </x:c>
      <x:c r="E170" s="3" t="s">
        <x:v>249</x:v>
      </x:c>
      <x:c r="F170" s="3" t="s">
        <x:v>169</x:v>
      </x:c>
      <x:c r="G170" s="3" t="s">
        <x:v>484</x:v>
      </x:c>
      <x:c r="H170" s="3" t="s">
        <x:v>101</x:v>
      </x:c>
      <x:c r="I170" s="3" t="s">
        <x:v>102</x:v>
      </x:c>
      <x:c r="J170" s="3" t="s">
        <x:v>103</x:v>
      </x:c>
      <x:c r="K170" s="3" t="s">
        <x:v>104</x:v>
      </x:c>
      <x:c r="L170" s="3" t="s">
        <x:v>237</x:v>
      </x:c>
      <x:c r="M170" s="3" t="s">
        <x:v>172</x:v>
      </x:c>
      <x:c r="N170" s="3" t="s">
        <x:v>238</x:v>
      </x:c>
      <x:c r="O170" s="3" t="s">
        <x:v>239</x:v>
      </x:c>
      <x:c r="P170" s="3" t="s">
        <x:v>240</x:v>
      </x:c>
      <x:c r="Q170" s="3" t="s">
        <x:v>276</x:v>
      </x:c>
      <x:c r="R170" s="3" t="s">
        <x:v>156</x:v>
      </x:c>
      <x:c r="S170" s="3" t="s">
        <x:v>135</x:v>
      </x:c>
      <x:c r="T170" s="3" t="s">
        <x:v>111</x:v>
      </x:c>
      <x:c r="U170" s="3" t="s">
        <x:v>157</x:v>
      </x:c>
      <x:c r="V170" s="3" t="s">
        <x:v>158</x:v>
      </x:c>
      <x:c r="W170" s="3" t="s">
        <x:v>159</x:v>
      </x:c>
      <x:c r="X170" s="3" t="s">
        <x:v>160</x:v>
      </x:c>
      <x:c r="Y170" s="3" t="s">
        <x:v>360</x:v>
      </x:c>
      <x:c r="Z170" s="3" t="s">
        <x:v>162</x:v>
      </x:c>
      <x:c r="AA170" s="3" t="s">
        <x:v>118</x:v>
      </x:c>
      <x:c r="AB170" s="7" t="n">
        <x:v>46256.475</x:v>
      </x:c>
      <x:c r="AC170" s="7" t="n">
        <x:v>46256.4777777778</x:v>
      </x:c>
      <x:c r="AD170" s="7" t="n">
        <x:v>46256.4798611111</x:v>
      </x:c>
      <x:c r="AE170" s="7" t="n">
        <x:v>46256.4965277778</x:v>
      </x:c>
      <x:c r="AF170" s="7" t="n">
        <x:v>46256.5319444445</x:v>
      </x:c>
      <x:c r="AG170" s="3" t="n">
        <x:v>31</x:v>
      </x:c>
      <x:c r="AH170" s="3" t="n">
        <x:v>45</x:v>
      </x:c>
      <x:c r="AI170" s="3" t="s">
        <x:v>135</x:v>
      </x:c>
      <x:c r="AJ170" s="3" t="s">
        <x:v>111</x:v>
      </x:c>
      <x:c r="AK170" s="3" t="n">
        <x:v>150</x:v>
      </x:c>
      <x:c r="AL170" s="3" t="n">
        <x:v>0</x:v>
      </x:c>
      <x:c r="AM170" s="8" t="n">
        <x:v>0.5067</x:v>
      </x:c>
      <x:c r="AN170" s="3" t="n">
        <x:v>0</x:v>
      </x:c>
      <x:c r="AO170" s="3" t="s">
        <x:v>9</x:v>
      </x:c>
      <x:c r="AP170" s="3" t="s">
        <x:v>335</x:v>
      </x:c>
      <x:c r="AQ170" s="3" t="s">
        <x:v>361</x:v>
      </x:c>
      <x:c r="AR170" s="9" t="n">
        <x:v>723.5</x:v>
      </x:c>
      <x:c r="AS170" s="3" t="s">
        <x:v>121</x:v>
      </x:c>
      <x:c r="AT170" s="7" t="n">
        <x:v>46301.9166666667</x:v>
      </x:c>
    </x:row>
    <x:row r="171" ht="31.299999237060547" hidden="0">
      <x:c r="A171" s="3" t="s">
        <x:v>652</x:v>
      </x:c>
      <x:c r="B171" s="3" t="s">
        <x:v>146</x:v>
      </x:c>
      <x:c r="C171" s="3" t="s">
        <x:v>147</x:v>
      </x:c>
      <x:c r="D171" s="3" t="s">
        <x:v>148</x:v>
      </x:c>
      <x:c r="E171" s="3" t="s">
        <x:v>249</x:v>
      </x:c>
      <x:c r="F171" s="3" t="s">
        <x:v>99</x:v>
      </x:c>
      <x:c r="G171" s="3" t="s">
        <x:v>359</x:v>
      </x:c>
      <x:c r="H171" s="3" t="s">
        <x:v>101</x:v>
      </x:c>
      <x:c r="I171" s="3" t="s">
        <x:v>102</x:v>
      </x:c>
      <x:c r="J171" s="3" t="s">
        <x:v>103</x:v>
      </x:c>
      <x:c r="K171" s="3" t="s">
        <x:v>104</x:v>
      </x:c>
      <x:c r="L171" s="3" t="s">
        <x:v>151</x:v>
      </x:c>
      <x:c r="M171" s="3" t="s">
        <x:v>152</x:v>
      </x:c>
      <x:c r="N171" s="3" t="s">
        <x:v>153</x:v>
      </x:c>
      <x:c r="O171" s="3" t="s">
        <x:v>154</x:v>
      </x:c>
      <x:c r="P171" s="3" t="s">
        <x:v>155</x:v>
      </x:c>
      <x:c r="Q171" s="3" t="s">
        <x:v>270</x:v>
      </x:c>
      <x:c r="R171" s="3" t="s">
        <x:v>156</x:v>
      </x:c>
      <x:c r="S171" s="3" t="s">
        <x:v>135</x:v>
      </x:c>
      <x:c r="T171" s="3" t="s">
        <x:v>111</x:v>
      </x:c>
      <x:c r="U171" s="3" t="s">
        <x:v>157</x:v>
      </x:c>
      <x:c r="V171" s="3" t="s">
        <x:v>158</x:v>
      </x:c>
      <x:c r="W171" s="3" t="s">
        <x:v>159</x:v>
      </x:c>
      <x:c r="X171" s="3" t="s">
        <x:v>160</x:v>
      </x:c>
      <x:c r="Y171" s="3" t="s">
        <x:v>360</x:v>
      </x:c>
      <x:c r="Z171" s="3" t="s">
        <x:v>162</x:v>
      </x:c>
      <x:c r="AA171" s="3" t="s">
        <x:v>118</x:v>
      </x:c>
      <x:c r="AB171" s="7" t="n">
        <x:v>46256.5854166667</x:v>
      </x:c>
      <x:c r="AC171" s="7" t="n">
        <x:v>46256.5881944444</x:v>
      </x:c>
      <x:c r="AD171" s="7" t="n">
        <x:v>46256.5902777778</x:v>
      </x:c>
      <x:c r="AE171" s="7" t="n">
        <x:v>46256.6006944444</x:v>
      </x:c>
      <x:c r="AF171" s="7" t="n">
        <x:v>46256.6513888889</x:v>
      </x:c>
      <x:c r="AG171" s="3" t="n">
        <x:v>22</x:v>
      </x:c>
      <x:c r="AH171" s="3" t="n">
        <x:v>68</x:v>
      </x:c>
      <x:c r="AI171" s="3" t="s">
        <x:v>135</x:v>
      </x:c>
      <x:c r="AJ171" s="3" t="s">
        <x:v>135</x:v>
      </x:c>
      <x:c r="AK171" s="3" t="n">
        <x:v>180</x:v>
      </x:c>
      <x:c r="AL171" s="3" t="n">
        <x:v>0</x:v>
      </x:c>
      <x:c r="AM171" s="8" t="n">
        <x:v>0.5</x:v>
      </x:c>
      <x:c r="AN171" s="3" t="n">
        <x:v>1</x:v>
      </x:c>
      <x:c r="AO171" s="3" t="s">
        <x:v>9</x:v>
      </x:c>
      <x:c r="AP171" s="3" t="s">
        <x:v>500</x:v>
      </x:c>
      <x:c r="AQ171" s="3" t="s">
        <x:v>533</x:v>
      </x:c>
      <x:c r="AR171" s="9" t="n">
        <x:v>848.6</x:v>
      </x:c>
      <x:c r="AS171" s="3" t="s">
        <x:v>121</x:v>
      </x:c>
      <x:c r="AT171" s="7" t="n">
        <x:v>46301.9166666667</x:v>
      </x:c>
    </x:row>
    <x:row r="172" ht="31.299999237060547" hidden="0">
      <x:c r="A172" s="3" t="s">
        <x:v>653</x:v>
      </x:c>
      <x:c r="B172" s="3" t="s">
        <x:v>123</x:v>
      </x:c>
      <x:c r="C172" s="3" t="s">
        <x:v>124</x:v>
      </x:c>
      <x:c r="D172" s="3" t="s">
        <x:v>125</x:v>
      </x:c>
      <x:c r="E172" s="3" t="s">
        <x:v>249</x:v>
      </x:c>
      <x:c r="F172" s="3" t="s">
        <x:v>99</x:v>
      </x:c>
      <x:c r="G172" s="3" t="s">
        <x:v>507</x:v>
      </x:c>
      <x:c r="H172" s="3" t="s">
        <x:v>101</x:v>
      </x:c>
      <x:c r="I172" s="3" t="s">
        <x:v>102</x:v>
      </x:c>
      <x:c r="J172" s="3" t="s">
        <x:v>103</x:v>
      </x:c>
      <x:c r="K172" s="3" t="s">
        <x:v>104</x:v>
      </x:c>
      <x:c r="L172" s="3" t="s">
        <x:v>129</x:v>
      </x:c>
      <x:c r="M172" s="3" t="s">
        <x:v>130</x:v>
      </x:c>
      <x:c r="N172" s="3" t="s">
        <x:v>131</x:v>
      </x:c>
      <x:c r="O172" s="3" t="s">
        <x:v>132</x:v>
      </x:c>
      <x:c r="P172" s="3" t="s">
        <x:v>133</x:v>
      </x:c>
      <x:c r="Q172" s="3" t="s">
        <x:v>268</x:v>
      </x:c>
      <x:c r="R172" s="3" t="s">
        <x:v>373</x:v>
      </x:c>
      <x:c r="S172" s="3" t="s">
        <x:v>135</x:v>
      </x:c>
      <x:c r="T172" s="3" t="s">
        <x:v>111</x:v>
      </x:c>
      <x:c r="U172" s="3" t="s">
        <x:v>374</x:v>
      </x:c>
      <x:c r="V172" s="3" t="s">
        <x:v>178</x:v>
      </x:c>
      <x:c r="W172" s="3" t="s">
        <x:v>179</x:v>
      </x:c>
      <x:c r="X172" s="3" t="s">
        <x:v>180</x:v>
      </x:c>
      <x:c r="Y172" s="3" t="s">
        <x:v>414</x:v>
      </x:c>
      <x:c r="Z172" s="3" t="s">
        <x:v>375</x:v>
      </x:c>
      <x:c r="AA172" s="3" t="s">
        <x:v>118</x:v>
      </x:c>
      <x:c r="AB172" s="7" t="n">
        <x:v>46256.6090277778</x:v>
      </x:c>
      <x:c r="AC172" s="7" t="n">
        <x:v>46256.6104166667</x:v>
      </x:c>
      <x:c r="AD172" s="7" t="n">
        <x:v>46256.6145833333</x:v>
      </x:c>
      <x:c r="AE172" s="7" t="n">
        <x:v>46256.6368055556</x:v>
      </x:c>
      <x:c r="AF172" s="7" t="n">
        <x:v>46256.6805555556</x:v>
      </x:c>
      <x:c r="AG172" s="3" t="n">
        <x:v>40</x:v>
      </x:c>
      <x:c r="AH172" s="3" t="n">
        <x:v>60</x:v>
      </x:c>
      <x:c r="AI172" s="3" t="s">
        <x:v>135</x:v>
      </x:c>
      <x:c r="AJ172" s="3" t="s">
        <x:v>135</x:v>
      </x:c>
      <x:c r="AK172" s="3" t="n">
        <x:v>180</x:v>
      </x:c>
      <x:c r="AL172" s="3" t="n">
        <x:v>0</x:v>
      </x:c>
      <x:c r="AM172" s="8" t="n">
        <x:v>0.5556</x:v>
      </x:c>
      <x:c r="AN172" s="3" t="n">
        <x:v>0</x:v>
      </x:c>
      <x:c r="AO172" s="3" t="s">
        <x:v>9</x:v>
      </x:c>
      <x:c r="AP172" s="3" t="s">
        <x:v>142</x:v>
      </x:c>
      <x:c r="AQ172" s="3" t="s">
        <x:v>482</x:v>
      </x:c>
      <x:c r="AR172" s="9" t="n">
        <x:v>872</x:v>
      </x:c>
      <x:c r="AS172" s="3" t="s">
        <x:v>185</x:v>
      </x:c>
      <x:c r="AT172" s="7" t="n">
        <x:v>46301.9166666667</x:v>
      </x:c>
    </x:row>
    <x:row r="173" ht="31.299999237060547" hidden="0">
      <x:c r="A173" s="3" t="s">
        <x:v>654</x:v>
      </x:c>
      <x:c r="B173" s="3" t="s">
        <x:v>83</x:v>
      </x:c>
      <x:c r="C173" s="3" t="s">
        <x:v>96</x:v>
      </x:c>
      <x:c r="D173" s="3" t="s">
        <x:v>97</x:v>
      </x:c>
      <x:c r="E173" s="3" t="s">
        <x:v>249</x:v>
      </x:c>
      <x:c r="F173" s="3" t="s">
        <x:v>169</x:v>
      </x:c>
      <x:c r="G173" s="3" t="s">
        <x:v>655</x:v>
      </x:c>
      <x:c r="H173" s="3" t="s">
        <x:v>339</x:v>
      </x:c>
      <x:c r="I173" s="3" t="s">
        <x:v>102</x:v>
      </x:c>
      <x:c r="J173" s="3" t="s">
        <x:v>103</x:v>
      </x:c>
      <x:c r="K173" s="3" t="s">
        <x:v>104</x:v>
      </x:c>
      <x:c r="L173" s="3" t="s">
        <x:v>105</x:v>
      </x:c>
      <x:c r="M173" s="3" t="s">
        <x:v>106</x:v>
      </x:c>
      <x:c r="N173" s="3" t="s">
        <x:v>107</x:v>
      </x:c>
      <x:c r="O173" s="3" t="s">
        <x:v>108</x:v>
      </x:c>
      <x:c r="P173" s="3" t="s">
        <x:v>109</x:v>
      </x:c>
      <x:c r="Q173" s="3" t="s">
        <x:v>250</x:v>
      </x:c>
      <x:c r="R173" s="3" t="s">
        <x:v>110</x:v>
      </x:c>
      <x:c r="S173" s="3" t="s">
        <x:v>111</x:v>
      </x:c>
      <x:c r="T173" s="3" t="s">
        <x:v>111</x:v>
      </x:c>
      <x:c r="U173" s="3" t="s">
        <x:v>112</x:v>
      </x:c>
      <x:c r="V173" s="3" t="s">
        <x:v>113</x:v>
      </x:c>
      <x:c r="W173" s="3" t="s">
        <x:v>419</x:v>
      </x:c>
      <x:c r="X173" s="3" t="s">
        <x:v>115</x:v>
      </x:c>
      <x:c r="Y173" s="3" t="s">
        <x:v>420</x:v>
      </x:c>
      <x:c r="Z173" s="3" t="s">
        <x:v>117</x:v>
      </x:c>
      <x:c r="AA173" s="3" t="s">
        <x:v>118</x:v>
      </x:c>
      <x:c r="AB173" s="7" t="n">
        <x:v>46257.3638888889</x:v>
      </x:c>
      <x:c r="AC173" s="7" t="n">
        <x:v>46257.3659722222</x:v>
      </x:c>
      <x:c r="AD173" s="7" t="n">
        <x:v>46257.3715277778</x:v>
      </x:c>
      <x:c r="AE173" s="7" t="n">
        <x:v>46257.3861111111</x:v>
      </x:c>
      <x:c r="AF173" s="7" t="n">
        <x:v>46257.4104166667</x:v>
      </x:c>
      <x:c r="AG173" s="3" t="n">
        <x:v>32</x:v>
      </x:c>
      <x:c r="AH173" s="3" t="n">
        <x:v>31</x:v>
      </x:c>
      <x:c r="AI173" s="3" t="s">
        <x:v>111</x:v>
      </x:c>
      <x:c r="AJ173" s="3" t="s">
        <x:v>111</x:v>
      </x:c>
      <x:c r="AK173" s="3" t="n">
        <x:v>60</x:v>
      </x:c>
      <x:c r="AL173" s="3" t="n">
        <x:v>0</x:v>
      </x:c>
      <x:c r="AM173" s="8" t="n">
        <x:v>1.05</x:v>
      </x:c>
      <x:c r="AN173" s="3" t="n">
        <x:v>0</x:v>
      </x:c>
      <x:c r="AO173" s="3" t="s">
        <x:v>24</x:v>
      </x:c>
      <x:c r="AP173" s="3" t="s">
        <x:v>421</x:v>
      </x:c>
      <x:c r="AQ173" s="3" t="s">
        <x:v>422</x:v>
      </x:c>
      <x:c r="AR173" s="9" t="n">
        <x:v>947.2</x:v>
      </x:c>
      <x:c r="AS173" s="3" t="s">
        <x:v>185</x:v>
      </x:c>
      <x:c r="AT173" s="7" t="n">
        <x:v>46301.9166666667</x:v>
      </x:c>
    </x:row>
    <x:row r="174" ht="31.299999237060547" hidden="0">
      <x:c r="A174" s="3" t="s">
        <x:v>656</x:v>
      </x:c>
      <x:c r="B174" s="3" t="s">
        <x:v>397</x:v>
      </x:c>
      <x:c r="C174" s="3" t="s">
        <x:v>398</x:v>
      </x:c>
      <x:c r="D174" s="3" t="s">
        <x:v>399</x:v>
      </x:c>
      <x:c r="E174" s="3" t="s">
        <x:v>249</x:v>
      </x:c>
      <x:c r="F174" s="3" t="s">
        <x:v>149</x:v>
      </x:c>
      <x:c r="G174" s="3" t="s">
        <x:v>657</x:v>
      </x:c>
      <x:c r="H174" s="3" t="s">
        <x:v>301</x:v>
      </x:c>
      <x:c r="I174" s="3" t="s">
        <x:v>302</x:v>
      </x:c>
      <x:c r="J174" s="3" t="s">
        <x:v>303</x:v>
      </x:c>
      <x:c r="K174" s="3" t="s">
        <x:v>104</x:v>
      </x:c>
      <x:c r="L174" s="3" t="s">
        <x:v>401</x:v>
      </x:c>
      <x:c r="M174" s="3" t="s">
        <x:v>402</x:v>
      </x:c>
      <x:c r="N174" s="3" t="s">
        <x:v>403</x:v>
      </x:c>
      <x:c r="O174" s="3" t="s">
        <x:v>404</x:v>
      </x:c>
      <x:c r="P174" s="3" t="s">
        <x:v>405</x:v>
      </x:c>
      <x:c r="Q174" s="3" t="s">
        <x:v>406</x:v>
      </x:c>
      <x:c r="R174" s="3" t="s">
        <x:v>330</x:v>
      </x:c>
      <x:c r="S174" s="3" t="s">
        <x:v>135</x:v>
      </x:c>
      <x:c r="T174" s="3" t="s">
        <x:v>111</x:v>
      </x:c>
      <x:c r="U174" s="3" t="s">
        <x:v>331</x:v>
      </x:c>
      <x:c r="V174" s="3" t="s">
        <x:v>178</x:v>
      </x:c>
      <x:c r="W174" s="3" t="s">
        <x:v>355</x:v>
      </x:c>
      <x:c r="X174" s="3" t="s">
        <x:v>180</x:v>
      </x:c>
      <x:c r="Y174" s="3" t="s">
        <x:v>356</x:v>
      </x:c>
      <x:c r="Z174" s="3" t="s">
        <x:v>334</x:v>
      </x:c>
      <x:c r="AA174" s="3" t="s">
        <x:v>118</x:v>
      </x:c>
      <x:c r="AB174" s="7" t="n">
        <x:v>46257.4138888889</x:v>
      </x:c>
      <x:c r="AC174" s="7" t="n">
        <x:v>46257.4166666667</x:v>
      </x:c>
      <x:c r="AD174" s="7" t="n">
        <x:v>46257.41875</x:v>
      </x:c>
      <x:c r="AE174" s="7" t="n">
        <x:v>46257.4409722222</x:v>
      </x:c>
      <x:c r="AF174" s="7" t="n">
        <x:v>46257.4659722222</x:v>
      </x:c>
      <x:c r="AG174" s="3" t="n">
        <x:v>39</x:v>
      </x:c>
      <x:c r="AH174" s="3" t="n">
        <x:v>27</x:v>
      </x:c>
      <x:c r="AI174" s="3" t="s">
        <x:v>135</x:v>
      </x:c>
      <x:c r="AJ174" s="3" t="s">
        <x:v>135</x:v>
      </x:c>
      <x:c r="AK174" s="3" t="n">
        <x:v>180</x:v>
      </x:c>
      <x:c r="AL174" s="3" t="n">
        <x:v>0</x:v>
      </x:c>
      <x:c r="AM174" s="8" t="n">
        <x:v>0.3667</x:v>
      </x:c>
      <x:c r="AN174" s="3" t="n">
        <x:v>0</x:v>
      </x:c>
      <x:c r="AO174" s="3" t="s">
        <x:v>9</x:v>
      </x:c>
      <x:c r="AP174" s="3" t="s">
        <x:v>142</x:v>
      </x:c>
      <x:c r="AQ174" s="3" t="s">
        <x:v>408</x:v>
      </x:c>
      <x:c r="AR174" s="9" t="n">
        <x:v>629.9</x:v>
      </x:c>
      <x:c r="AS174" s="3" t="s">
        <x:v>121</x:v>
      </x:c>
      <x:c r="AT174" s="7" t="n">
        <x:v>46301.9166666667</x:v>
      </x:c>
    </x:row>
    <x:row r="175" ht="31.299999237060547" hidden="0">
      <x:c r="A175" s="3" t="s">
        <x:v>658</x:v>
      </x:c>
      <x:c r="B175" s="3" t="s">
        <x:v>146</x:v>
      </x:c>
      <x:c r="C175" s="3" t="s">
        <x:v>147</x:v>
      </x:c>
      <x:c r="D175" s="3" t="s">
        <x:v>148</x:v>
      </x:c>
      <x:c r="E175" s="3" t="s">
        <x:v>249</x:v>
      </x:c>
      <x:c r="F175" s="3" t="s">
        <x:v>127</x:v>
      </x:c>
      <x:c r="G175" s="3" t="s">
        <x:v>354</x:v>
      </x:c>
      <x:c r="H175" s="3" t="s">
        <x:v>101</x:v>
      </x:c>
      <x:c r="I175" s="3" t="s">
        <x:v>102</x:v>
      </x:c>
      <x:c r="J175" s="3" t="s">
        <x:v>103</x:v>
      </x:c>
      <x:c r="K175" s="3" t="s">
        <x:v>104</x:v>
      </x:c>
      <x:c r="L175" s="3" t="s">
        <x:v>151</x:v>
      </x:c>
      <x:c r="M175" s="3" t="s">
        <x:v>152</x:v>
      </x:c>
      <x:c r="N175" s="3" t="s">
        <x:v>153</x:v>
      </x:c>
      <x:c r="O175" s="3" t="s">
        <x:v>154</x:v>
      </x:c>
      <x:c r="P175" s="3" t="s">
        <x:v>155</x:v>
      </x:c>
      <x:c r="Q175" s="3" t="s">
        <x:v>270</x:v>
      </x:c>
      <x:c r="R175" s="3" t="s">
        <x:v>176</x:v>
      </x:c>
      <x:c r="S175" s="3" t="s">
        <x:v>135</x:v>
      </x:c>
      <x:c r="T175" s="3" t="s">
        <x:v>135</x:v>
      </x:c>
      <x:c r="U175" s="3" t="s">
        <x:v>177</x:v>
      </x:c>
      <x:c r="V175" s="3" t="s">
        <x:v>178</x:v>
      </x:c>
      <x:c r="W175" s="3" t="s">
        <x:v>355</x:v>
      </x:c>
      <x:c r="X175" s="3" t="s">
        <x:v>180</x:v>
      </x:c>
      <x:c r="Y175" s="3" t="s">
        <x:v>356</x:v>
      </x:c>
      <x:c r="Z175" s="3" t="s">
        <x:v>182</x:v>
      </x:c>
      <x:c r="AA175" s="3" t="s">
        <x:v>118</x:v>
      </x:c>
      <x:c r="AB175" s="7" t="n">
        <x:v>46257.475</x:v>
      </x:c>
      <x:c r="AC175" s="7" t="n">
        <x:v>46257.4763888889</x:v>
      </x:c>
      <x:c r="AD175" s="7" t="n">
        <x:v>46257.4819444444</x:v>
      </x:c>
      <x:c r="AE175" s="7" t="n">
        <x:v>46257.4888888889</x:v>
      </x:c>
      <x:c r="AF175" s="7" t="n">
        <x:v>46257.5027777778</x:v>
      </x:c>
      <x:c r="AG175" s="3" t="n">
        <x:v>20</x:v>
      </x:c>
      <x:c r="AH175" s="3" t="n">
        <x:v>12</x:v>
      </x:c>
      <x:c r="AI175" s="3" t="s">
        <x:v>135</x:v>
      </x:c>
      <x:c r="AJ175" s="3" t="s">
        <x:v>135</x:v>
      </x:c>
      <x:c r="AK175" s="3" t="n">
        <x:v>180</x:v>
      </x:c>
      <x:c r="AL175" s="3" t="n">
        <x:v>0</x:v>
      </x:c>
      <x:c r="AM175" s="8" t="n">
        <x:v>0.1778</x:v>
      </x:c>
      <x:c r="AN175" s="3" t="n">
        <x:v>0</x:v>
      </x:c>
      <x:c r="AO175" s="3" t="s">
        <x:v>9</x:v>
      </x:c>
      <x:c r="AP175" s="3" t="s">
        <x:v>142</x:v>
      </x:c>
      <x:c r="AQ175" s="3" t="s">
        <x:v>459</x:v>
      </x:c>
      <x:c r="AR175" s="9" t="n">
        <x:v>436.4</x:v>
      </x:c>
      <x:c r="AS175" s="3" t="s">
        <x:v>144</x:v>
      </x:c>
      <x:c r="AT175" s="7" t="n">
        <x:v>46301.9166666667</x:v>
      </x:c>
    </x:row>
    <x:row r="176" ht="31.299999237060547" hidden="0">
      <x:c r="A176" s="3" t="s">
        <x:v>659</x:v>
      </x:c>
      <x:c r="B176" s="3" t="s">
        <x:v>397</x:v>
      </x:c>
      <x:c r="C176" s="3" t="s">
        <x:v>398</x:v>
      </x:c>
      <x:c r="D176" s="3" t="s">
        <x:v>399</x:v>
      </x:c>
      <x:c r="E176" s="3" t="s">
        <x:v>249</x:v>
      </x:c>
      <x:c r="F176" s="3" t="s">
        <x:v>99</x:v>
      </x:c>
      <x:c r="G176" s="3" t="s">
        <x:v>469</x:v>
      </x:c>
      <x:c r="H176" s="3" t="s">
        <x:v>301</x:v>
      </x:c>
      <x:c r="I176" s="3" t="s">
        <x:v>302</x:v>
      </x:c>
      <x:c r="J176" s="3" t="s">
        <x:v>303</x:v>
      </x:c>
      <x:c r="K176" s="3" t="s">
        <x:v>104</x:v>
      </x:c>
      <x:c r="L176" s="3" t="s">
        <x:v>401</x:v>
      </x:c>
      <x:c r="M176" s="3" t="s">
        <x:v>402</x:v>
      </x:c>
      <x:c r="N176" s="3" t="s">
        <x:v>403</x:v>
      </x:c>
      <x:c r="O176" s="3" t="s">
        <x:v>404</x:v>
      </x:c>
      <x:c r="P176" s="3" t="s">
        <x:v>405</x:v>
      </x:c>
      <x:c r="Q176" s="3" t="s">
        <x:v>406</x:v>
      </x:c>
      <x:c r="R176" s="3" t="s">
        <x:v>110</x:v>
      </x:c>
      <x:c r="S176" s="3" t="s">
        <x:v>111</x:v>
      </x:c>
      <x:c r="T176" s="3" t="s">
        <x:v>111</x:v>
      </x:c>
      <x:c r="U176" s="3" t="s">
        <x:v>112</x:v>
      </x:c>
      <x:c r="V176" s="3" t="s">
        <x:v>113</x:v>
      </x:c>
      <x:c r="W176" s="3" t="s">
        <x:v>419</x:v>
      </x:c>
      <x:c r="X176" s="3" t="s">
        <x:v>115</x:v>
      </x:c>
      <x:c r="Y176" s="3" t="s">
        <x:v>420</x:v>
      </x:c>
      <x:c r="Z176" s="3" t="s">
        <x:v>117</x:v>
      </x:c>
      <x:c r="AA176" s="3" t="s">
        <x:v>118</x:v>
      </x:c>
      <x:c r="AB176" s="7" t="n">
        <x:v>46257.5215277778</x:v>
      </x:c>
      <x:c r="AC176" s="7" t="n">
        <x:v>46257.5236111111</x:v>
      </x:c>
      <x:c r="AD176" s="7" t="n">
        <x:v>46257.5263888889</x:v>
      </x:c>
      <x:c r="AE176" s="7" t="n">
        <x:v>46257.5604166667</x:v>
      </x:c>
      <x:c r="AF176" s="7" t="n">
        <x:v>46257.5993055556</x:v>
      </x:c>
      <x:c r="AG176" s="3" t="n">
        <x:v>56</x:v>
      </x:c>
      <x:c r="AH176" s="3" t="n">
        <x:v>51</x:v>
      </x:c>
      <x:c r="AI176" s="3" t="s">
        <x:v>135</x:v>
      </x:c>
      <x:c r="AJ176" s="3" t="s">
        <x:v>135</x:v>
      </x:c>
      <x:c r="AK176" s="3" t="n">
        <x:v>120</x:v>
      </x:c>
      <x:c r="AL176" s="3" t="n">
        <x:v>0</x:v>
      </x:c>
      <x:c r="AM176" s="8" t="n">
        <x:v>0.8917</x:v>
      </x:c>
      <x:c r="AN176" s="3" t="n">
        <x:v>1</x:v>
      </x:c>
      <x:c r="AO176" s="3" t="s">
        <x:v>19</x:v>
      </x:c>
      <x:c r="AP176" s="3" t="s">
        <x:v>660</x:v>
      </x:c>
      <x:c r="AQ176" s="3" t="s">
        <x:v>539</x:v>
      </x:c>
      <x:c r="AR176" s="9" t="n">
        <x:v>879.2</x:v>
      </x:c>
      <x:c r="AS176" s="3" t="s">
        <x:v>185</x:v>
      </x:c>
      <x:c r="AT176" s="7" t="n">
        <x:v>46301.9166666667</x:v>
      </x:c>
    </x:row>
    <x:row r="177" ht="31.299999237060547" hidden="0">
      <x:c r="A177" s="3" t="s">
        <x:v>661</x:v>
      </x:c>
      <x:c r="B177" s="3" t="s">
        <x:v>233</x:v>
      </x:c>
      <x:c r="C177" s="3" t="s">
        <x:v>234</x:v>
      </x:c>
      <x:c r="D177" s="3" t="s">
        <x:v>235</x:v>
      </x:c>
      <x:c r="E177" s="3" t="s">
        <x:v>249</x:v>
      </x:c>
      <x:c r="F177" s="3" t="s">
        <x:v>99</x:v>
      </x:c>
      <x:c r="G177" s="3" t="s">
        <x:v>354</x:v>
      </x:c>
      <x:c r="H177" s="3" t="s">
        <x:v>101</x:v>
      </x:c>
      <x:c r="I177" s="3" t="s">
        <x:v>102</x:v>
      </x:c>
      <x:c r="J177" s="3" t="s">
        <x:v>103</x:v>
      </x:c>
      <x:c r="K177" s="3" t="s">
        <x:v>104</x:v>
      </x:c>
      <x:c r="L177" s="3" t="s">
        <x:v>237</x:v>
      </x:c>
      <x:c r="M177" s="3" t="s">
        <x:v>172</x:v>
      </x:c>
      <x:c r="N177" s="3" t="s">
        <x:v>238</x:v>
      </x:c>
      <x:c r="O177" s="3" t="s">
        <x:v>239</x:v>
      </x:c>
      <x:c r="P177" s="3" t="s">
        <x:v>240</x:v>
      </x:c>
      <x:c r="Q177" s="3" t="s">
        <x:v>276</x:v>
      </x:c>
      <x:c r="R177" s="3" t="s">
        <x:v>176</x:v>
      </x:c>
      <x:c r="S177" s="3" t="s">
        <x:v>135</x:v>
      </x:c>
      <x:c r="T177" s="3" t="s">
        <x:v>135</x:v>
      </x:c>
      <x:c r="U177" s="3" t="s">
        <x:v>177</x:v>
      </x:c>
      <x:c r="V177" s="3" t="s">
        <x:v>178</x:v>
      </x:c>
      <x:c r="W177" s="3" t="s">
        <x:v>355</x:v>
      </x:c>
      <x:c r="X177" s="3" t="s">
        <x:v>180</x:v>
      </x:c>
      <x:c r="Y177" s="3" t="s">
        <x:v>356</x:v>
      </x:c>
      <x:c r="Z177" s="3" t="s">
        <x:v>182</x:v>
      </x:c>
      <x:c r="AA177" s="3" t="s">
        <x:v>118</x:v>
      </x:c>
      <x:c r="AB177" s="7" t="n">
        <x:v>46257.5638888889</x:v>
      </x:c>
      <x:c r="AC177" s="7" t="n">
        <x:v>46257.5680555556</x:v>
      </x:c>
      <x:c r="AD177" s="7" t="n">
        <x:v>46257.5729166667</x:v>
      </x:c>
      <x:c r="AE177" s="7" t="n">
        <x:v>46257.5875</x:v>
      </x:c>
      <x:c r="AF177" s="7" t="n">
        <x:v>46257.6298611111</x:v>
      </x:c>
      <x:c r="AG177" s="3" t="n">
        <x:v>34</x:v>
      </x:c>
      <x:c r="AH177" s="3" t="n">
        <x:v>54</x:v>
      </x:c>
      <x:c r="AI177" s="3" t="s">
        <x:v>135</x:v>
      </x:c>
      <x:c r="AJ177" s="3" t="s">
        <x:v>111</x:v>
      </x:c>
      <x:c r="AK177" s="3" t="n">
        <x:v>150</x:v>
      </x:c>
      <x:c r="AL177" s="3" t="n">
        <x:v>0</x:v>
      </x:c>
      <x:c r="AM177" s="8" t="n">
        <x:v>0.5867</x:v>
      </x:c>
      <x:c r="AN177" s="3" t="n">
        <x:v>1</x:v>
      </x:c>
      <x:c r="AO177" s="3" t="s">
        <x:v>9</x:v>
      </x:c>
      <x:c r="AP177" s="3" t="s">
        <x:v>584</x:v>
      </x:c>
      <x:c r="AQ177" s="3" t="s">
        <x:v>501</x:v>
      </x:c>
      <x:c r="AR177" s="9" t="n">
        <x:v>801.8</x:v>
      </x:c>
      <x:c r="AS177" s="3" t="s">
        <x:v>121</x:v>
      </x:c>
      <x:c r="AT177" s="7" t="n">
        <x:v>46301.9166666667</x:v>
      </x:c>
    </x:row>
    <x:row r="178" ht="31.299999237060547" hidden="0">
      <x:c r="A178" s="3" t="s">
        <x:v>662</x:v>
      </x:c>
      <x:c r="B178" s="3" t="s">
        <x:v>297</x:v>
      </x:c>
      <x:c r="C178" s="3" t="s">
        <x:v>298</x:v>
      </x:c>
      <x:c r="D178" s="3" t="s">
        <x:v>299</x:v>
      </x:c>
      <x:c r="E178" s="3" t="s">
        <x:v>249</x:v>
      </x:c>
      <x:c r="F178" s="3" t="s">
        <x:v>169</x:v>
      </x:c>
      <x:c r="G178" s="3" t="s">
        <x:v>657</x:v>
      </x:c>
      <x:c r="H178" s="3" t="s">
        <x:v>301</x:v>
      </x:c>
      <x:c r="I178" s="3" t="s">
        <x:v>302</x:v>
      </x:c>
      <x:c r="J178" s="3" t="s">
        <x:v>303</x:v>
      </x:c>
      <x:c r="K178" s="3" t="s">
        <x:v>104</x:v>
      </x:c>
      <x:c r="L178" s="3" t="s">
        <x:v>304</x:v>
      </x:c>
      <x:c r="M178" s="3" t="s">
        <x:v>305</x:v>
      </x:c>
      <x:c r="N178" s="3" t="s">
        <x:v>306</x:v>
      </x:c>
      <x:c r="O178" s="3" t="s">
        <x:v>307</x:v>
      </x:c>
      <x:c r="P178" s="3" t="s">
        <x:v>308</x:v>
      </x:c>
      <x:c r="Q178" s="3" t="s">
        <x:v>309</x:v>
      </x:c>
      <x:c r="R178" s="3" t="s">
        <x:v>330</x:v>
      </x:c>
      <x:c r="S178" s="3" t="s">
        <x:v>135</x:v>
      </x:c>
      <x:c r="T178" s="3" t="s">
        <x:v>111</x:v>
      </x:c>
      <x:c r="U178" s="3" t="s">
        <x:v>331</x:v>
      </x:c>
      <x:c r="V178" s="3" t="s">
        <x:v>178</x:v>
      </x:c>
      <x:c r="W178" s="3" t="s">
        <x:v>332</x:v>
      </x:c>
      <x:c r="X178" s="3" t="s">
        <x:v>180</x:v>
      </x:c>
      <x:c r="Y178" s="3" t="s">
        <x:v>333</x:v>
      </x:c>
      <x:c r="Z178" s="3" t="s">
        <x:v>334</x:v>
      </x:c>
      <x:c r="AA178" s="3" t="s">
        <x:v>118</x:v>
      </x:c>
      <x:c r="AB178" s="7" t="n">
        <x:v>46257.7493055556</x:v>
      </x:c>
      <x:c r="AC178" s="7" t="n">
        <x:v>46257.7534722222</x:v>
      </x:c>
      <x:c r="AD178" s="7" t="n">
        <x:v>46257.7583333333</x:v>
      </x:c>
      <x:c r="AE178" s="7" t="n">
        <x:v>46257.7729166667</x:v>
      </x:c>
      <x:c r="AF178" s="7" t="n">
        <x:v>46257.8180555556</x:v>
      </x:c>
      <x:c r="AG178" s="3" t="n">
        <x:v>34</x:v>
      </x:c>
      <x:c r="AH178" s="3" t="n">
        <x:v>55</x:v>
      </x:c>
      <x:c r="AI178" s="3" t="s">
        <x:v>135</x:v>
      </x:c>
      <x:c r="AJ178" s="3" t="s">
        <x:v>111</x:v>
      </x:c>
      <x:c r="AK178" s="3" t="n">
        <x:v>180</x:v>
      </x:c>
      <x:c r="AL178" s="3" t="n">
        <x:v>0</x:v>
      </x:c>
      <x:c r="AM178" s="8" t="n">
        <x:v>0.4944</x:v>
      </x:c>
      <x:c r="AN178" s="3" t="n">
        <x:v>0</x:v>
      </x:c>
      <x:c r="AO178" s="3" t="s">
        <x:v>9</x:v>
      </x:c>
      <x:c r="AP178" s="3" t="s">
        <x:v>335</x:v>
      </x:c>
      <x:c r="AQ178" s="3" t="s">
        <x:v>395</x:v>
      </x:c>
      <x:c r="AR178" s="9" t="n">
        <x:v>1189</x:v>
      </x:c>
      <x:c r="AS178" s="3" t="s">
        <x:v>121</x:v>
      </x:c>
      <x:c r="AT178" s="7" t="n">
        <x:v>46301.9166666667</x:v>
      </x:c>
    </x:row>
    <x:row r="179" ht="31.299999237060547" hidden="0">
      <x:c r="A179" s="3" t="s">
        <x:v>663</x:v>
      </x:c>
      <x:c r="B179" s="3" t="s">
        <x:v>233</x:v>
      </x:c>
      <x:c r="C179" s="3" t="s">
        <x:v>234</x:v>
      </x:c>
      <x:c r="D179" s="3" t="s">
        <x:v>235</x:v>
      </x:c>
      <x:c r="E179" s="3" t="s">
        <x:v>249</x:v>
      </x:c>
      <x:c r="F179" s="3" t="s">
        <x:v>127</x:v>
      </x:c>
      <x:c r="G179" s="3" t="s">
        <x:v>507</x:v>
      </x:c>
      <x:c r="H179" s="3" t="s">
        <x:v>101</x:v>
      </x:c>
      <x:c r="I179" s="3" t="s">
        <x:v>102</x:v>
      </x:c>
      <x:c r="J179" s="3" t="s">
        <x:v>103</x:v>
      </x:c>
      <x:c r="K179" s="3" t="s">
        <x:v>104</x:v>
      </x:c>
      <x:c r="L179" s="3" t="s">
        <x:v>237</x:v>
      </x:c>
      <x:c r="M179" s="3" t="s">
        <x:v>172</x:v>
      </x:c>
      <x:c r="N179" s="3" t="s">
        <x:v>238</x:v>
      </x:c>
      <x:c r="O179" s="3" t="s">
        <x:v>239</x:v>
      </x:c>
      <x:c r="P179" s="3" t="s">
        <x:v>240</x:v>
      </x:c>
      <x:c r="Q179" s="3" t="s">
        <x:v>276</x:v>
      </x:c>
      <x:c r="R179" s="3" t="s">
        <x:v>373</x:v>
      </x:c>
      <x:c r="S179" s="3" t="s">
        <x:v>135</x:v>
      </x:c>
      <x:c r="T179" s="3" t="s">
        <x:v>111</x:v>
      </x:c>
      <x:c r="U179" s="3" t="s">
        <x:v>374</x:v>
      </x:c>
      <x:c r="V179" s="3" t="s">
        <x:v>178</x:v>
      </x:c>
      <x:c r="W179" s="3" t="s">
        <x:v>179</x:v>
      </x:c>
      <x:c r="X179" s="3" t="s">
        <x:v>180</x:v>
      </x:c>
      <x:c r="Y179" s="3" t="s">
        <x:v>414</x:v>
      </x:c>
      <x:c r="Z179" s="3" t="s">
        <x:v>375</x:v>
      </x:c>
      <x:c r="AA179" s="3" t="s">
        <x:v>118</x:v>
      </x:c>
      <x:c r="AB179" s="7" t="n">
        <x:v>46257.7868055556</x:v>
      </x:c>
      <x:c r="AC179" s="7" t="n">
        <x:v>46257.7902777778</x:v>
      </x:c>
      <x:c r="AD179" s="7" t="n">
        <x:v>46257.7951388889</x:v>
      </x:c>
      <x:c r="AE179" s="7" t="n">
        <x:v>46257.8076388889</x:v>
      </x:c>
      <x:c r="AF179" s="7" t="n">
        <x:v>46257.8513888889</x:v>
      </x:c>
      <x:c r="AG179" s="3" t="n">
        <x:v>30</x:v>
      </x:c>
      <x:c r="AH179" s="3" t="n">
        <x:v>60</x:v>
      </x:c>
      <x:c r="AI179" s="3" t="s">
        <x:v>135</x:v>
      </x:c>
      <x:c r="AJ179" s="3" t="s">
        <x:v>111</x:v>
      </x:c>
      <x:c r="AK179" s="3" t="n">
        <x:v>150</x:v>
      </x:c>
      <x:c r="AL179" s="3" t="n">
        <x:v>0</x:v>
      </x:c>
      <x:c r="AM179" s="8" t="n">
        <x:v>0.6</x:v>
      </x:c>
      <x:c r="AN179" s="3" t="n">
        <x:v>1</x:v>
      </x:c>
      <x:c r="AO179" s="3" t="s">
        <x:v>14</x:v>
      </x:c>
      <x:c r="AP179" s="3" t="s">
        <x:v>664</x:v>
      </x:c>
      <x:c r="AQ179" s="3" t="s">
        <x:v>501</x:v>
      </x:c>
      <x:c r="AR179" s="9" t="n">
        <x:v>827</x:v>
      </x:c>
      <x:c r="AS179" s="3" t="s">
        <x:v>121</x:v>
      </x:c>
      <x:c r="AT179" s="7" t="n">
        <x:v>46301.9166666667</x:v>
      </x:c>
    </x:row>
    <x:row r="180" ht="31.299999237060547" hidden="0">
      <x:c r="A180" s="3" t="s">
        <x:v>665</x:v>
      </x:c>
      <x:c r="B180" s="3" t="s">
        <x:v>397</x:v>
      </x:c>
      <x:c r="C180" s="3" t="s">
        <x:v>398</x:v>
      </x:c>
      <x:c r="D180" s="3" t="s">
        <x:v>399</x:v>
      </x:c>
      <x:c r="E180" s="3" t="s">
        <x:v>249</x:v>
      </x:c>
      <x:c r="F180" s="3" t="s">
        <x:v>99</x:v>
      </x:c>
      <x:c r="G180" s="3" t="s">
        <x:v>300</x:v>
      </x:c>
      <x:c r="H180" s="3" t="s">
        <x:v>301</x:v>
      </x:c>
      <x:c r="I180" s="3" t="s">
        <x:v>302</x:v>
      </x:c>
      <x:c r="J180" s="3" t="s">
        <x:v>303</x:v>
      </x:c>
      <x:c r="K180" s="3" t="s">
        <x:v>104</x:v>
      </x:c>
      <x:c r="L180" s="3" t="s">
        <x:v>401</x:v>
      </x:c>
      <x:c r="M180" s="3" t="s">
        <x:v>402</x:v>
      </x:c>
      <x:c r="N180" s="3" t="s">
        <x:v>403</x:v>
      </x:c>
      <x:c r="O180" s="3" t="s">
        <x:v>404</x:v>
      </x:c>
      <x:c r="P180" s="3" t="s">
        <x:v>405</x:v>
      </x:c>
      <x:c r="Q180" s="3" t="s">
        <x:v>406</x:v>
      </x:c>
      <x:c r="R180" s="3" t="s">
        <x:v>310</x:v>
      </x:c>
      <x:c r="S180" s="3" t="s">
        <x:v>135</x:v>
      </x:c>
      <x:c r="T180" s="3" t="s">
        <x:v>111</x:v>
      </x:c>
      <x:c r="U180" s="3" t="s">
        <x:v>311</x:v>
      </x:c>
      <x:c r="V180" s="3" t="s">
        <x:v>312</x:v>
      </x:c>
      <x:c r="W180" s="3" t="s">
        <x:v>382</x:v>
      </x:c>
      <x:c r="X180" s="3" t="s">
        <x:v>314</x:v>
      </x:c>
      <x:c r="Y180" s="3" t="s">
        <x:v>383</x:v>
      </x:c>
      <x:c r="Z180" s="3" t="s">
        <x:v>316</x:v>
      </x:c>
      <x:c r="AA180" s="3" t="s">
        <x:v>317</x:v>
      </x:c>
      <x:c r="AB180" s="7" t="n">
        <x:v>46257.8222222222</x:v>
      </x:c>
      <x:c r="AC180" s="7" t="n">
        <x:v>46257.825</x:v>
      </x:c>
      <x:c r="AD180" s="7" t="n">
        <x:v>46257.8284722222</x:v>
      </x:c>
      <x:c r="AE180" s="7" t="n">
        <x:v>46257.8430555556</x:v>
      </x:c>
      <x:c r="AF180" s="7" t="n">
        <x:v>46257.8743055556</x:v>
      </x:c>
      <x:c r="AG180" s="3" t="n">
        <x:v>30</x:v>
      </x:c>
      <x:c r="AH180" s="3" t="n">
        <x:v>35</x:v>
      </x:c>
      <x:c r="AI180" s="3" t="s">
        <x:v>135</x:v>
      </x:c>
      <x:c r="AJ180" s="3" t="s">
        <x:v>135</x:v>
      </x:c>
      <x:c r="AK180" s="3" t="n">
        <x:v>180</x:v>
      </x:c>
      <x:c r="AL180" s="3" t="n">
        <x:v>0</x:v>
      </x:c>
      <x:c r="AM180" s="8" t="n">
        <x:v>0.3611</x:v>
      </x:c>
      <x:c r="AN180" s="3" t="n">
        <x:v>0</x:v>
      </x:c>
      <x:c r="AO180" s="3" t="s">
        <x:v>9</x:v>
      </x:c>
      <x:c r="AP180" s="3" t="s">
        <x:v>142</x:v>
      </x:c>
      <x:c r="AQ180" s="3" t="s">
        <x:v>408</x:v>
      </x:c>
      <x:c r="AR180" s="9" t="n">
        <x:v>647</x:v>
      </x:c>
      <x:c r="AS180" s="3" t="s">
        <x:v>144</x:v>
      </x:c>
      <x:c r="AT180" s="7" t="n">
        <x:v>46301.9166666667</x:v>
      </x:c>
    </x:row>
    <x:row r="181" ht="31.299999237060547" hidden="0">
      <x:c r="A181" s="3" t="s">
        <x:v>666</x:v>
      </x:c>
      <x:c r="B181" s="3" t="s">
        <x:v>166</x:v>
      </x:c>
      <x:c r="C181" s="3" t="s">
        <x:v>167</x:v>
      </x:c>
      <x:c r="D181" s="3" t="s">
        <x:v>168</x:v>
      </x:c>
      <x:c r="E181" s="3" t="s">
        <x:v>249</x:v>
      </x:c>
      <x:c r="F181" s="3" t="s">
        <x:v>99</x:v>
      </x:c>
      <x:c r="G181" s="3" t="s">
        <x:v>443</x:v>
      </x:c>
      <x:c r="H181" s="3" t="s">
        <x:v>101</x:v>
      </x:c>
      <x:c r="I181" s="3" t="s">
        <x:v>102</x:v>
      </x:c>
      <x:c r="J181" s="3" t="s">
        <x:v>103</x:v>
      </x:c>
      <x:c r="K181" s="3" t="s">
        <x:v>104</x:v>
      </x:c>
      <x:c r="L181" s="3" t="s">
        <x:v>171</x:v>
      </x:c>
      <x:c r="M181" s="3" t="s">
        <x:v>172</x:v>
      </x:c>
      <x:c r="N181" s="3" t="s">
        <x:v>173</x:v>
      </x:c>
      <x:c r="O181" s="3" t="s">
        <x:v>174</x:v>
      </x:c>
      <x:c r="P181" s="3" t="s">
        <x:v>175</x:v>
      </x:c>
      <x:c r="Q181" s="3" t="s">
        <x:v>271</x:v>
      </x:c>
      <x:c r="R181" s="3" t="s">
        <x:v>330</x:v>
      </x:c>
      <x:c r="S181" s="3" t="s">
        <x:v>135</x:v>
      </x:c>
      <x:c r="T181" s="3" t="s">
        <x:v>111</x:v>
      </x:c>
      <x:c r="U181" s="3" t="s">
        <x:v>331</x:v>
      </x:c>
      <x:c r="V181" s="3" t="s">
        <x:v>178</x:v>
      </x:c>
      <x:c r="W181" s="3" t="s">
        <x:v>355</x:v>
      </x:c>
      <x:c r="X181" s="3" t="s">
        <x:v>180</x:v>
      </x:c>
      <x:c r="Y181" s="3" t="s">
        <x:v>356</x:v>
      </x:c>
      <x:c r="Z181" s="3" t="s">
        <x:v>334</x:v>
      </x:c>
      <x:c r="AA181" s="3" t="s">
        <x:v>118</x:v>
      </x:c>
      <x:c r="AB181" s="7" t="n">
        <x:v>46257.8743055556</x:v>
      </x:c>
      <x:c r="AC181" s="7" t="n">
        <x:v>46257.8791666667</x:v>
      </x:c>
      <x:c r="AD181" s="7" t="n">
        <x:v>46257.8819444444</x:v>
      </x:c>
      <x:c r="AE181" s="7" t="n">
        <x:v>46257.9006944444</x:v>
      </x:c>
      <x:c r="AF181" s="7" t="n">
        <x:v>46257.9493055556</x:v>
      </x:c>
      <x:c r="AG181" s="3" t="n">
        <x:v>38</x:v>
      </x:c>
      <x:c r="AH181" s="3" t="n">
        <x:v>67</x:v>
      </x:c>
      <x:c r="AI181" s="3" t="s">
        <x:v>135</x:v>
      </x:c>
      <x:c r="AJ181" s="3" t="s">
        <x:v>135</x:v>
      </x:c>
      <x:c r="AK181" s="3" t="n">
        <x:v>150</x:v>
      </x:c>
      <x:c r="AL181" s="3" t="n">
        <x:v>0</x:v>
      </x:c>
      <x:c r="AM181" s="8" t="n">
        <x:v>0.7</x:v>
      </x:c>
      <x:c r="AN181" s="3" t="n">
        <x:v>0</x:v>
      </x:c>
      <x:c r="AO181" s="3" t="s">
        <x:v>14</x:v>
      </x:c>
      <x:c r="AP181" s="3" t="s">
        <x:v>347</x:v>
      </x:c>
      <x:c r="AQ181" s="3" t="s">
        <x:v>340</x:v>
      </x:c>
      <x:c r="AR181" s="9" t="n">
        <x:v>1293.4</x:v>
      </x:c>
      <x:c r="AS181" s="3" t="s">
        <x:v>185</x:v>
      </x:c>
      <x:c r="AT181" s="7" t="n">
        <x:v>46301.9166666667</x:v>
      </x:c>
    </x:row>
    <x:row r="182" ht="31.299999237060547" hidden="0">
      <x:c r="A182" s="3" t="s">
        <x:v>667</x:v>
      </x:c>
      <x:c r="B182" s="3" t="s">
        <x:v>166</x:v>
      </x:c>
      <x:c r="C182" s="3" t="s">
        <x:v>167</x:v>
      </x:c>
      <x:c r="D182" s="3" t="s">
        <x:v>168</x:v>
      </x:c>
      <x:c r="E182" s="3" t="s">
        <x:v>249</x:v>
      </x:c>
      <x:c r="F182" s="3" t="s">
        <x:v>127</x:v>
      </x:c>
      <x:c r="G182" s="3" t="s">
        <x:v>400</x:v>
      </x:c>
      <x:c r="H182" s="3" t="s">
        <x:v>301</x:v>
      </x:c>
      <x:c r="I182" s="3" t="s">
        <x:v>302</x:v>
      </x:c>
      <x:c r="J182" s="3" t="s">
        <x:v>303</x:v>
      </x:c>
      <x:c r="K182" s="3" t="s">
        <x:v>104</x:v>
      </x:c>
      <x:c r="L182" s="3" t="s">
        <x:v>171</x:v>
      </x:c>
      <x:c r="M182" s="3" t="s">
        <x:v>172</x:v>
      </x:c>
      <x:c r="N182" s="3" t="s">
        <x:v>173</x:v>
      </x:c>
      <x:c r="O182" s="3" t="s">
        <x:v>174</x:v>
      </x:c>
      <x:c r="P182" s="3" t="s">
        <x:v>175</x:v>
      </x:c>
      <x:c r="Q182" s="3" t="s">
        <x:v>271</x:v>
      </x:c>
      <x:c r="R182" s="3" t="s">
        <x:v>134</x:v>
      </x:c>
      <x:c r="S182" s="3" t="s">
        <x:v>135</x:v>
      </x:c>
      <x:c r="T182" s="3" t="s">
        <x:v>111</x:v>
      </x:c>
      <x:c r="U182" s="3" t="s">
        <x:v>136</x:v>
      </x:c>
      <x:c r="V182" s="3" t="s">
        <x:v>137</x:v>
      </x:c>
      <x:c r="W182" s="3" t="s">
        <x:v>407</x:v>
      </x:c>
      <x:c r="X182" s="3" t="s">
        <x:v>139</x:v>
      </x:c>
      <x:c r="Y182" s="3" t="s">
        <x:v>140</x:v>
      </x:c>
      <x:c r="Z182" s="3" t="s">
        <x:v>141</x:v>
      </x:c>
      <x:c r="AA182" s="3" t="s">
        <x:v>118</x:v>
      </x:c>
      <x:c r="AB182" s="7" t="n">
        <x:v>46258.3770833333</x:v>
      </x:c>
      <x:c r="AC182" s="7" t="n">
        <x:v>46258.3805555556</x:v>
      </x:c>
      <x:c r="AD182" s="7" t="n">
        <x:v>46258.3819444444</x:v>
      </x:c>
      <x:c r="AE182" s="7" t="n">
        <x:v>46258.3986111111</x:v>
      </x:c>
      <x:c r="AF182" s="7" t="n">
        <x:v>46258.4590277778</x:v>
      </x:c>
      <x:c r="AG182" s="3" t="n">
        <x:v>31</x:v>
      </x:c>
      <x:c r="AH182" s="3" t="n">
        <x:v>83</x:v>
      </x:c>
      <x:c r="AI182" s="3" t="s">
        <x:v>135</x:v>
      </x:c>
      <x:c r="AJ182" s="3" t="s">
        <x:v>135</x:v>
      </x:c>
      <x:c r="AK182" s="3" t="n">
        <x:v>180</x:v>
      </x:c>
      <x:c r="AL182" s="3" t="n">
        <x:v>0</x:v>
      </x:c>
      <x:c r="AM182" s="8" t="n">
        <x:v>0.6333</x:v>
      </x:c>
      <x:c r="AN182" s="3" t="n">
        <x:v>0</x:v>
      </x:c>
      <x:c r="AO182" s="3" t="s">
        <x:v>14</x:v>
      </x:c>
      <x:c r="AP182" s="3" t="s">
        <x:v>347</x:v>
      </x:c>
      <x:c r="AQ182" s="3" t="s">
        <x:v>340</x:v>
      </x:c>
      <x:c r="AR182" s="9" t="n">
        <x:v>1377.1</x:v>
      </x:c>
      <x:c r="AS182" s="3" t="s">
        <x:v>185</x:v>
      </x:c>
      <x:c r="AT182" s="7" t="n">
        <x:v>46301.9166666667</x:v>
      </x:c>
    </x:row>
    <x:row r="183" ht="31.299999237060547" hidden="0">
      <x:c r="A183" s="3" t="s">
        <x:v>668</x:v>
      </x:c>
      <x:c r="B183" s="3" t="s">
        <x:v>233</x:v>
      </x:c>
      <x:c r="C183" s="3" t="s">
        <x:v>234</x:v>
      </x:c>
      <x:c r="D183" s="3" t="s">
        <x:v>235</x:v>
      </x:c>
      <x:c r="E183" s="3" t="s">
        <x:v>249</x:v>
      </x:c>
      <x:c r="F183" s="3" t="s">
        <x:v>127</x:v>
      </x:c>
      <x:c r="G183" s="3" t="s">
        <x:v>364</x:v>
      </x:c>
      <x:c r="H183" s="3" t="s">
        <x:v>339</x:v>
      </x:c>
      <x:c r="I183" s="3" t="s">
        <x:v>102</x:v>
      </x:c>
      <x:c r="J183" s="3" t="s">
        <x:v>103</x:v>
      </x:c>
      <x:c r="K183" s="3" t="s">
        <x:v>104</x:v>
      </x:c>
      <x:c r="L183" s="3" t="s">
        <x:v>237</x:v>
      </x:c>
      <x:c r="M183" s="3" t="s">
        <x:v>172</x:v>
      </x:c>
      <x:c r="N183" s="3" t="s">
        <x:v>238</x:v>
      </x:c>
      <x:c r="O183" s="3" t="s">
        <x:v>239</x:v>
      </x:c>
      <x:c r="P183" s="3" t="s">
        <x:v>240</x:v>
      </x:c>
      <x:c r="Q183" s="3" t="s">
        <x:v>276</x:v>
      </x:c>
      <x:c r="R183" s="3" t="s">
        <x:v>196</x:v>
      </x:c>
      <x:c r="S183" s="3" t="s">
        <x:v>111</x:v>
      </x:c>
      <x:c r="T183" s="3" t="s">
        <x:v>111</x:v>
      </x:c>
      <x:c r="U183" s="3" t="s">
        <x:v>197</x:v>
      </x:c>
      <x:c r="V183" s="3" t="s">
        <x:v>198</x:v>
      </x:c>
      <x:c r="W183" s="3" t="s">
        <x:v>365</x:v>
      </x:c>
      <x:c r="X183" s="3" t="s">
        <x:v>366</x:v>
      </x:c>
      <x:c r="Y183" s="3" t="s">
        <x:v>367</x:v>
      </x:c>
      <x:c r="Z183" s="3" t="s">
        <x:v>201</x:v>
      </x:c>
      <x:c r="AA183" s="3" t="s">
        <x:v>368</x:v>
      </x:c>
      <x:c r="AB183" s="7" t="n">
        <x:v>46258.3972222222</x:v>
      </x:c>
      <x:c r="AC183" s="7" t="n">
        <x:v>46258.3986111111</x:v>
      </x:c>
      <x:c r="AD183" s="7" t="n">
        <x:v>46258.4041666667</x:v>
      </x:c>
      <x:c r="AE183" s="7" t="n">
        <x:v>46258.4208333333</x:v>
      </x:c>
      <x:c r="AF183" s="7" t="n">
        <x:v>46258.4472222222</x:v>
      </x:c>
      <x:c r="AG183" s="3" t="n">
        <x:v>34</x:v>
      </x:c>
      <x:c r="AH183" s="3" t="n">
        <x:v>32</x:v>
      </x:c>
      <x:c r="AI183" s="3" t="s">
        <x:v>135</x:v>
      </x:c>
      <x:c r="AJ183" s="3" t="s">
        <x:v>111</x:v>
      </x:c>
      <x:c r="AK183" s="3" t="n">
        <x:v>120</x:v>
      </x:c>
      <x:c r="AL183" s="3" t="n">
        <x:v>0</x:v>
      </x:c>
      <x:c r="AM183" s="8" t="n">
        <x:v>0.55</x:v>
      </x:c>
      <x:c r="AN183" s="3" t="n">
        <x:v>0</x:v>
      </x:c>
      <x:c r="AO183" s="3" t="s">
        <x:v>9</x:v>
      </x:c>
      <x:c r="AP183" s="3" t="s">
        <x:v>335</x:v>
      </x:c>
      <x:c r="AQ183" s="3" t="s">
        <x:v>361</x:v>
      </x:c>
      <x:c r="AR183" s="9" t="n">
        <x:v>643.4</x:v>
      </x:c>
      <x:c r="AS183" s="3" t="s">
        <x:v>121</x:v>
      </x:c>
      <x:c r="AT183" s="7" t="n">
        <x:v>46301.9166666667</x:v>
      </x:c>
    </x:row>
    <x:row r="184" ht="31.299999237060547" hidden="0">
      <x:c r="A184" s="3" t="s">
        <x:v>669</x:v>
      </x:c>
      <x:c r="B184" s="3" t="s">
        <x:v>222</x:v>
      </x:c>
      <x:c r="C184" s="3" t="s">
        <x:v>223</x:v>
      </x:c>
      <x:c r="D184" s="3" t="s">
        <x:v>224</x:v>
      </x:c>
      <x:c r="E184" s="3" t="s">
        <x:v>249</x:v>
      </x:c>
      <x:c r="F184" s="3" t="s">
        <x:v>99</x:v>
      </x:c>
      <x:c r="G184" s="3" t="s">
        <x:v>522</x:v>
      </x:c>
      <x:c r="H184" s="3" t="s">
        <x:v>343</x:v>
      </x:c>
      <x:c r="I184" s="3" t="s">
        <x:v>102</x:v>
      </x:c>
      <x:c r="J184" s="3" t="s">
        <x:v>103</x:v>
      </x:c>
      <x:c r="K184" s="3" t="s">
        <x:v>104</x:v>
      </x:c>
      <x:c r="L184" s="3" t="s">
        <x:v>226</x:v>
      </x:c>
      <x:c r="M184" s="3" t="s">
        <x:v>227</x:v>
      </x:c>
      <x:c r="N184" s="3" t="s">
        <x:v>228</x:v>
      </x:c>
      <x:c r="O184" s="3" t="s">
        <x:v>229</x:v>
      </x:c>
      <x:c r="P184" s="3" t="s">
        <x:v>230</x:v>
      </x:c>
      <x:c r="Q184" s="3" t="s">
        <x:v>274</x:v>
      </x:c>
      <x:c r="R184" s="3" t="s">
        <x:v>380</x:v>
      </x:c>
      <x:c r="S184" s="3" t="s">
        <x:v>111</x:v>
      </x:c>
      <x:c r="T184" s="3" t="s">
        <x:v>111</x:v>
      </x:c>
      <x:c r="U184" s="3" t="s">
        <x:v>381</x:v>
      </x:c>
      <x:c r="V184" s="3" t="s">
        <x:v>312</x:v>
      </x:c>
      <x:c r="W184" s="3" t="s">
        <x:v>382</x:v>
      </x:c>
      <x:c r="X184" s="3" t="s">
        <x:v>314</x:v>
      </x:c>
      <x:c r="Y184" s="3" t="s">
        <x:v>383</x:v>
      </x:c>
      <x:c r="Z184" s="3" t="s">
        <x:v>384</x:v>
      </x:c>
      <x:c r="AA184" s="3" t="s">
        <x:v>385</x:v>
      </x:c>
      <x:c r="AB184" s="7" t="n">
        <x:v>46258.4041666667</x:v>
      </x:c>
      <x:c r="AC184" s="7" t="n">
        <x:v>46258.4069444445</x:v>
      </x:c>
      <x:c r="AD184" s="7" t="n">
        <x:v>46258.4131944444</x:v>
      </x:c>
      <x:c r="AE184" s="7" t="n">
        <x:v>46258.4347222222</x:v>
      </x:c>
      <x:c r="AF184" s="7" t="n">
        <x:v>46258.4576388889</x:v>
      </x:c>
      <x:c r="AG184" s="3" t="n">
        <x:v>44</x:v>
      </x:c>
      <x:c r="AH184" s="3" t="n">
        <x:v>24</x:v>
      </x:c>
      <x:c r="AI184" s="3" t="s">
        <x:v>135</x:v>
      </x:c>
      <x:c r="AJ184" s="3" t="s">
        <x:v>135</x:v>
      </x:c>
      <x:c r="AK184" s="3" t="n">
        <x:v>120</x:v>
      </x:c>
      <x:c r="AL184" s="3" t="n">
        <x:v>0</x:v>
      </x:c>
      <x:c r="AM184" s="8" t="n">
        <x:v>0.5667</x:v>
      </x:c>
      <x:c r="AN184" s="3" t="n">
        <x:v>1</x:v>
      </x:c>
      <x:c r="AO184" s="3" t="s">
        <x:v>9</x:v>
      </x:c>
      <x:c r="AP184" s="3" t="s">
        <x:v>500</x:v>
      </x:c>
      <x:c r="AQ184" s="3" t="s">
        <x:v>546</x:v>
      </x:c>
      <x:c r="AR184" s="9" t="n">
        <x:v>630.8</x:v>
      </x:c>
      <x:c r="AS184" s="3" t="s">
        <x:v>185</x:v>
      </x:c>
      <x:c r="AT184" s="7" t="n">
        <x:v>46301.9166666667</x:v>
      </x:c>
    </x:row>
    <x:row r="185" ht="31.299999237060547" hidden="0">
      <x:c r="A185" s="3" t="s">
        <x:v>670</x:v>
      </x:c>
      <x:c r="B185" s="3" t="s">
        <x:v>433</x:v>
      </x:c>
      <x:c r="C185" s="3" t="s">
        <x:v>434</x:v>
      </x:c>
      <x:c r="D185" s="3" t="s">
        <x:v>435</x:v>
      </x:c>
      <x:c r="E185" s="3" t="s">
        <x:v>249</x:v>
      </x:c>
      <x:c r="F185" s="3" t="s">
        <x:v>149</x:v>
      </x:c>
      <x:c r="G185" s="3" t="s">
        <x:v>324</x:v>
      </x:c>
      <x:c r="H185" s="3" t="s">
        <x:v>301</x:v>
      </x:c>
      <x:c r="I185" s="3" t="s">
        <x:v>302</x:v>
      </x:c>
      <x:c r="J185" s="3" t="s">
        <x:v>303</x:v>
      </x:c>
      <x:c r="K185" s="3" t="s">
        <x:v>104</x:v>
      </x:c>
      <x:c r="L185" s="3" t="s">
        <x:v>437</x:v>
      </x:c>
      <x:c r="M185" s="3" t="s">
        <x:v>106</x:v>
      </x:c>
      <x:c r="N185" s="3" t="s">
        <x:v>438</x:v>
      </x:c>
      <x:c r="O185" s="3" t="s">
        <x:v>439</x:v>
      </x:c>
      <x:c r="P185" s="3" t="s">
        <x:v>440</x:v>
      </x:c>
      <x:c r="Q185" s="3" t="s">
        <x:v>441</x:v>
      </x:c>
      <x:c r="R185" s="3" t="s">
        <x:v>330</x:v>
      </x:c>
      <x:c r="S185" s="3" t="s">
        <x:v>135</x:v>
      </x:c>
      <x:c r="T185" s="3" t="s">
        <x:v>111</x:v>
      </x:c>
      <x:c r="U185" s="3" t="s">
        <x:v>331</x:v>
      </x:c>
      <x:c r="V185" s="3" t="s">
        <x:v>178</x:v>
      </x:c>
      <x:c r="W185" s="3" t="s">
        <x:v>179</x:v>
      </x:c>
      <x:c r="X185" s="3" t="s">
        <x:v>180</x:v>
      </x:c>
      <x:c r="Y185" s="3" t="s">
        <x:v>414</x:v>
      </x:c>
      <x:c r="Z185" s="3" t="s">
        <x:v>334</x:v>
      </x:c>
      <x:c r="AA185" s="3" t="s">
        <x:v>118</x:v>
      </x:c>
      <x:c r="AB185" s="7" t="n">
        <x:v>46258.4159722222</x:v>
      </x:c>
      <x:c r="AC185" s="7" t="n">
        <x:v>46258.4201388889</x:v>
      </x:c>
      <x:c r="AD185" s="7" t="n">
        <x:v>46258.425</x:v>
      </x:c>
      <x:c r="AE185" s="7" t="n">
        <x:v>46258.4326388889</x:v>
      </x:c>
      <x:c r="AF185" s="7" t="n">
        <x:v>46258.4625</x:v>
      </x:c>
      <x:c r="AG185" s="3" t="n">
        <x:v>24</x:v>
      </x:c>
      <x:c r="AH185" s="3" t="n">
        <x:v>35</x:v>
      </x:c>
      <x:c r="AI185" s="3" t="s">
        <x:v>135</x:v>
      </x:c>
      <x:c r="AJ185" s="3" t="s">
        <x:v>135</x:v>
      </x:c>
      <x:c r="AK185" s="3" t="n">
        <x:v>180</x:v>
      </x:c>
      <x:c r="AL185" s="3" t="n">
        <x:v>0</x:v>
      </x:c>
      <x:c r="AM185" s="8" t="n">
        <x:v>0.3278</x:v>
      </x:c>
      <x:c r="AN185" s="3" t="n">
        <x:v>1</x:v>
      </x:c>
      <x:c r="AO185" s="3" t="s">
        <x:v>9</x:v>
      </x:c>
      <x:c r="AP185" s="3" t="s">
        <x:v>500</x:v>
      </x:c>
      <x:c r="AQ185" s="3" t="s">
        <x:v>562</x:v>
      </x:c>
      <x:c r="AR185" s="9" t="n">
        <x:v>620</x:v>
      </x:c>
      <x:c r="AS185" s="3" t="s">
        <x:v>144</x:v>
      </x:c>
      <x:c r="AT185" s="7" t="n">
        <x:v>46301.9166666667</x:v>
      </x:c>
    </x:row>
    <x:row r="186" ht="31.299999237060547" hidden="0">
      <x:c r="A186" s="3" t="s">
        <x:v>671</x:v>
      </x:c>
      <x:c r="B186" s="3" t="s">
        <x:v>397</x:v>
      </x:c>
      <x:c r="C186" s="3" t="s">
        <x:v>398</x:v>
      </x:c>
      <x:c r="D186" s="3" t="s">
        <x:v>399</x:v>
      </x:c>
      <x:c r="E186" s="3" t="s">
        <x:v>249</x:v>
      </x:c>
      <x:c r="F186" s="3" t="s">
        <x:v>99</x:v>
      </x:c>
      <x:c r="G186" s="3" t="s">
        <x:v>324</x:v>
      </x:c>
      <x:c r="H186" s="3" t="s">
        <x:v>301</x:v>
      </x:c>
      <x:c r="I186" s="3" t="s">
        <x:v>302</x:v>
      </x:c>
      <x:c r="J186" s="3" t="s">
        <x:v>303</x:v>
      </x:c>
      <x:c r="K186" s="3" t="s">
        <x:v>104</x:v>
      </x:c>
      <x:c r="L186" s="3" t="s">
        <x:v>401</x:v>
      </x:c>
      <x:c r="M186" s="3" t="s">
        <x:v>402</x:v>
      </x:c>
      <x:c r="N186" s="3" t="s">
        <x:v>403</x:v>
      </x:c>
      <x:c r="O186" s="3" t="s">
        <x:v>404</x:v>
      </x:c>
      <x:c r="P186" s="3" t="s">
        <x:v>405</x:v>
      </x:c>
      <x:c r="Q186" s="3" t="s">
        <x:v>406</x:v>
      </x:c>
      <x:c r="R186" s="3" t="s">
        <x:v>330</x:v>
      </x:c>
      <x:c r="S186" s="3" t="s">
        <x:v>135</x:v>
      </x:c>
      <x:c r="T186" s="3" t="s">
        <x:v>111</x:v>
      </x:c>
      <x:c r="U186" s="3" t="s">
        <x:v>331</x:v>
      </x:c>
      <x:c r="V186" s="3" t="s">
        <x:v>178</x:v>
      </x:c>
      <x:c r="W186" s="3" t="s">
        <x:v>332</x:v>
      </x:c>
      <x:c r="X186" s="3" t="s">
        <x:v>180</x:v>
      </x:c>
      <x:c r="Y186" s="3" t="s">
        <x:v>333</x:v>
      </x:c>
      <x:c r="Z186" s="3" t="s">
        <x:v>334</x:v>
      </x:c>
      <x:c r="AA186" s="3" t="s">
        <x:v>118</x:v>
      </x:c>
      <x:c r="AB186" s="7" t="n">
        <x:v>46258.4465277778</x:v>
      </x:c>
      <x:c r="AC186" s="7" t="n">
        <x:v>46258.45</x:v>
      </x:c>
      <x:c r="AD186" s="7" t="n">
        <x:v>46258.4513888889</x:v>
      </x:c>
      <x:c r="AE186" s="7" t="n">
        <x:v>46258.4736111111</x:v>
      </x:c>
      <x:c r="AF186" s="7" t="n">
        <x:v>46258.4916666667</x:v>
      </x:c>
      <x:c r="AG186" s="3" t="n">
        <x:v>39</x:v>
      </x:c>
      <x:c r="AH186" s="3" t="n">
        <x:v>20</x:v>
      </x:c>
      <x:c r="AI186" s="3" t="s">
        <x:v>135</x:v>
      </x:c>
      <x:c r="AJ186" s="3" t="s">
        <x:v>135</x:v>
      </x:c>
      <x:c r="AK186" s="3" t="n">
        <x:v>180</x:v>
      </x:c>
      <x:c r="AL186" s="3" t="n">
        <x:v>0</x:v>
      </x:c>
      <x:c r="AM186" s="8" t="n">
        <x:v>0.3278</x:v>
      </x:c>
      <x:c r="AN186" s="3" t="n">
        <x:v>1</x:v>
      </x:c>
      <x:c r="AO186" s="3" t="s">
        <x:v>9</x:v>
      </x:c>
      <x:c r="AP186" s="3" t="s">
        <x:v>500</x:v>
      </x:c>
      <x:c r="AQ186" s="3" t="s">
        <x:v>539</x:v>
      </x:c>
      <x:c r="AR186" s="9" t="n">
        <x:v>579.5</x:v>
      </x:c>
      <x:c r="AS186" s="3" t="s">
        <x:v>144</x:v>
      </x:c>
      <x:c r="AT186" s="7" t="n">
        <x:v>46301.9166666667</x:v>
      </x:c>
    </x:row>
    <x:row r="187" ht="31.299999237060547" hidden="0">
      <x:c r="A187" s="3" t="s">
        <x:v>672</x:v>
      </x:c>
      <x:c r="B187" s="3" t="s">
        <x:v>233</x:v>
      </x:c>
      <x:c r="C187" s="3" t="s">
        <x:v>234</x:v>
      </x:c>
      <x:c r="D187" s="3" t="s">
        <x:v>235</x:v>
      </x:c>
      <x:c r="E187" s="3" t="s">
        <x:v>249</x:v>
      </x:c>
      <x:c r="F187" s="3" t="s">
        <x:v>127</x:v>
      </x:c>
      <x:c r="G187" s="3" t="s">
        <x:v>447</x:v>
      </x:c>
      <x:c r="H187" s="3" t="s">
        <x:v>343</x:v>
      </x:c>
      <x:c r="I187" s="3" t="s">
        <x:v>102</x:v>
      </x:c>
      <x:c r="J187" s="3" t="s">
        <x:v>103</x:v>
      </x:c>
      <x:c r="K187" s="3" t="s">
        <x:v>104</x:v>
      </x:c>
      <x:c r="L187" s="3" t="s">
        <x:v>237</x:v>
      </x:c>
      <x:c r="M187" s="3" t="s">
        <x:v>172</x:v>
      </x:c>
      <x:c r="N187" s="3" t="s">
        <x:v>238</x:v>
      </x:c>
      <x:c r="O187" s="3" t="s">
        <x:v>239</x:v>
      </x:c>
      <x:c r="P187" s="3" t="s">
        <x:v>240</x:v>
      </x:c>
      <x:c r="Q187" s="3" t="s">
        <x:v>276</x:v>
      </x:c>
      <x:c r="R187" s="3" t="s">
        <x:v>344</x:v>
      </x:c>
      <x:c r="S187" s="3" t="s">
        <x:v>111</x:v>
      </x:c>
      <x:c r="T187" s="3" t="s">
        <x:v>111</x:v>
      </x:c>
      <x:c r="U187" s="3" t="s">
        <x:v>345</x:v>
      </x:c>
      <x:c r="V187" s="3" t="s">
        <x:v>178</x:v>
      </x:c>
      <x:c r="W187" s="3" t="s">
        <x:v>332</x:v>
      </x:c>
      <x:c r="X187" s="3" t="s">
        <x:v>180</x:v>
      </x:c>
      <x:c r="Y187" s="3" t="s">
        <x:v>333</x:v>
      </x:c>
      <x:c r="Z187" s="3" t="s">
        <x:v>346</x:v>
      </x:c>
      <x:c r="AA187" s="3" t="s">
        <x:v>118</x:v>
      </x:c>
      <x:c r="AB187" s="7" t="n">
        <x:v>46258.4659722222</x:v>
      </x:c>
      <x:c r="AC187" s="7" t="n">
        <x:v>46258.46875</x:v>
      </x:c>
      <x:c r="AD187" s="7" t="n">
        <x:v>46258.475</x:v>
      </x:c>
      <x:c r="AE187" s="7" t="n">
        <x:v>46258.4833333333</x:v>
      </x:c>
      <x:c r="AF187" s="7" t="n">
        <x:v>46258.5236111111</x:v>
      </x:c>
      <x:c r="AG187" s="3" t="n">
        <x:v>25</x:v>
      </x:c>
      <x:c r="AH187" s="3" t="n">
        <x:v>49</x:v>
      </x:c>
      <x:c r="AI187" s="3" t="s">
        <x:v>135</x:v>
      </x:c>
      <x:c r="AJ187" s="3" t="s">
        <x:v>111</x:v>
      </x:c>
      <x:c r="AK187" s="3" t="n">
        <x:v>120</x:v>
      </x:c>
      <x:c r="AL187" s="3" t="n">
        <x:v>0</x:v>
      </x:c>
      <x:c r="AM187" s="8" t="n">
        <x:v>0.6167</x:v>
      </x:c>
      <x:c r="AN187" s="3" t="n">
        <x:v>2</x:v>
      </x:c>
      <x:c r="AO187" s="3" t="s">
        <x:v>14</x:v>
      </x:c>
      <x:c r="AP187" s="3" t="s">
        <x:v>605</x:v>
      </x:c>
      <x:c r="AQ187" s="3" t="s">
        <x:v>501</x:v>
      </x:c>
      <x:c r="AR187" s="9" t="n">
        <x:v>725.3</x:v>
      </x:c>
      <x:c r="AS187" s="3" t="s">
        <x:v>185</x:v>
      </x:c>
      <x:c r="AT187" s="7" t="n">
        <x:v>46301.9166666667</x:v>
      </x:c>
    </x:row>
    <x:row r="188" ht="31.299999237060547" hidden="0">
      <x:c r="A188" s="3" t="s">
        <x:v>673</x:v>
      </x:c>
      <x:c r="B188" s="3" t="s">
        <x:v>83</x:v>
      </x:c>
      <x:c r="C188" s="3" t="s">
        <x:v>96</x:v>
      </x:c>
      <x:c r="D188" s="3" t="s">
        <x:v>97</x:v>
      </x:c>
      <x:c r="E188" s="3" t="s">
        <x:v>249</x:v>
      </x:c>
      <x:c r="F188" s="3" t="s">
        <x:v>149</x:v>
      </x:c>
      <x:c r="G188" s="3" t="s">
        <x:v>342</x:v>
      </x:c>
      <x:c r="H188" s="3" t="s">
        <x:v>343</x:v>
      </x:c>
      <x:c r="I188" s="3" t="s">
        <x:v>102</x:v>
      </x:c>
      <x:c r="J188" s="3" t="s">
        <x:v>103</x:v>
      </x:c>
      <x:c r="K188" s="3" t="s">
        <x:v>104</x:v>
      </x:c>
      <x:c r="L188" s="3" t="s">
        <x:v>105</x:v>
      </x:c>
      <x:c r="M188" s="3" t="s">
        <x:v>106</x:v>
      </x:c>
      <x:c r="N188" s="3" t="s">
        <x:v>107</x:v>
      </x:c>
      <x:c r="O188" s="3" t="s">
        <x:v>108</x:v>
      </x:c>
      <x:c r="P188" s="3" t="s">
        <x:v>109</x:v>
      </x:c>
      <x:c r="Q188" s="3" t="s">
        <x:v>250</x:v>
      </x:c>
      <x:c r="R188" s="3" t="s">
        <x:v>344</x:v>
      </x:c>
      <x:c r="S188" s="3" t="s">
        <x:v>111</x:v>
      </x:c>
      <x:c r="T188" s="3" t="s">
        <x:v>111</x:v>
      </x:c>
      <x:c r="U188" s="3" t="s">
        <x:v>345</x:v>
      </x:c>
      <x:c r="V188" s="3" t="s">
        <x:v>178</x:v>
      </x:c>
      <x:c r="W188" s="3" t="s">
        <x:v>179</x:v>
      </x:c>
      <x:c r="X188" s="3" t="s">
        <x:v>180</x:v>
      </x:c>
      <x:c r="Y188" s="3" t="s">
        <x:v>414</x:v>
      </x:c>
      <x:c r="Z188" s="3" t="s">
        <x:v>346</x:v>
      </x:c>
      <x:c r="AA188" s="3" t="s">
        <x:v>118</x:v>
      </x:c>
      <x:c r="AB188" s="7" t="n">
        <x:v>46258.5138888889</x:v>
      </x:c>
      <x:c r="AC188" s="7" t="n">
        <x:v>46258.51875</x:v>
      </x:c>
      <x:c r="AD188" s="7" t="n">
        <x:v>46258.5222222222</x:v>
      </x:c>
      <x:c r="AE188" s="7" t="n">
        <x:v>46258.53125</x:v>
      </x:c>
      <x:c r="AF188" s="7" t="n">
        <x:v>46258.5590277778</x:v>
      </x:c>
      <x:c r="AG188" s="3" t="n">
        <x:v>25</x:v>
      </x:c>
      <x:c r="AH188" s="3" t="n">
        <x:v>33</x:v>
      </x:c>
      <x:c r="AI188" s="3" t="s">
        <x:v>111</x:v>
      </x:c>
      <x:c r="AJ188" s="3" t="s">
        <x:v>111</x:v>
      </x:c>
      <x:c r="AK188" s="3" t="n">
        <x:v>60</x:v>
      </x:c>
      <x:c r="AL188" s="3" t="n">
        <x:v>0</x:v>
      </x:c>
      <x:c r="AM188" s="8" t="n">
        <x:v>0.9667</x:v>
      </x:c>
      <x:c r="AN188" s="3" t="n">
        <x:v>0</x:v>
      </x:c>
      <x:c r="AO188" s="3" t="s">
        <x:v>24</x:v>
      </x:c>
      <x:c r="AP188" s="3" t="s">
        <x:v>552</x:v>
      </x:c>
      <x:c r="AQ188" s="3" t="s">
        <x:v>422</x:v>
      </x:c>
      <x:c r="AR188" s="9" t="n">
        <x:v>930.1</x:v>
      </x:c>
      <x:c r="AS188" s="3" t="s">
        <x:v>185</x:v>
      </x:c>
      <x:c r="AT188" s="7" t="n">
        <x:v>46301.9166666667</x:v>
      </x:c>
    </x:row>
    <x:row r="189" ht="31.299999237060547" hidden="0">
      <x:c r="A189" s="3" t="s">
        <x:v>674</x:v>
      </x:c>
      <x:c r="B189" s="3" t="s">
        <x:v>166</x:v>
      </x:c>
      <x:c r="C189" s="3" t="s">
        <x:v>167</x:v>
      </x:c>
      <x:c r="D189" s="3" t="s">
        <x:v>168</x:v>
      </x:c>
      <x:c r="E189" s="3" t="s">
        <x:v>249</x:v>
      </x:c>
      <x:c r="F189" s="3" t="s">
        <x:v>99</x:v>
      </x:c>
      <x:c r="G189" s="3" t="s">
        <x:v>416</x:v>
      </x:c>
      <x:c r="H189" s="3" t="s">
        <x:v>339</x:v>
      </x:c>
      <x:c r="I189" s="3" t="s">
        <x:v>102</x:v>
      </x:c>
      <x:c r="J189" s="3" t="s">
        <x:v>103</x:v>
      </x:c>
      <x:c r="K189" s="3" t="s">
        <x:v>104</x:v>
      </x:c>
      <x:c r="L189" s="3" t="s">
        <x:v>171</x:v>
      </x:c>
      <x:c r="M189" s="3" t="s">
        <x:v>172</x:v>
      </x:c>
      <x:c r="N189" s="3" t="s">
        <x:v>173</x:v>
      </x:c>
      <x:c r="O189" s="3" t="s">
        <x:v>174</x:v>
      </x:c>
      <x:c r="P189" s="3" t="s">
        <x:v>175</x:v>
      </x:c>
      <x:c r="Q189" s="3" t="s">
        <x:v>271</x:v>
      </x:c>
      <x:c r="R189" s="3" t="s">
        <x:v>373</x:v>
      </x:c>
      <x:c r="S189" s="3" t="s">
        <x:v>135</x:v>
      </x:c>
      <x:c r="T189" s="3" t="s">
        <x:v>111</x:v>
      </x:c>
      <x:c r="U189" s="3" t="s">
        <x:v>374</x:v>
      </x:c>
      <x:c r="V189" s="3" t="s">
        <x:v>178</x:v>
      </x:c>
      <x:c r="W189" s="3" t="s">
        <x:v>355</x:v>
      </x:c>
      <x:c r="X189" s="3" t="s">
        <x:v>180</x:v>
      </x:c>
      <x:c r="Y189" s="3" t="s">
        <x:v>356</x:v>
      </x:c>
      <x:c r="Z189" s="3" t="s">
        <x:v>375</x:v>
      </x:c>
      <x:c r="AA189" s="3" t="s">
        <x:v>118</x:v>
      </x:c>
      <x:c r="AB189" s="7" t="n">
        <x:v>46258.5652777778</x:v>
      </x:c>
      <x:c r="AC189" s="7" t="n">
        <x:v>46258.56875</x:v>
      </x:c>
      <x:c r="AD189" s="7" t="n">
        <x:v>46258.5708333333</x:v>
      </x:c>
      <x:c r="AE189" s="7" t="n">
        <x:v>46258.5965277778</x:v>
      </x:c>
      <x:c r="AF189" s="7" t="n">
        <x:v>46258.6708333333</x:v>
      </x:c>
      <x:c r="AG189" s="3" t="n">
        <x:v>45</x:v>
      </x:c>
      <x:c r="AH189" s="3" t="n">
        <x:v>99</x:v>
      </x:c>
      <x:c r="AI189" s="3" t="s">
        <x:v>135</x:v>
      </x:c>
      <x:c r="AJ189" s="3" t="s">
        <x:v>135</x:v>
      </x:c>
      <x:c r="AK189" s="3" t="n">
        <x:v>150</x:v>
      </x:c>
      <x:c r="AL189" s="3" t="n">
        <x:v>0</x:v>
      </x:c>
      <x:c r="AM189" s="8" t="n">
        <x:v>0.96</x:v>
      </x:c>
      <x:c r="AN189" s="3" t="n">
        <x:v>1</x:v>
      </x:c>
      <x:c r="AO189" s="3" t="s">
        <x:v>19</x:v>
      </x:c>
      <x:c r="AP189" s="3" t="s">
        <x:v>660</x:v>
      </x:c>
      <x:c r="AQ189" s="3" t="s">
        <x:v>501</x:v>
      </x:c>
      <x:c r="AR189" s="9" t="n">
        <x:v>1555.3</x:v>
      </x:c>
      <x:c r="AS189" s="3" t="s">
        <x:v>185</x:v>
      </x:c>
      <x:c r="AT189" s="7" t="n">
        <x:v>46301.9166666667</x:v>
      </x:c>
    </x:row>
    <x:row r="190" ht="31.299999237060547" hidden="0">
      <x:c r="A190" s="3" t="s">
        <x:v>675</x:v>
      </x:c>
      <x:c r="B190" s="3" t="s">
        <x:v>433</x:v>
      </x:c>
      <x:c r="C190" s="3" t="s">
        <x:v>434</x:v>
      </x:c>
      <x:c r="D190" s="3" t="s">
        <x:v>435</x:v>
      </x:c>
      <x:c r="E190" s="3" t="s">
        <x:v>249</x:v>
      </x:c>
      <x:c r="F190" s="3" t="s">
        <x:v>127</x:v>
      </x:c>
      <x:c r="G190" s="3" t="s">
        <x:v>541</x:v>
      </x:c>
      <x:c r="H190" s="3" t="s">
        <x:v>301</x:v>
      </x:c>
      <x:c r="I190" s="3" t="s">
        <x:v>302</x:v>
      </x:c>
      <x:c r="J190" s="3" t="s">
        <x:v>303</x:v>
      </x:c>
      <x:c r="K190" s="3" t="s">
        <x:v>104</x:v>
      </x:c>
      <x:c r="L190" s="3" t="s">
        <x:v>437</x:v>
      </x:c>
      <x:c r="M190" s="3" t="s">
        <x:v>106</x:v>
      </x:c>
      <x:c r="N190" s="3" t="s">
        <x:v>438</x:v>
      </x:c>
      <x:c r="O190" s="3" t="s">
        <x:v>439</x:v>
      </x:c>
      <x:c r="P190" s="3" t="s">
        <x:v>440</x:v>
      </x:c>
      <x:c r="Q190" s="3" t="s">
        <x:v>441</x:v>
      </x:c>
      <x:c r="R190" s="3" t="s">
        <x:v>196</x:v>
      </x:c>
      <x:c r="S190" s="3" t="s">
        <x:v>111</x:v>
      </x:c>
      <x:c r="T190" s="3" t="s">
        <x:v>111</x:v>
      </x:c>
      <x:c r="U190" s="3" t="s">
        <x:v>197</x:v>
      </x:c>
      <x:c r="V190" s="3" t="s">
        <x:v>198</x:v>
      </x:c>
      <x:c r="W190" s="3" t="s">
        <x:v>365</x:v>
      </x:c>
      <x:c r="X190" s="3" t="s">
        <x:v>366</x:v>
      </x:c>
      <x:c r="Y190" s="3" t="s">
        <x:v>367</x:v>
      </x:c>
      <x:c r="Z190" s="3" t="s">
        <x:v>201</x:v>
      </x:c>
      <x:c r="AA190" s="3" t="s">
        <x:v>368</x:v>
      </x:c>
      <x:c r="AB190" s="7" t="n">
        <x:v>46258.5861111111</x:v>
      </x:c>
      <x:c r="AC190" s="7" t="n">
        <x:v>46258.5909722222</x:v>
      </x:c>
      <x:c r="AD190" s="7" t="n">
        <x:v>46258.59375</x:v>
      </x:c>
      <x:c r="AE190" s="7" t="n">
        <x:v>46258.6152777778</x:v>
      </x:c>
      <x:c r="AF190" s="7" t="n">
        <x:v>46258.6576388889</x:v>
      </x:c>
      <x:c r="AG190" s="3" t="n">
        <x:v>42</x:v>
      </x:c>
      <x:c r="AH190" s="3" t="n">
        <x:v>55</x:v>
      </x:c>
      <x:c r="AI190" s="3" t="s">
        <x:v>135</x:v>
      </x:c>
      <x:c r="AJ190" s="3" t="s">
        <x:v>135</x:v>
      </x:c>
      <x:c r="AK190" s="3" t="n">
        <x:v>120</x:v>
      </x:c>
      <x:c r="AL190" s="3" t="n">
        <x:v>0</x:v>
      </x:c>
      <x:c r="AM190" s="8" t="n">
        <x:v>0.8083</x:v>
      </x:c>
      <x:c r="AN190" s="3" t="n">
        <x:v>1</x:v>
      </x:c>
      <x:c r="AO190" s="3" t="s">
        <x:v>14</x:v>
      </x:c>
      <x:c r="AP190" s="3" t="s">
        <x:v>471</x:v>
      </x:c>
      <x:c r="AQ190" s="3" t="s">
        <x:v>562</x:v>
      </x:c>
      <x:c r="AR190" s="9" t="n">
        <x:v>845</x:v>
      </x:c>
      <x:c r="AS190" s="3" t="s">
        <x:v>185</x:v>
      </x:c>
      <x:c r="AT190" s="7" t="n">
        <x:v>46301.9166666667</x:v>
      </x:c>
    </x:row>
    <x:row r="191" ht="31.299999237060547" hidden="0">
      <x:c r="A191" s="3" t="s">
        <x:v>676</x:v>
      </x:c>
      <x:c r="B191" s="3" t="s">
        <x:v>187</x:v>
      </x:c>
      <x:c r="C191" s="3" t="s">
        <x:v>188</x:v>
      </x:c>
      <x:c r="D191" s="3" t="s">
        <x:v>189</x:v>
      </x:c>
      <x:c r="E191" s="3" t="s">
        <x:v>249</x:v>
      </x:c>
      <x:c r="F191" s="3" t="s">
        <x:v>149</x:v>
      </x:c>
      <x:c r="G191" s="3" t="s">
        <x:v>486</x:v>
      </x:c>
      <x:c r="H191" s="3" t="s">
        <x:v>101</x:v>
      </x:c>
      <x:c r="I191" s="3" t="s">
        <x:v>102</x:v>
      </x:c>
      <x:c r="J191" s="3" t="s">
        <x:v>103</x:v>
      </x:c>
      <x:c r="K191" s="3" t="s">
        <x:v>104</x:v>
      </x:c>
      <x:c r="L191" s="3" t="s">
        <x:v>191</x:v>
      </x:c>
      <x:c r="M191" s="3" t="s">
        <x:v>192</x:v>
      </x:c>
      <x:c r="N191" s="3" t="s">
        <x:v>193</x:v>
      </x:c>
      <x:c r="O191" s="3" t="s">
        <x:v>194</x:v>
      </x:c>
      <x:c r="P191" s="3" t="s">
        <x:v>195</x:v>
      </x:c>
      <x:c r="Q191" s="3" t="s">
        <x:v>273</x:v>
      </x:c>
      <x:c r="R191" s="3" t="s">
        <x:v>176</x:v>
      </x:c>
      <x:c r="S191" s="3" t="s">
        <x:v>135</x:v>
      </x:c>
      <x:c r="T191" s="3" t="s">
        <x:v>135</x:v>
      </x:c>
      <x:c r="U191" s="3" t="s">
        <x:v>177</x:v>
      </x:c>
      <x:c r="V191" s="3" t="s">
        <x:v>178</x:v>
      </x:c>
      <x:c r="W191" s="3" t="s">
        <x:v>179</x:v>
      </x:c>
      <x:c r="X191" s="3" t="s">
        <x:v>180</x:v>
      </x:c>
      <x:c r="Y191" s="3" t="s">
        <x:v>414</x:v>
      </x:c>
      <x:c r="Z191" s="3" t="s">
        <x:v>182</x:v>
      </x:c>
      <x:c r="AA191" s="3" t="s">
        <x:v>118</x:v>
      </x:c>
      <x:c r="AB191" s="7" t="n">
        <x:v>46258.5916666667</x:v>
      </x:c>
      <x:c r="AC191" s="7" t="n">
        <x:v>46258.5951388889</x:v>
      </x:c>
      <x:c r="AD191" s="7" t="n">
        <x:v>46258.6006944444</x:v>
      </x:c>
      <x:c r="AE191" s="7" t="n">
        <x:v>46258.6159722222</x:v>
      </x:c>
      <x:c r="AF191" s="7" t="n">
        <x:v>46258.6715277778</x:v>
      </x:c>
      <x:c r="AG191" s="3" t="n">
        <x:v>35</x:v>
      </x:c>
      <x:c r="AH191" s="3" t="n">
        <x:v>70</x:v>
      </x:c>
      <x:c r="AI191" s="3" t="s">
        <x:v>135</x:v>
      </x:c>
      <x:c r="AJ191" s="3" t="s">
        <x:v>111</x:v>
      </x:c>
      <x:c r="AK191" s="3" t="n">
        <x:v>150</x:v>
      </x:c>
      <x:c r="AL191" s="3" t="n">
        <x:v>0</x:v>
      </x:c>
      <x:c r="AM191" s="8" t="n">
        <x:v>0.7</x:v>
      </x:c>
      <x:c r="AN191" s="3" t="n">
        <x:v>0</x:v>
      </x:c>
      <x:c r="AO191" s="3" t="s">
        <x:v>14</x:v>
      </x:c>
      <x:c r="AP191" s="3" t="s">
        <x:v>318</x:v>
      </x:c>
      <x:c r="AQ191" s="3" t="s">
        <x:v>677</x:v>
      </x:c>
      <x:c r="AR191" s="9" t="n">
        <x:v>1301.5</x:v>
      </x:c>
      <x:c r="AS191" s="3" t="s">
        <x:v>121</x:v>
      </x:c>
      <x:c r="AT191" s="7" t="n">
        <x:v>46301.9166666667</x:v>
      </x:c>
    </x:row>
    <x:row r="192" ht="31.299999237060547" hidden="0">
      <x:c r="A192" s="3" t="s">
        <x:v>678</x:v>
      </x:c>
      <x:c r="B192" s="3" t="s">
        <x:v>321</x:v>
      </x:c>
      <x:c r="C192" s="3" t="s">
        <x:v>322</x:v>
      </x:c>
      <x:c r="D192" s="3" t="s">
        <x:v>323</x:v>
      </x:c>
      <x:c r="E192" s="3" t="s">
        <x:v>249</x:v>
      </x:c>
      <x:c r="F192" s="3" t="s">
        <x:v>149</x:v>
      </x:c>
      <x:c r="G192" s="3" t="s">
        <x:v>390</x:v>
      </x:c>
      <x:c r="H192" s="3" t="s">
        <x:v>301</x:v>
      </x:c>
      <x:c r="I192" s="3" t="s">
        <x:v>302</x:v>
      </x:c>
      <x:c r="J192" s="3" t="s">
        <x:v>303</x:v>
      </x:c>
      <x:c r="K192" s="3" t="s">
        <x:v>104</x:v>
      </x:c>
      <x:c r="L192" s="3" t="s">
        <x:v>325</x:v>
      </x:c>
      <x:c r="M192" s="3" t="s">
        <x:v>326</x:v>
      </x:c>
      <x:c r="N192" s="3" t="s">
        <x:v>131</x:v>
      </x:c>
      <x:c r="O192" s="3" t="s">
        <x:v>327</x:v>
      </x:c>
      <x:c r="P192" s="3" t="s">
        <x:v>328</x:v>
      </x:c>
      <x:c r="Q192" s="3" t="s">
        <x:v>329</x:v>
      </x:c>
      <x:c r="R192" s="3" t="s">
        <x:v>391</x:v>
      </x:c>
      <x:c r="S192" s="3" t="s">
        <x:v>135</x:v>
      </x:c>
      <x:c r="T192" s="3" t="s">
        <x:v>135</x:v>
      </x:c>
      <x:c r="U192" s="3" t="s">
        <x:v>392</x:v>
      </x:c>
      <x:c r="V192" s="3" t="s">
        <x:v>312</x:v>
      </x:c>
      <x:c r="W192" s="3" t="s">
        <x:v>313</x:v>
      </x:c>
      <x:c r="X192" s="3" t="s">
        <x:v>314</x:v>
      </x:c>
      <x:c r="Y192" s="3" t="s">
        <x:v>315</x:v>
      </x:c>
      <x:c r="Z192" s="3" t="s">
        <x:v>393</x:v>
      </x:c>
      <x:c r="AA192" s="3" t="s">
        <x:v>394</x:v>
      </x:c>
      <x:c r="AB192" s="7" t="n">
        <x:v>46258.6284722222</x:v>
      </x:c>
      <x:c r="AC192" s="7" t="n">
        <x:v>46258.6305555556</x:v>
      </x:c>
      <x:c r="AD192" s="7" t="n">
        <x:v>46258.6333333333</x:v>
      </x:c>
      <x:c r="AE192" s="7" t="n">
        <x:v>46258.6465277778</x:v>
      </x:c>
      <x:c r="AF192" s="7" t="n">
        <x:v>46258.6881944445</x:v>
      </x:c>
      <x:c r="AG192" s="3" t="n">
        <x:v>26</x:v>
      </x:c>
      <x:c r="AH192" s="3" t="n">
        <x:v>52</x:v>
      </x:c>
      <x:c r="AI192" s="3" t="s">
        <x:v>135</x:v>
      </x:c>
      <x:c r="AJ192" s="3" t="s">
        <x:v>111</x:v>
      </x:c>
      <x:c r="AK192" s="3" t="n">
        <x:v>180</x:v>
      </x:c>
      <x:c r="AL192" s="3" t="n">
        <x:v>0</x:v>
      </x:c>
      <x:c r="AM192" s="8" t="n">
        <x:v>0.4333</x:v>
      </x:c>
      <x:c r="AN192" s="3" t="n">
        <x:v>0</x:v>
      </x:c>
      <x:c r="AO192" s="3" t="s">
        <x:v>9</x:v>
      </x:c>
      <x:c r="AP192" s="3" t="s">
        <x:v>335</x:v>
      </x:c>
      <x:c r="AQ192" s="3" t="s">
        <x:v>336</x:v>
      </x:c>
      <x:c r="AR192" s="9" t="n">
        <x:v>751.4</x:v>
      </x:c>
      <x:c r="AS192" s="3" t="s">
        <x:v>144</x:v>
      </x:c>
      <x:c r="AT192" s="7" t="n">
        <x:v>46301.9166666667</x:v>
      </x:c>
    </x:row>
    <x:row r="193" ht="31.299999237060547" hidden="0">
      <x:c r="A193" s="3" t="s">
        <x:v>679</x:v>
      </x:c>
      <x:c r="B193" s="3" t="s">
        <x:v>166</x:v>
      </x:c>
      <x:c r="C193" s="3" t="s">
        <x:v>167</x:v>
      </x:c>
      <x:c r="D193" s="3" t="s">
        <x:v>168</x:v>
      </x:c>
      <x:c r="E193" s="3" t="s">
        <x:v>249</x:v>
      </x:c>
      <x:c r="F193" s="3" t="s">
        <x:v>99</x:v>
      </x:c>
      <x:c r="G193" s="3" t="s">
        <x:v>489</x:v>
      </x:c>
      <x:c r="H193" s="3" t="s">
        <x:v>301</x:v>
      </x:c>
      <x:c r="I193" s="3" t="s">
        <x:v>302</x:v>
      </x:c>
      <x:c r="J193" s="3" t="s">
        <x:v>303</x:v>
      </x:c>
      <x:c r="K193" s="3" t="s">
        <x:v>104</x:v>
      </x:c>
      <x:c r="L193" s="3" t="s">
        <x:v>171</x:v>
      </x:c>
      <x:c r="M193" s="3" t="s">
        <x:v>172</x:v>
      </x:c>
      <x:c r="N193" s="3" t="s">
        <x:v>173</x:v>
      </x:c>
      <x:c r="O193" s="3" t="s">
        <x:v>174</x:v>
      </x:c>
      <x:c r="P193" s="3" t="s">
        <x:v>175</x:v>
      </x:c>
      <x:c r="Q193" s="3" t="s">
        <x:v>271</x:v>
      </x:c>
      <x:c r="R193" s="3" t="s">
        <x:v>134</x:v>
      </x:c>
      <x:c r="S193" s="3" t="s">
        <x:v>135</x:v>
      </x:c>
      <x:c r="T193" s="3" t="s">
        <x:v>111</x:v>
      </x:c>
      <x:c r="U193" s="3" t="s">
        <x:v>136</x:v>
      </x:c>
      <x:c r="V193" s="3" t="s">
        <x:v>137</x:v>
      </x:c>
      <x:c r="W193" s="3" t="s">
        <x:v>138</x:v>
      </x:c>
      <x:c r="X193" s="3" t="s">
        <x:v>139</x:v>
      </x:c>
      <x:c r="Y193" s="3" t="s">
        <x:v>454</x:v>
      </x:c>
      <x:c r="Z193" s="3" t="s">
        <x:v>141</x:v>
      </x:c>
      <x:c r="AA193" s="3" t="s">
        <x:v>118</x:v>
      </x:c>
      <x:c r="AB193" s="7" t="n">
        <x:v>46258.6583333333</x:v>
      </x:c>
      <x:c r="AC193" s="7" t="n">
        <x:v>46258.6597222222</x:v>
      </x:c>
      <x:c r="AD193" s="7" t="n">
        <x:v>46258.6625</x:v>
      </x:c>
      <x:c r="AE193" s="7" t="n">
        <x:v>46258.6805555556</x:v>
      </x:c>
      <x:c r="AF193" s="7" t="n">
        <x:v>46258.7576388889</x:v>
      </x:c>
      <x:c r="AG193" s="3" t="n">
        <x:v>32</x:v>
      </x:c>
      <x:c r="AH193" s="3" t="n">
        <x:v>103</x:v>
      </x:c>
      <x:c r="AI193" s="3" t="s">
        <x:v>135</x:v>
      </x:c>
      <x:c r="AJ193" s="3" t="s">
        <x:v>135</x:v>
      </x:c>
      <x:c r="AK193" s="3" t="n">
        <x:v>180</x:v>
      </x:c>
      <x:c r="AL193" s="3" t="n">
        <x:v>0</x:v>
      </x:c>
      <x:c r="AM193" s="8" t="n">
        <x:v>0.75</x:v>
      </x:c>
      <x:c r="AN193" s="3" t="n">
        <x:v>1</x:v>
      </x:c>
      <x:c r="AO193" s="3" t="s">
        <x:v>14</x:v>
      </x:c>
      <x:c r="AP193" s="3" t="s">
        <x:v>471</x:v>
      </x:c>
      <x:c r="AQ193" s="3" t="s">
        <x:v>501</x:v>
      </x:c>
      <x:c r="AR193" s="9" t="n">
        <x:v>1525.6</x:v>
      </x:c>
      <x:c r="AS193" s="3" t="s">
        <x:v>185</x:v>
      </x:c>
      <x:c r="AT193" s="7" t="n">
        <x:v>46301.9166666667</x:v>
      </x:c>
    </x:row>
    <x:row r="194" ht="31.299999237060547" hidden="0">
      <x:c r="A194" s="3" t="s">
        <x:v>680</x:v>
      </x:c>
      <x:c r="B194" s="3" t="s">
        <x:v>205</x:v>
      </x:c>
      <x:c r="C194" s="3" t="s">
        <x:v>206</x:v>
      </x:c>
      <x:c r="D194" s="3" t="s">
        <x:v>207</x:v>
      </x:c>
      <x:c r="E194" s="3" t="s">
        <x:v>249</x:v>
      </x:c>
      <x:c r="F194" s="3" t="s">
        <x:v>99</x:v>
      </x:c>
      <x:c r="G194" s="3" t="s">
        <x:v>416</x:v>
      </x:c>
      <x:c r="H194" s="3" t="s">
        <x:v>339</x:v>
      </x:c>
      <x:c r="I194" s="3" t="s">
        <x:v>102</x:v>
      </x:c>
      <x:c r="J194" s="3" t="s">
        <x:v>103</x:v>
      </x:c>
      <x:c r="K194" s="3" t="s">
        <x:v>104</x:v>
      </x:c>
      <x:c r="L194" s="3" t="s">
        <x:v>209</x:v>
      </x:c>
      <x:c r="M194" s="3" t="s">
        <x:v>210</x:v>
      </x:c>
      <x:c r="N194" s="3" t="s">
        <x:v>211</x:v>
      </x:c>
      <x:c r="O194" s="3" t="s">
        <x:v>212</x:v>
      </x:c>
      <x:c r="P194" s="3" t="s">
        <x:v>213</x:v>
      </x:c>
      <x:c r="Q194" s="3" t="s">
        <x:v>254</x:v>
      </x:c>
      <x:c r="R194" s="3" t="s">
        <x:v>373</x:v>
      </x:c>
      <x:c r="S194" s="3" t="s">
        <x:v>135</x:v>
      </x:c>
      <x:c r="T194" s="3" t="s">
        <x:v>111</x:v>
      </x:c>
      <x:c r="U194" s="3" t="s">
        <x:v>374</x:v>
      </x:c>
      <x:c r="V194" s="3" t="s">
        <x:v>178</x:v>
      </x:c>
      <x:c r="W194" s="3" t="s">
        <x:v>332</x:v>
      </x:c>
      <x:c r="X194" s="3" t="s">
        <x:v>180</x:v>
      </x:c>
      <x:c r="Y194" s="3" t="s">
        <x:v>333</x:v>
      </x:c>
      <x:c r="Z194" s="3" t="s">
        <x:v>375</x:v>
      </x:c>
      <x:c r="AA194" s="3" t="s">
        <x:v>118</x:v>
      </x:c>
      <x:c r="AB194" s="7" t="n">
        <x:v>46258.6770833333</x:v>
      </x:c>
      <x:c r="AC194" s="7" t="n">
        <x:v>46258.6784722222</x:v>
      </x:c>
      <x:c r="AD194" s="7" t="n">
        <x:v>46258.6847222222</x:v>
      </x:c>
      <x:c r="AE194" s="7" t="n">
        <x:v>46258.7131944444</x:v>
      </x:c>
      <x:c r="AF194" s="7" t="n">
        <x:v>46258.7548611111</x:v>
      </x:c>
      <x:c r="AG194" s="3" t="n">
        <x:v>52</x:v>
      </x:c>
      <x:c r="AH194" s="3" t="n">
        <x:v>52</x:v>
      </x:c>
      <x:c r="AI194" s="3" t="s">
        <x:v>135</x:v>
      </x:c>
      <x:c r="AJ194" s="3" t="s">
        <x:v>135</x:v>
      </x:c>
      <x:c r="AK194" s="3" t="n">
        <x:v>180</x:v>
      </x:c>
      <x:c r="AL194" s="3" t="n">
        <x:v>0</x:v>
      </x:c>
      <x:c r="AM194" s="8" t="n">
        <x:v>0.5778</x:v>
      </x:c>
      <x:c r="AN194" s="3" t="n">
        <x:v>0</x:v>
      </x:c>
      <x:c r="AO194" s="3" t="s">
        <x:v>9</x:v>
      </x:c>
      <x:c r="AP194" s="3" t="s">
        <x:v>142</x:v>
      </x:c>
      <x:c r="AQ194" s="3" t="s">
        <x:v>478</x:v>
      </x:c>
      <x:c r="AR194" s="9" t="n">
        <x:v>868.4</x:v>
      </x:c>
      <x:c r="AS194" s="3" t="s">
        <x:v>121</x:v>
      </x:c>
      <x:c r="AT194" s="7" t="n">
        <x:v>46301.9166666667</x:v>
      </x:c>
    </x:row>
    <x:row r="195" ht="31.299999237060547" hidden="0">
      <x:c r="A195" s="3" t="s">
        <x:v>681</x:v>
      </x:c>
      <x:c r="B195" s="3" t="s">
        <x:v>321</x:v>
      </x:c>
      <x:c r="C195" s="3" t="s">
        <x:v>322</x:v>
      </x:c>
      <x:c r="D195" s="3" t="s">
        <x:v>323</x:v>
      </x:c>
      <x:c r="E195" s="3" t="s">
        <x:v>249</x:v>
      </x:c>
      <x:c r="F195" s="3" t="s">
        <x:v>99</x:v>
      </x:c>
      <x:c r="G195" s="3" t="s">
        <x:v>400</x:v>
      </x:c>
      <x:c r="H195" s="3" t="s">
        <x:v>301</x:v>
      </x:c>
      <x:c r="I195" s="3" t="s">
        <x:v>302</x:v>
      </x:c>
      <x:c r="J195" s="3" t="s">
        <x:v>303</x:v>
      </x:c>
      <x:c r="K195" s="3" t="s">
        <x:v>104</x:v>
      </x:c>
      <x:c r="L195" s="3" t="s">
        <x:v>325</x:v>
      </x:c>
      <x:c r="M195" s="3" t="s">
        <x:v>326</x:v>
      </x:c>
      <x:c r="N195" s="3" t="s">
        <x:v>131</x:v>
      </x:c>
      <x:c r="O195" s="3" t="s">
        <x:v>327</x:v>
      </x:c>
      <x:c r="P195" s="3" t="s">
        <x:v>328</x:v>
      </x:c>
      <x:c r="Q195" s="3" t="s">
        <x:v>329</x:v>
      </x:c>
      <x:c r="R195" s="3" t="s">
        <x:v>134</x:v>
      </x:c>
      <x:c r="S195" s="3" t="s">
        <x:v>135</x:v>
      </x:c>
      <x:c r="T195" s="3" t="s">
        <x:v>111</x:v>
      </x:c>
      <x:c r="U195" s="3" t="s">
        <x:v>136</x:v>
      </x:c>
      <x:c r="V195" s="3" t="s">
        <x:v>137</x:v>
      </x:c>
      <x:c r="W195" s="3" t="s">
        <x:v>138</x:v>
      </x:c>
      <x:c r="X195" s="3" t="s">
        <x:v>139</x:v>
      </x:c>
      <x:c r="Y195" s="3" t="s">
        <x:v>454</x:v>
      </x:c>
      <x:c r="Z195" s="3" t="s">
        <x:v>141</x:v>
      </x:c>
      <x:c r="AA195" s="3" t="s">
        <x:v>118</x:v>
      </x:c>
      <x:c r="AB195" s="7" t="n">
        <x:v>46258.7520833333</x:v>
      </x:c>
      <x:c r="AC195" s="7" t="n">
        <x:v>46258.7541666667</x:v>
      </x:c>
      <x:c r="AD195" s="7" t="n">
        <x:v>46258.7569444444</x:v>
      </x:c>
      <x:c r="AE195" s="7" t="n">
        <x:v>46258.7847222222</x:v>
      </x:c>
      <x:c r="AF195" s="7" t="n">
        <x:v>46258.8118055556</x:v>
      </x:c>
      <x:c r="AG195" s="3" t="n">
        <x:v>47</x:v>
      </x:c>
      <x:c r="AH195" s="3" t="n">
        <x:v>29</x:v>
      </x:c>
      <x:c r="AI195" s="3" t="s">
        <x:v>135</x:v>
      </x:c>
      <x:c r="AJ195" s="3" t="s">
        <x:v>111</x:v>
      </x:c>
      <x:c r="AK195" s="3" t="n">
        <x:v>180</x:v>
      </x:c>
      <x:c r="AL195" s="3" t="n">
        <x:v>0</x:v>
      </x:c>
      <x:c r="AM195" s="8" t="n">
        <x:v>0.4222</x:v>
      </x:c>
      <x:c r="AN195" s="3" t="n">
        <x:v>0</x:v>
      </x:c>
      <x:c r="AO195" s="3" t="s">
        <x:v>9</x:v>
      </x:c>
      <x:c r="AP195" s="3" t="s">
        <x:v>335</x:v>
      </x:c>
      <x:c r="AQ195" s="3" t="s">
        <x:v>336</x:v>
      </x:c>
      <x:c r="AR195" s="9" t="n">
        <x:v>680.3</x:v>
      </x:c>
      <x:c r="AS195" s="3" t="s">
        <x:v>144</x:v>
      </x:c>
      <x:c r="AT195" s="7" t="n">
        <x:v>46301.9166666667</x:v>
      </x:c>
    </x:row>
    <x:row r="196" ht="31.299999237060547" hidden="0">
      <x:c r="A196" s="3" t="s">
        <x:v>682</x:v>
      </x:c>
      <x:c r="B196" s="3" t="s">
        <x:v>123</x:v>
      </x:c>
      <x:c r="C196" s="3" t="s">
        <x:v>124</x:v>
      </x:c>
      <x:c r="D196" s="3" t="s">
        <x:v>125</x:v>
      </x:c>
      <x:c r="E196" s="3" t="s">
        <x:v>249</x:v>
      </x:c>
      <x:c r="F196" s="3" t="s">
        <x:v>127</x:v>
      </x:c>
      <x:c r="G196" s="3" t="s">
        <x:v>364</x:v>
      </x:c>
      <x:c r="H196" s="3" t="s">
        <x:v>339</x:v>
      </x:c>
      <x:c r="I196" s="3" t="s">
        <x:v>102</x:v>
      </x:c>
      <x:c r="J196" s="3" t="s">
        <x:v>103</x:v>
      </x:c>
      <x:c r="K196" s="3" t="s">
        <x:v>104</x:v>
      </x:c>
      <x:c r="L196" s="3" t="s">
        <x:v>129</x:v>
      </x:c>
      <x:c r="M196" s="3" t="s">
        <x:v>130</x:v>
      </x:c>
      <x:c r="N196" s="3" t="s">
        <x:v>131</x:v>
      </x:c>
      <x:c r="O196" s="3" t="s">
        <x:v>132</x:v>
      </x:c>
      <x:c r="P196" s="3" t="s">
        <x:v>133</x:v>
      </x:c>
      <x:c r="Q196" s="3" t="s">
        <x:v>268</x:v>
      </x:c>
      <x:c r="R196" s="3" t="s">
        <x:v>196</x:v>
      </x:c>
      <x:c r="S196" s="3" t="s">
        <x:v>111</x:v>
      </x:c>
      <x:c r="T196" s="3" t="s">
        <x:v>111</x:v>
      </x:c>
      <x:c r="U196" s="3" t="s">
        <x:v>197</x:v>
      </x:c>
      <x:c r="V196" s="3" t="s">
        <x:v>198</x:v>
      </x:c>
      <x:c r="W196" s="3" t="s">
        <x:v>199</x:v>
      </x:c>
      <x:c r="X196" s="3" t="s">
        <x:v>366</x:v>
      </x:c>
      <x:c r="Y196" s="3" t="s">
        <x:v>527</x:v>
      </x:c>
      <x:c r="Z196" s="3" t="s">
        <x:v>201</x:v>
      </x:c>
      <x:c r="AA196" s="3" t="s">
        <x:v>368</x:v>
      </x:c>
      <x:c r="AB196" s="7" t="n">
        <x:v>46259.3340277778</x:v>
      </x:c>
      <x:c r="AC196" s="7" t="n">
        <x:v>46259.3361111111</x:v>
      </x:c>
      <x:c r="AD196" s="7" t="n">
        <x:v>46259.3388888889</x:v>
      </x:c>
      <x:c r="AE196" s="7" t="n">
        <x:v>46259.3534722222</x:v>
      </x:c>
      <x:c r="AF196" s="7" t="n">
        <x:v>46259.3888888889</x:v>
      </x:c>
      <x:c r="AG196" s="3" t="n">
        <x:v>28</x:v>
      </x:c>
      <x:c r="AH196" s="3" t="n">
        <x:v>41</x:v>
      </x:c>
      <x:c r="AI196" s="3" t="s">
        <x:v>135</x:v>
      </x:c>
      <x:c r="AJ196" s="3" t="s">
        <x:v>135</x:v>
      </x:c>
      <x:c r="AK196" s="3" t="n">
        <x:v>120</x:v>
      </x:c>
      <x:c r="AL196" s="3" t="n">
        <x:v>0</x:v>
      </x:c>
      <x:c r="AM196" s="8" t="n">
        <x:v>0.575</x:v>
      </x:c>
      <x:c r="AN196" s="3" t="n">
        <x:v>0</x:v>
      </x:c>
      <x:c r="AO196" s="3" t="s">
        <x:v>9</x:v>
      </x:c>
      <x:c r="AP196" s="3" t="s">
        <x:v>142</x:v>
      </x:c>
      <x:c r="AQ196" s="3" t="s">
        <x:v>357</x:v>
      </x:c>
      <x:c r="AR196" s="9" t="n">
        <x:v>681.2</x:v>
      </x:c>
      <x:c r="AS196" s="3" t="s">
        <x:v>121</x:v>
      </x:c>
      <x:c r="AT196" s="7" t="n">
        <x:v>46301.9166666667</x:v>
      </x:c>
    </x:row>
    <x:row r="197" ht="31.299999237060547" hidden="0">
      <x:c r="A197" s="3" t="s">
        <x:v>683</x:v>
      </x:c>
      <x:c r="B197" s="3" t="s">
        <x:v>321</x:v>
      </x:c>
      <x:c r="C197" s="3" t="s">
        <x:v>322</x:v>
      </x:c>
      <x:c r="D197" s="3" t="s">
        <x:v>323</x:v>
      </x:c>
      <x:c r="E197" s="3" t="s">
        <x:v>249</x:v>
      </x:c>
      <x:c r="F197" s="3" t="s">
        <x:v>149</x:v>
      </x:c>
      <x:c r="G197" s="3" t="s">
        <x:v>324</x:v>
      </x:c>
      <x:c r="H197" s="3" t="s">
        <x:v>301</x:v>
      </x:c>
      <x:c r="I197" s="3" t="s">
        <x:v>302</x:v>
      </x:c>
      <x:c r="J197" s="3" t="s">
        <x:v>303</x:v>
      </x:c>
      <x:c r="K197" s="3" t="s">
        <x:v>104</x:v>
      </x:c>
      <x:c r="L197" s="3" t="s">
        <x:v>325</x:v>
      </x:c>
      <x:c r="M197" s="3" t="s">
        <x:v>326</x:v>
      </x:c>
      <x:c r="N197" s="3" t="s">
        <x:v>131</x:v>
      </x:c>
      <x:c r="O197" s="3" t="s">
        <x:v>327</x:v>
      </x:c>
      <x:c r="P197" s="3" t="s">
        <x:v>328</x:v>
      </x:c>
      <x:c r="Q197" s="3" t="s">
        <x:v>329</x:v>
      </x:c>
      <x:c r="R197" s="3" t="s">
        <x:v>330</x:v>
      </x:c>
      <x:c r="S197" s="3" t="s">
        <x:v>135</x:v>
      </x:c>
      <x:c r="T197" s="3" t="s">
        <x:v>111</x:v>
      </x:c>
      <x:c r="U197" s="3" t="s">
        <x:v>331</x:v>
      </x:c>
      <x:c r="V197" s="3" t="s">
        <x:v>178</x:v>
      </x:c>
      <x:c r="W197" s="3" t="s">
        <x:v>179</x:v>
      </x:c>
      <x:c r="X197" s="3" t="s">
        <x:v>180</x:v>
      </x:c>
      <x:c r="Y197" s="3" t="s">
        <x:v>414</x:v>
      </x:c>
      <x:c r="Z197" s="3" t="s">
        <x:v>334</x:v>
      </x:c>
      <x:c r="AA197" s="3" t="s">
        <x:v>118</x:v>
      </x:c>
      <x:c r="AB197" s="7" t="n">
        <x:v>46259.3826388889</x:v>
      </x:c>
      <x:c r="AC197" s="7" t="n">
        <x:v>46259.3875</x:v>
      </x:c>
      <x:c r="AD197" s="7" t="n">
        <x:v>46259.3909722222</x:v>
      </x:c>
      <x:c r="AE197" s="7" t="n">
        <x:v>46259.4201388889</x:v>
      </x:c>
      <x:c r="AF197" s="7" t="n">
        <x:v>46259.4340277778</x:v>
      </x:c>
      <x:c r="AG197" s="3" t="n">
        <x:v>54</x:v>
      </x:c>
      <x:c r="AH197" s="3" t="n">
        <x:v>12</x:v>
      </x:c>
      <x:c r="AI197" s="3" t="s">
        <x:v>135</x:v>
      </x:c>
      <x:c r="AJ197" s="3" t="s">
        <x:v>111</x:v>
      </x:c>
      <x:c r="AK197" s="3" t="n">
        <x:v>180</x:v>
      </x:c>
      <x:c r="AL197" s="3" t="n">
        <x:v>0</x:v>
      </x:c>
      <x:c r="AM197" s="8" t="n">
        <x:v>0.3667</x:v>
      </x:c>
      <x:c r="AN197" s="3" t="n">
        <x:v>3</x:v>
      </x:c>
      <x:c r="AO197" s="3" t="s">
        <x:v>14</x:v>
      </x:c>
      <x:c r="AP197" s="3" t="s">
        <x:v>684</x:v>
      </x:c>
      <x:c r="AQ197" s="3" t="s">
        <x:v>685</x:v>
      </x:c>
      <x:c r="AR197" s="9" t="n">
        <x:v>839.4</x:v>
      </x:c>
      <x:c r="AS197" s="3" t="s">
        <x:v>185</x:v>
      </x:c>
      <x:c r="AT197" s="7" t="n">
        <x:v>46301.9166666667</x:v>
      </x:c>
    </x:row>
    <x:row r="198" ht="31.299999237060547" hidden="0">
      <x:c r="A198" s="3" t="s">
        <x:v>686</x:v>
      </x:c>
      <x:c r="B198" s="3" t="s">
        <x:v>433</x:v>
      </x:c>
      <x:c r="C198" s="3" t="s">
        <x:v>434</x:v>
      </x:c>
      <x:c r="D198" s="3" t="s">
        <x:v>435</x:v>
      </x:c>
      <x:c r="E198" s="3" t="s">
        <x:v>249</x:v>
      </x:c>
      <x:c r="F198" s="3" t="s">
        <x:v>169</x:v>
      </x:c>
      <x:c r="G198" s="3" t="s">
        <x:v>657</x:v>
      </x:c>
      <x:c r="H198" s="3" t="s">
        <x:v>301</x:v>
      </x:c>
      <x:c r="I198" s="3" t="s">
        <x:v>302</x:v>
      </x:c>
      <x:c r="J198" s="3" t="s">
        <x:v>303</x:v>
      </x:c>
      <x:c r="K198" s="3" t="s">
        <x:v>104</x:v>
      </x:c>
      <x:c r="L198" s="3" t="s">
        <x:v>437</x:v>
      </x:c>
      <x:c r="M198" s="3" t="s">
        <x:v>106</x:v>
      </x:c>
      <x:c r="N198" s="3" t="s">
        <x:v>438</x:v>
      </x:c>
      <x:c r="O198" s="3" t="s">
        <x:v>439</x:v>
      </x:c>
      <x:c r="P198" s="3" t="s">
        <x:v>440</x:v>
      </x:c>
      <x:c r="Q198" s="3" t="s">
        <x:v>441</x:v>
      </x:c>
      <x:c r="R198" s="3" t="s">
        <x:v>330</x:v>
      </x:c>
      <x:c r="S198" s="3" t="s">
        <x:v>135</x:v>
      </x:c>
      <x:c r="T198" s="3" t="s">
        <x:v>111</x:v>
      </x:c>
      <x:c r="U198" s="3" t="s">
        <x:v>331</x:v>
      </x:c>
      <x:c r="V198" s="3" t="s">
        <x:v>178</x:v>
      </x:c>
      <x:c r="W198" s="3" t="s">
        <x:v>355</x:v>
      </x:c>
      <x:c r="X198" s="3" t="s">
        <x:v>180</x:v>
      </x:c>
      <x:c r="Y198" s="3" t="s">
        <x:v>356</x:v>
      </x:c>
      <x:c r="Z198" s="3" t="s">
        <x:v>334</x:v>
      </x:c>
      <x:c r="AA198" s="3" t="s">
        <x:v>118</x:v>
      </x:c>
      <x:c r="AB198" s="7" t="n">
        <x:v>46259.3861111111</x:v>
      </x:c>
      <x:c r="AC198" s="7" t="n">
        <x:v>46259.3895833333</x:v>
      </x:c>
      <x:c r="AD198" s="7" t="n">
        <x:v>46259.39375</x:v>
      </x:c>
      <x:c r="AE198" s="7" t="n">
        <x:v>46259.4097222222</x:v>
      </x:c>
      <x:c r="AF198" s="7" t="n">
        <x:v>46259.45625</x:v>
      </x:c>
      <x:c r="AG198" s="3" t="n">
        <x:v>34</x:v>
      </x:c>
      <x:c r="AH198" s="3" t="n">
        <x:v>61</x:v>
      </x:c>
      <x:c r="AI198" s="3" t="s">
        <x:v>135</x:v>
      </x:c>
      <x:c r="AJ198" s="3" t="s">
        <x:v>135</x:v>
      </x:c>
      <x:c r="AK198" s="3" t="n">
        <x:v>180</x:v>
      </x:c>
      <x:c r="AL198" s="3" t="n">
        <x:v>0</x:v>
      </x:c>
      <x:c r="AM198" s="8" t="n">
        <x:v>0.5278</x:v>
      </x:c>
      <x:c r="AN198" s="3" t="n">
        <x:v>0</x:v>
      </x:c>
      <x:c r="AO198" s="3" t="s">
        <x:v>9</x:v>
      </x:c>
      <x:c r="AP198" s="3" t="s">
        <x:v>142</x:v>
      </x:c>
      <x:c r="AQ198" s="3" t="s">
        <x:v>120</x:v>
      </x:c>
      <x:c r="AR198" s="9" t="n">
        <x:v>852.2</x:v>
      </x:c>
      <x:c r="AS198" s="3" t="s">
        <x:v>121</x:v>
      </x:c>
      <x:c r="AT198" s="7" t="n">
        <x:v>46301.9166666667</x:v>
      </x:c>
    </x:row>
    <x:row r="199" ht="31.299999237060547" hidden="0">
      <x:c r="A199" s="3" t="s">
        <x:v>687</x:v>
      </x:c>
      <x:c r="B199" s="3" t="s">
        <x:v>321</x:v>
      </x:c>
      <x:c r="C199" s="3" t="s">
        <x:v>322</x:v>
      </x:c>
      <x:c r="D199" s="3" t="s">
        <x:v>323</x:v>
      </x:c>
      <x:c r="E199" s="3" t="s">
        <x:v>249</x:v>
      </x:c>
      <x:c r="F199" s="3" t="s">
        <x:v>149</x:v>
      </x:c>
      <x:c r="G199" s="3" t="s">
        <x:v>512</x:v>
      </x:c>
      <x:c r="H199" s="3" t="s">
        <x:v>301</x:v>
      </x:c>
      <x:c r="I199" s="3" t="s">
        <x:v>302</x:v>
      </x:c>
      <x:c r="J199" s="3" t="s">
        <x:v>303</x:v>
      </x:c>
      <x:c r="K199" s="3" t="s">
        <x:v>104</x:v>
      </x:c>
      <x:c r="L199" s="3" t="s">
        <x:v>325</x:v>
      </x:c>
      <x:c r="M199" s="3" t="s">
        <x:v>326</x:v>
      </x:c>
      <x:c r="N199" s="3" t="s">
        <x:v>131</x:v>
      </x:c>
      <x:c r="O199" s="3" t="s">
        <x:v>327</x:v>
      </x:c>
      <x:c r="P199" s="3" t="s">
        <x:v>328</x:v>
      </x:c>
      <x:c r="Q199" s="3" t="s">
        <x:v>329</x:v>
      </x:c>
      <x:c r="R199" s="3" t="s">
        <x:v>214</x:v>
      </x:c>
      <x:c r="S199" s="3" t="s">
        <x:v>135</x:v>
      </x:c>
      <x:c r="T199" s="3" t="s">
        <x:v>111</x:v>
      </x:c>
      <x:c r="U199" s="3" t="s">
        <x:v>215</x:v>
      </x:c>
      <x:c r="V199" s="3" t="s">
        <x:v>216</x:v>
      </x:c>
      <x:c r="W199" s="3" t="s">
        <x:v>429</x:v>
      </x:c>
      <x:c r="X199" s="3" t="s">
        <x:v>430</x:v>
      </x:c>
      <x:c r="Y199" s="3" t="s">
        <x:v>431</x:v>
      </x:c>
      <x:c r="Z199" s="3" t="s">
        <x:v>219</x:v>
      </x:c>
      <x:c r="AA199" s="3" t="s">
        <x:v>118</x:v>
      </x:c>
      <x:c r="AB199" s="7" t="n">
        <x:v>46259.5319444445</x:v>
      </x:c>
      <x:c r="AC199" s="7" t="n">
        <x:v>46259.5354166667</x:v>
      </x:c>
      <x:c r="AD199" s="7" t="n">
        <x:v>46259.5416666667</x:v>
      </x:c>
      <x:c r="AE199" s="7" t="n">
        <x:v>46259.5597222222</x:v>
      </x:c>
      <x:c r="AF199" s="7" t="n">
        <x:v>46259.5756944444</x:v>
      </x:c>
      <x:c r="AG199" s="3" t="n">
        <x:v>40</x:v>
      </x:c>
      <x:c r="AH199" s="3" t="n">
        <x:v>17</x:v>
      </x:c>
      <x:c r="AI199" s="3" t="s">
        <x:v>135</x:v>
      </x:c>
      <x:c r="AJ199" s="3" t="s">
        <x:v>111</x:v>
      </x:c>
      <x:c r="AK199" s="3" t="n">
        <x:v>180</x:v>
      </x:c>
      <x:c r="AL199" s="3" t="n">
        <x:v>0</x:v>
      </x:c>
      <x:c r="AM199" s="8" t="n">
        <x:v>0.3167</x:v>
      </x:c>
      <x:c r="AN199" s="3" t="n">
        <x:v>0</x:v>
      </x:c>
      <x:c r="AO199" s="3" t="s">
        <x:v>9</x:v>
      </x:c>
      <x:c r="AP199" s="3" t="s">
        <x:v>335</x:v>
      </x:c>
      <x:c r="AQ199" s="3" t="s">
        <x:v>336</x:v>
      </x:c>
      <x:c r="AR199" s="9" t="n">
        <x:v>562.4</x:v>
      </x:c>
      <x:c r="AS199" s="3" t="s">
        <x:v>144</x:v>
      </x:c>
      <x:c r="AT199" s="7" t="n">
        <x:v>46301.9166666667</x:v>
      </x:c>
    </x:row>
    <x:row r="200" ht="31.299999237060547" hidden="0">
      <x:c r="A200" s="3" t="s">
        <x:v>688</x:v>
      </x:c>
      <x:c r="B200" s="3" t="s">
        <x:v>187</x:v>
      </x:c>
      <x:c r="C200" s="3" t="s">
        <x:v>188</x:v>
      </x:c>
      <x:c r="D200" s="3" t="s">
        <x:v>189</x:v>
      </x:c>
      <x:c r="E200" s="3" t="s">
        <x:v>249</x:v>
      </x:c>
      <x:c r="F200" s="3" t="s">
        <x:v>127</x:v>
      </x:c>
      <x:c r="G200" s="3" t="s">
        <x:v>349</x:v>
      </x:c>
      <x:c r="H200" s="3" t="s">
        <x:v>343</x:v>
      </x:c>
      <x:c r="I200" s="3" t="s">
        <x:v>102</x:v>
      </x:c>
      <x:c r="J200" s="3" t="s">
        <x:v>103</x:v>
      </x:c>
      <x:c r="K200" s="3" t="s">
        <x:v>104</x:v>
      </x:c>
      <x:c r="L200" s="3" t="s">
        <x:v>191</x:v>
      </x:c>
      <x:c r="M200" s="3" t="s">
        <x:v>192</x:v>
      </x:c>
      <x:c r="N200" s="3" t="s">
        <x:v>193</x:v>
      </x:c>
      <x:c r="O200" s="3" t="s">
        <x:v>194</x:v>
      </x:c>
      <x:c r="P200" s="3" t="s">
        <x:v>195</x:v>
      </x:c>
      <x:c r="Q200" s="3" t="s">
        <x:v>273</x:v>
      </x:c>
      <x:c r="R200" s="3" t="s">
        <x:v>344</x:v>
      </x:c>
      <x:c r="S200" s="3" t="s">
        <x:v>111</x:v>
      </x:c>
      <x:c r="T200" s="3" t="s">
        <x:v>111</x:v>
      </x:c>
      <x:c r="U200" s="3" t="s">
        <x:v>345</x:v>
      </x:c>
      <x:c r="V200" s="3" t="s">
        <x:v>178</x:v>
      </x:c>
      <x:c r="W200" s="3" t="s">
        <x:v>179</x:v>
      </x:c>
      <x:c r="X200" s="3" t="s">
        <x:v>180</x:v>
      </x:c>
      <x:c r="Y200" s="3" t="s">
        <x:v>414</x:v>
      </x:c>
      <x:c r="Z200" s="3" t="s">
        <x:v>346</x:v>
      </x:c>
      <x:c r="AA200" s="3" t="s">
        <x:v>118</x:v>
      </x:c>
      <x:c r="AB200" s="7" t="n">
        <x:v>46259.6236111111</x:v>
      </x:c>
      <x:c r="AC200" s="7" t="n">
        <x:v>46259.6263888889</x:v>
      </x:c>
      <x:c r="AD200" s="7" t="n">
        <x:v>46259.6319444444</x:v>
      </x:c>
      <x:c r="AE200" s="7" t="n">
        <x:v>46259.6381944444</x:v>
      </x:c>
      <x:c r="AF200" s="7" t="n">
        <x:v>46259.6854166667</x:v>
      </x:c>
      <x:c r="AG200" s="3" t="n">
        <x:v>21</x:v>
      </x:c>
      <x:c r="AH200" s="3" t="n">
        <x:v>62</x:v>
      </x:c>
      <x:c r="AI200" s="3" t="s">
        <x:v>135</x:v>
      </x:c>
      <x:c r="AJ200" s="3" t="s">
        <x:v>111</x:v>
      </x:c>
      <x:c r="AK200" s="3" t="n">
        <x:v>120</x:v>
      </x:c>
      <x:c r="AL200" s="3" t="n">
        <x:v>0</x:v>
      </x:c>
      <x:c r="AM200" s="8" t="n">
        <x:v>0.6917</x:v>
      </x:c>
      <x:c r="AN200" s="3" t="n">
        <x:v>1</x:v>
      </x:c>
      <x:c r="AO200" s="3" t="s">
        <x:v>14</x:v>
      </x:c>
      <x:c r="AP200" s="3" t="s">
        <x:v>664</x:v>
      </x:c>
      <x:c r="AQ200" s="3" t="s">
        <x:v>689</x:v>
      </x:c>
      <x:c r="AR200" s="9" t="n">
        <x:v>1180.9</x:v>
      </x:c>
      <x:c r="AS200" s="3" t="s">
        <x:v>121</x:v>
      </x:c>
      <x:c r="AT200" s="7" t="n">
        <x:v>46301.9166666667</x:v>
      </x:c>
    </x:row>
    <x:row r="201" ht="31.299999237060547" hidden="0">
      <x:c r="A201" s="3" t="s">
        <x:v>690</x:v>
      </x:c>
      <x:c r="B201" s="3" t="s">
        <x:v>222</x:v>
      </x:c>
      <x:c r="C201" s="3" t="s">
        <x:v>223</x:v>
      </x:c>
      <x:c r="D201" s="3" t="s">
        <x:v>224</x:v>
      </x:c>
      <x:c r="E201" s="3" t="s">
        <x:v>249</x:v>
      </x:c>
      <x:c r="F201" s="3" t="s">
        <x:v>149</x:v>
      </x:c>
      <x:c r="G201" s="3" t="s">
        <x:v>491</x:v>
      </x:c>
      <x:c r="H201" s="3" t="s">
        <x:v>101</x:v>
      </x:c>
      <x:c r="I201" s="3" t="s">
        <x:v>102</x:v>
      </x:c>
      <x:c r="J201" s="3" t="s">
        <x:v>103</x:v>
      </x:c>
      <x:c r="K201" s="3" t="s">
        <x:v>104</x:v>
      </x:c>
      <x:c r="L201" s="3" t="s">
        <x:v>226</x:v>
      </x:c>
      <x:c r="M201" s="3" t="s">
        <x:v>227</x:v>
      </x:c>
      <x:c r="N201" s="3" t="s">
        <x:v>228</x:v>
      </x:c>
      <x:c r="O201" s="3" t="s">
        <x:v>229</x:v>
      </x:c>
      <x:c r="P201" s="3" t="s">
        <x:v>230</x:v>
      </x:c>
      <x:c r="Q201" s="3" t="s">
        <x:v>274</x:v>
      </x:c>
      <x:c r="R201" s="3" t="s">
        <x:v>373</x:v>
      </x:c>
      <x:c r="S201" s="3" t="s">
        <x:v>135</x:v>
      </x:c>
      <x:c r="T201" s="3" t="s">
        <x:v>111</x:v>
      </x:c>
      <x:c r="U201" s="3" t="s">
        <x:v>374</x:v>
      </x:c>
      <x:c r="V201" s="3" t="s">
        <x:v>178</x:v>
      </x:c>
      <x:c r="W201" s="3" t="s">
        <x:v>179</x:v>
      </x:c>
      <x:c r="X201" s="3" t="s">
        <x:v>180</x:v>
      </x:c>
      <x:c r="Y201" s="3" t="s">
        <x:v>414</x:v>
      </x:c>
      <x:c r="Z201" s="3" t="s">
        <x:v>375</x:v>
      </x:c>
      <x:c r="AA201" s="3" t="s">
        <x:v>118</x:v>
      </x:c>
      <x:c r="AB201" s="7" t="n">
        <x:v>46259.6326388889</x:v>
      </x:c>
      <x:c r="AC201" s="7" t="n">
        <x:v>46259.6354166667</x:v>
      </x:c>
      <x:c r="AD201" s="7" t="n">
        <x:v>46259.6368055556</x:v>
      </x:c>
      <x:c r="AE201" s="7" t="n">
        <x:v>46259.6645833333</x:v>
      </x:c>
      <x:c r="AF201" s="7" t="n">
        <x:v>46259.7048611111</x:v>
      </x:c>
      <x:c r="AG201" s="3" t="n">
        <x:v>46</x:v>
      </x:c>
      <x:c r="AH201" s="3" t="n">
        <x:v>50</x:v>
      </x:c>
      <x:c r="AI201" s="3" t="s">
        <x:v>135</x:v>
      </x:c>
      <x:c r="AJ201" s="3" t="s">
        <x:v>135</x:v>
      </x:c>
      <x:c r="AK201" s="3" t="n">
        <x:v>180</x:v>
      </x:c>
      <x:c r="AL201" s="3" t="n">
        <x:v>0</x:v>
      </x:c>
      <x:c r="AM201" s="8" t="n">
        <x:v>0.5333</x:v>
      </x:c>
      <x:c r="AN201" s="3" t="n">
        <x:v>2</x:v>
      </x:c>
      <x:c r="AO201" s="3" t="s">
        <x:v>14</x:v>
      </x:c>
      <x:c r="AP201" s="3" t="s">
        <x:v>573</x:v>
      </x:c>
      <x:c r="AQ201" s="3" t="s">
        <x:v>546</x:v>
      </x:c>
      <x:c r="AR201" s="9" t="n">
        <x:v>827</x:v>
      </x:c>
      <x:c r="AS201" s="3" t="s">
        <x:v>121</x:v>
      </x:c>
      <x:c r="AT201" s="7" t="n">
        <x:v>46301.9166666667</x:v>
      </x:c>
    </x:row>
    <x:row r="202" ht="31.299999237060547" hidden="0">
      <x:c r="A202" s="3" t="s">
        <x:v>691</x:v>
      </x:c>
      <x:c r="B202" s="3" t="s">
        <x:v>205</x:v>
      </x:c>
      <x:c r="C202" s="3" t="s">
        <x:v>206</x:v>
      </x:c>
      <x:c r="D202" s="3" t="s">
        <x:v>207</x:v>
      </x:c>
      <x:c r="E202" s="3" t="s">
        <x:v>249</x:v>
      </x:c>
      <x:c r="F202" s="3" t="s">
        <x:v>149</x:v>
      </x:c>
      <x:c r="G202" s="3" t="s">
        <x:v>418</x:v>
      </x:c>
      <x:c r="H202" s="3" t="s">
        <x:v>343</x:v>
      </x:c>
      <x:c r="I202" s="3" t="s">
        <x:v>102</x:v>
      </x:c>
      <x:c r="J202" s="3" t="s">
        <x:v>103</x:v>
      </x:c>
      <x:c r="K202" s="3" t="s">
        <x:v>104</x:v>
      </x:c>
      <x:c r="L202" s="3" t="s">
        <x:v>209</x:v>
      </x:c>
      <x:c r="M202" s="3" t="s">
        <x:v>210</x:v>
      </x:c>
      <x:c r="N202" s="3" t="s">
        <x:v>211</x:v>
      </x:c>
      <x:c r="O202" s="3" t="s">
        <x:v>212</x:v>
      </x:c>
      <x:c r="P202" s="3" t="s">
        <x:v>213</x:v>
      </x:c>
      <x:c r="Q202" s="3" t="s">
        <x:v>254</x:v>
      </x:c>
      <x:c r="R202" s="3" t="s">
        <x:v>110</x:v>
      </x:c>
      <x:c r="S202" s="3" t="s">
        <x:v>111</x:v>
      </x:c>
      <x:c r="T202" s="3" t="s">
        <x:v>111</x:v>
      </x:c>
      <x:c r="U202" s="3" t="s">
        <x:v>112</x:v>
      </x:c>
      <x:c r="V202" s="3" t="s">
        <x:v>113</x:v>
      </x:c>
      <x:c r="W202" s="3" t="s">
        <x:v>419</x:v>
      </x:c>
      <x:c r="X202" s="3" t="s">
        <x:v>115</x:v>
      </x:c>
      <x:c r="Y202" s="3" t="s">
        <x:v>420</x:v>
      </x:c>
      <x:c r="Z202" s="3" t="s">
        <x:v>117</x:v>
      </x:c>
      <x:c r="AA202" s="3" t="s">
        <x:v>118</x:v>
      </x:c>
      <x:c r="AB202" s="7" t="n">
        <x:v>46259.7194444445</x:v>
      </x:c>
      <x:c r="AC202" s="7" t="n">
        <x:v>46259.7236111111</x:v>
      </x:c>
      <x:c r="AD202" s="7" t="n">
        <x:v>46259.7277777778</x:v>
      </x:c>
      <x:c r="AE202" s="7" t="n">
        <x:v>46259.7388888889</x:v>
      </x:c>
      <x:c r="AF202" s="7" t="n">
        <x:v>46259.7590277778</x:v>
      </x:c>
      <x:c r="AG202" s="3" t="n">
        <x:v>28</x:v>
      </x:c>
      <x:c r="AH202" s="3" t="n">
        <x:v>25</x:v>
      </x:c>
      <x:c r="AI202" s="3" t="s">
        <x:v>135</x:v>
      </x:c>
      <x:c r="AJ202" s="3" t="s">
        <x:v>135</x:v>
      </x:c>
      <x:c r="AK202" s="3" t="n">
        <x:v>120</x:v>
      </x:c>
      <x:c r="AL202" s="3" t="n">
        <x:v>0</x:v>
      </x:c>
      <x:c r="AM202" s="8" t="n">
        <x:v>0.4417</x:v>
      </x:c>
      <x:c r="AN202" s="3" t="n">
        <x:v>0</x:v>
      </x:c>
      <x:c r="AO202" s="3" t="s">
        <x:v>9</x:v>
      </x:c>
      <x:c r="AP202" s="3" t="s">
        <x:v>142</x:v>
      </x:c>
      <x:c r="AQ202" s="3" t="s">
        <x:v>478</x:v>
      </x:c>
      <x:c r="AR202" s="9" t="n">
        <x:v>566</x:v>
      </x:c>
      <x:c r="AS202" s="3" t="s">
        <x:v>121</x:v>
      </x:c>
      <x:c r="AT202" s="7" t="n">
        <x:v>46301.9166666667</x:v>
      </x:c>
    </x:row>
    <x:row r="203" ht="31.299999237060547" hidden="0">
      <x:c r="A203" s="3" t="s">
        <x:v>692</x:v>
      </x:c>
      <x:c r="B203" s="3" t="s">
        <x:v>123</x:v>
      </x:c>
      <x:c r="C203" s="3" t="s">
        <x:v>124</x:v>
      </x:c>
      <x:c r="D203" s="3" t="s">
        <x:v>125</x:v>
      </x:c>
      <x:c r="E203" s="3" t="s">
        <x:v>249</x:v>
      </x:c>
      <x:c r="F203" s="3" t="s">
        <x:v>149</x:v>
      </x:c>
      <x:c r="G203" s="3" t="s">
        <x:v>486</x:v>
      </x:c>
      <x:c r="H203" s="3" t="s">
        <x:v>101</x:v>
      </x:c>
      <x:c r="I203" s="3" t="s">
        <x:v>102</x:v>
      </x:c>
      <x:c r="J203" s="3" t="s">
        <x:v>103</x:v>
      </x:c>
      <x:c r="K203" s="3" t="s">
        <x:v>104</x:v>
      </x:c>
      <x:c r="L203" s="3" t="s">
        <x:v>129</x:v>
      </x:c>
      <x:c r="M203" s="3" t="s">
        <x:v>130</x:v>
      </x:c>
      <x:c r="N203" s="3" t="s">
        <x:v>131</x:v>
      </x:c>
      <x:c r="O203" s="3" t="s">
        <x:v>132</x:v>
      </x:c>
      <x:c r="P203" s="3" t="s">
        <x:v>133</x:v>
      </x:c>
      <x:c r="Q203" s="3" t="s">
        <x:v>268</x:v>
      </x:c>
      <x:c r="R203" s="3" t="s">
        <x:v>176</x:v>
      </x:c>
      <x:c r="S203" s="3" t="s">
        <x:v>135</x:v>
      </x:c>
      <x:c r="T203" s="3" t="s">
        <x:v>135</x:v>
      </x:c>
      <x:c r="U203" s="3" t="s">
        <x:v>177</x:v>
      </x:c>
      <x:c r="V203" s="3" t="s">
        <x:v>178</x:v>
      </x:c>
      <x:c r="W203" s="3" t="s">
        <x:v>332</x:v>
      </x:c>
      <x:c r="X203" s="3" t="s">
        <x:v>180</x:v>
      </x:c>
      <x:c r="Y203" s="3" t="s">
        <x:v>333</x:v>
      </x:c>
      <x:c r="Z203" s="3" t="s">
        <x:v>182</x:v>
      </x:c>
      <x:c r="AA203" s="3" t="s">
        <x:v>118</x:v>
      </x:c>
      <x:c r="AB203" s="7" t="n">
        <x:v>46259.7236111111</x:v>
      </x:c>
      <x:c r="AC203" s="7" t="n">
        <x:v>46259.7270833333</x:v>
      </x:c>
      <x:c r="AD203" s="7" t="n">
        <x:v>46259.7305555556</x:v>
      </x:c>
      <x:c r="AE203" s="7" t="n">
        <x:v>46259.75</x:v>
      </x:c>
      <x:c r="AF203" s="7" t="n">
        <x:v>46259.7895833333</x:v>
      </x:c>
      <x:c r="AG203" s="3" t="n">
        <x:v>38</x:v>
      </x:c>
      <x:c r="AH203" s="3" t="n">
        <x:v>54</x:v>
      </x:c>
      <x:c r="AI203" s="3" t="s">
        <x:v>135</x:v>
      </x:c>
      <x:c r="AJ203" s="3" t="s">
        <x:v>135</x:v>
      </x:c>
      <x:c r="AK203" s="3" t="n">
        <x:v>180</x:v>
      </x:c>
      <x:c r="AL203" s="3" t="n">
        <x:v>0</x:v>
      </x:c>
      <x:c r="AM203" s="8" t="n">
        <x:v>0.5111</x:v>
      </x:c>
      <x:c r="AN203" s="3" t="n">
        <x:v>0</x:v>
      </x:c>
      <x:c r="AO203" s="3" t="s">
        <x:v>9</x:v>
      </x:c>
      <x:c r="AP203" s="3" t="s">
        <x:v>142</x:v>
      </x:c>
      <x:c r="AQ203" s="3" t="s">
        <x:v>357</x:v>
      </x:c>
      <x:c r="AR203" s="9" t="n">
        <x:v>819.8</x:v>
      </x:c>
      <x:c r="AS203" s="3" t="s">
        <x:v>121</x:v>
      </x:c>
      <x:c r="AT203" s="7" t="n">
        <x:v>46301.9166666667</x:v>
      </x:c>
    </x:row>
    <x:row r="204" ht="31.299999237060547" hidden="0">
      <x:c r="A204" s="3" t="s">
        <x:v>693</x:v>
      </x:c>
      <x:c r="B204" s="3" t="s">
        <x:v>166</x:v>
      </x:c>
      <x:c r="C204" s="3" t="s">
        <x:v>167</x:v>
      </x:c>
      <x:c r="D204" s="3" t="s">
        <x:v>168</x:v>
      </x:c>
      <x:c r="E204" s="3" t="s">
        <x:v>249</x:v>
      </x:c>
      <x:c r="F204" s="3" t="s">
        <x:v>127</x:v>
      </x:c>
      <x:c r="G204" s="3" t="s">
        <x:v>428</x:v>
      </x:c>
      <x:c r="H204" s="3" t="s">
        <x:v>339</x:v>
      </x:c>
      <x:c r="I204" s="3" t="s">
        <x:v>102</x:v>
      </x:c>
      <x:c r="J204" s="3" t="s">
        <x:v>103</x:v>
      </x:c>
      <x:c r="K204" s="3" t="s">
        <x:v>104</x:v>
      </x:c>
      <x:c r="L204" s="3" t="s">
        <x:v>171</x:v>
      </x:c>
      <x:c r="M204" s="3" t="s">
        <x:v>172</x:v>
      </x:c>
      <x:c r="N204" s="3" t="s">
        <x:v>173</x:v>
      </x:c>
      <x:c r="O204" s="3" t="s">
        <x:v>174</x:v>
      </x:c>
      <x:c r="P204" s="3" t="s">
        <x:v>175</x:v>
      </x:c>
      <x:c r="Q204" s="3" t="s">
        <x:v>271</x:v>
      </x:c>
      <x:c r="R204" s="3" t="s">
        <x:v>214</x:v>
      </x:c>
      <x:c r="S204" s="3" t="s">
        <x:v>135</x:v>
      </x:c>
      <x:c r="T204" s="3" t="s">
        <x:v>111</x:v>
      </x:c>
      <x:c r="U204" s="3" t="s">
        <x:v>215</x:v>
      </x:c>
      <x:c r="V204" s="3" t="s">
        <x:v>216</x:v>
      </x:c>
      <x:c r="W204" s="3" t="s">
        <x:v>429</x:v>
      </x:c>
      <x:c r="X204" s="3" t="s">
        <x:v>430</x:v>
      </x:c>
      <x:c r="Y204" s="3" t="s">
        <x:v>431</x:v>
      </x:c>
      <x:c r="Z204" s="3" t="s">
        <x:v>219</x:v>
      </x:c>
      <x:c r="AA204" s="3" t="s">
        <x:v>118</x:v>
      </x:c>
      <x:c r="AB204" s="7" t="n">
        <x:v>46259.75625</x:v>
      </x:c>
      <x:c r="AC204" s="7" t="n">
        <x:v>46259.7597222222</x:v>
      </x:c>
      <x:c r="AD204" s="7" t="n">
        <x:v>46259.7659722222</x:v>
      </x:c>
      <x:c r="AE204" s="7" t="n">
        <x:v>46259.7868055556</x:v>
      </x:c>
      <x:c r="AF204" s="7" t="n">
        <x:v>46259.8263888889</x:v>
      </x:c>
      <x:c r="AG204" s="3" t="n">
        <x:v>44</x:v>
      </x:c>
      <x:c r="AH204" s="3" t="n">
        <x:v>53</x:v>
      </x:c>
      <x:c r="AI204" s="3" t="s">
        <x:v>135</x:v>
      </x:c>
      <x:c r="AJ204" s="3" t="s">
        <x:v>135</x:v>
      </x:c>
      <x:c r="AK204" s="3" t="n">
        <x:v>150</x:v>
      </x:c>
      <x:c r="AL204" s="3" t="n">
        <x:v>0</x:v>
      </x:c>
      <x:c r="AM204" s="8" t="n">
        <x:v>0.6467</x:v>
      </x:c>
      <x:c r="AN204" s="3" t="n">
        <x:v>0</x:v>
      </x:c>
      <x:c r="AO204" s="3" t="s">
        <x:v>14</x:v>
      </x:c>
      <x:c r="AP204" s="3" t="s">
        <x:v>347</x:v>
      </x:c>
      <x:c r="AQ204" s="3" t="s">
        <x:v>340</x:v>
      </x:c>
      <x:c r="AR204" s="9" t="n">
        <x:v>1219.6</x:v>
      </x:c>
      <x:c r="AS204" s="3" t="s">
        <x:v>185</x:v>
      </x:c>
      <x:c r="AT204" s="7" t="n">
        <x:v>46301.9166666667</x:v>
      </x:c>
    </x:row>
    <x:row r="205" ht="31.299999237060547" hidden="0">
      <x:c r="A205" s="3" t="s">
        <x:v>694</x:v>
      </x:c>
      <x:c r="B205" s="3" t="s">
        <x:v>166</x:v>
      </x:c>
      <x:c r="C205" s="3" t="s">
        <x:v>167</x:v>
      </x:c>
      <x:c r="D205" s="3" t="s">
        <x:v>168</x:v>
      </x:c>
      <x:c r="E205" s="3" t="s">
        <x:v>249</x:v>
      </x:c>
      <x:c r="F205" s="3" t="s">
        <x:v>169</x:v>
      </x:c>
      <x:c r="G205" s="3" t="s">
        <x:v>379</x:v>
      </x:c>
      <x:c r="H205" s="3" t="s">
        <x:v>339</x:v>
      </x:c>
      <x:c r="I205" s="3" t="s">
        <x:v>102</x:v>
      </x:c>
      <x:c r="J205" s="3" t="s">
        <x:v>103</x:v>
      </x:c>
      <x:c r="K205" s="3" t="s">
        <x:v>104</x:v>
      </x:c>
      <x:c r="L205" s="3" t="s">
        <x:v>171</x:v>
      </x:c>
      <x:c r="M205" s="3" t="s">
        <x:v>172</x:v>
      </x:c>
      <x:c r="N205" s="3" t="s">
        <x:v>173</x:v>
      </x:c>
      <x:c r="O205" s="3" t="s">
        <x:v>174</x:v>
      </x:c>
      <x:c r="P205" s="3" t="s">
        <x:v>175</x:v>
      </x:c>
      <x:c r="Q205" s="3" t="s">
        <x:v>271</x:v>
      </x:c>
      <x:c r="R205" s="3" t="s">
        <x:v>380</x:v>
      </x:c>
      <x:c r="S205" s="3" t="s">
        <x:v>111</x:v>
      </x:c>
      <x:c r="T205" s="3" t="s">
        <x:v>111</x:v>
      </x:c>
      <x:c r="U205" s="3" t="s">
        <x:v>381</x:v>
      </x:c>
      <x:c r="V205" s="3" t="s">
        <x:v>312</x:v>
      </x:c>
      <x:c r="W205" s="3" t="s">
        <x:v>313</x:v>
      </x:c>
      <x:c r="X205" s="3" t="s">
        <x:v>314</x:v>
      </x:c>
      <x:c r="Y205" s="3" t="s">
        <x:v>315</x:v>
      </x:c>
      <x:c r="Z205" s="3" t="s">
        <x:v>384</x:v>
      </x:c>
      <x:c r="AA205" s="3" t="s">
        <x:v>385</x:v>
      </x:c>
      <x:c r="AB205" s="7" t="n">
        <x:v>46259.7875</x:v>
      </x:c>
      <x:c r="AC205" s="7" t="n">
        <x:v>46259.7888888889</x:v>
      </x:c>
      <x:c r="AD205" s="7" t="n">
        <x:v>46259.79375</x:v>
      </x:c>
      <x:c r="AE205" s="7" t="n">
        <x:v>46259.8125</x:v>
      </x:c>
      <x:c r="AF205" s="7" t="n">
        <x:v>46259.8701388889</x:v>
      </x:c>
      <x:c r="AG205" s="3" t="n">
        <x:v>36</x:v>
      </x:c>
      <x:c r="AH205" s="3" t="n">
        <x:v>78</x:v>
      </x:c>
      <x:c r="AI205" s="3" t="s">
        <x:v>135</x:v>
      </x:c>
      <x:c r="AJ205" s="3" t="s">
        <x:v>135</x:v>
      </x:c>
      <x:c r="AK205" s="3" t="n">
        <x:v>120</x:v>
      </x:c>
      <x:c r="AL205" s="3" t="n">
        <x:v>0</x:v>
      </x:c>
      <x:c r="AM205" s="8" t="n">
        <x:v>0.95</x:v>
      </x:c>
      <x:c r="AN205" s="3" t="n">
        <x:v>1</x:v>
      </x:c>
      <x:c r="AO205" s="3" t="s">
        <x:v>19</x:v>
      </x:c>
      <x:c r="AP205" s="3" t="s">
        <x:v>660</x:v>
      </x:c>
      <x:c r="AQ205" s="3" t="s">
        <x:v>501</x:v>
      </x:c>
      <x:c r="AR205" s="9" t="n">
        <x:v>1363.6</x:v>
      </x:c>
      <x:c r="AS205" s="3" t="s">
        <x:v>185</x:v>
      </x:c>
      <x:c r="AT205" s="7" t="n">
        <x:v>46301.9166666667</x:v>
      </x:c>
    </x:row>
    <x:row r="206" ht="31.299999237060547" hidden="0">
      <x:c r="A206" s="3" t="s">
        <x:v>695</x:v>
      </x:c>
      <x:c r="B206" s="3" t="s">
        <x:v>187</x:v>
      </x:c>
      <x:c r="C206" s="3" t="s">
        <x:v>188</x:v>
      </x:c>
      <x:c r="D206" s="3" t="s">
        <x:v>189</x:v>
      </x:c>
      <x:c r="E206" s="3" t="s">
        <x:v>249</x:v>
      </x:c>
      <x:c r="F206" s="3" t="s">
        <x:v>127</x:v>
      </x:c>
      <x:c r="G206" s="3" t="s">
        <x:v>428</x:v>
      </x:c>
      <x:c r="H206" s="3" t="s">
        <x:v>339</x:v>
      </x:c>
      <x:c r="I206" s="3" t="s">
        <x:v>102</x:v>
      </x:c>
      <x:c r="J206" s="3" t="s">
        <x:v>103</x:v>
      </x:c>
      <x:c r="K206" s="3" t="s">
        <x:v>104</x:v>
      </x:c>
      <x:c r="L206" s="3" t="s">
        <x:v>191</x:v>
      </x:c>
      <x:c r="M206" s="3" t="s">
        <x:v>192</x:v>
      </x:c>
      <x:c r="N206" s="3" t="s">
        <x:v>193</x:v>
      </x:c>
      <x:c r="O206" s="3" t="s">
        <x:v>194</x:v>
      </x:c>
      <x:c r="P206" s="3" t="s">
        <x:v>195</x:v>
      </x:c>
      <x:c r="Q206" s="3" t="s">
        <x:v>273</x:v>
      </x:c>
      <x:c r="R206" s="3" t="s">
        <x:v>214</x:v>
      </x:c>
      <x:c r="S206" s="3" t="s">
        <x:v>135</x:v>
      </x:c>
      <x:c r="T206" s="3" t="s">
        <x:v>111</x:v>
      </x:c>
      <x:c r="U206" s="3" t="s">
        <x:v>215</x:v>
      </x:c>
      <x:c r="V206" s="3" t="s">
        <x:v>216</x:v>
      </x:c>
      <x:c r="W206" s="3" t="s">
        <x:v>217</x:v>
      </x:c>
      <x:c r="X206" s="3" t="s">
        <x:v>430</x:v>
      </x:c>
      <x:c r="Y206" s="3" t="s">
        <x:v>555</x:v>
      </x:c>
      <x:c r="Z206" s="3" t="s">
        <x:v>219</x:v>
      </x:c>
      <x:c r="AA206" s="3" t="s">
        <x:v>118</x:v>
      </x:c>
      <x:c r="AB206" s="7" t="n">
        <x:v>46259.8256944444</x:v>
      </x:c>
      <x:c r="AC206" s="7" t="n">
        <x:v>46259.8284722222</x:v>
      </x:c>
      <x:c r="AD206" s="7" t="n">
        <x:v>46259.8340277778</x:v>
      </x:c>
      <x:c r="AE206" s="7" t="n">
        <x:v>46259.8465277778</x:v>
      </x:c>
      <x:c r="AF206" s="7" t="n">
        <x:v>46259.8881944444</x:v>
      </x:c>
      <x:c r="AG206" s="3" t="n">
        <x:v>30</x:v>
      </x:c>
      <x:c r="AH206" s="3" t="n">
        <x:v>53</x:v>
      </x:c>
      <x:c r="AI206" s="3" t="s">
        <x:v>135</x:v>
      </x:c>
      <x:c r="AJ206" s="3" t="s">
        <x:v>111</x:v>
      </x:c>
      <x:c r="AK206" s="3" t="n">
        <x:v>150</x:v>
      </x:c>
      <x:c r="AL206" s="3" t="n">
        <x:v>0</x:v>
      </x:c>
      <x:c r="AM206" s="8" t="n">
        <x:v>0.5533</x:v>
      </x:c>
      <x:c r="AN206" s="3" t="n">
        <x:v>1</x:v>
      </x:c>
      <x:c r="AO206" s="3" t="s">
        <x:v>9</x:v>
      </x:c>
      <x:c r="AP206" s="3" t="s">
        <x:v>584</x:v>
      </x:c>
      <x:c r="AQ206" s="3" t="s">
        <x:v>689</x:v>
      </x:c>
      <x:c r="AR206" s="9" t="n">
        <x:v>1156.6</x:v>
      </x:c>
      <x:c r="AS206" s="3" t="s">
        <x:v>121</x:v>
      </x:c>
      <x:c r="AT206" s="7" t="n">
        <x:v>46301.9166666667</x:v>
      </x:c>
    </x:row>
    <x:row r="207" ht="31.299999237060547" hidden="0">
      <x:c r="A207" s="3" t="s">
        <x:v>696</x:v>
      </x:c>
      <x:c r="B207" s="3" t="s">
        <x:v>205</x:v>
      </x:c>
      <x:c r="C207" s="3" t="s">
        <x:v>206</x:v>
      </x:c>
      <x:c r="D207" s="3" t="s">
        <x:v>207</x:v>
      </x:c>
      <x:c r="E207" s="3" t="s">
        <x:v>249</x:v>
      </x:c>
      <x:c r="F207" s="3" t="s">
        <x:v>169</x:v>
      </x:c>
      <x:c r="G207" s="3" t="s">
        <x:v>498</x:v>
      </x:c>
      <x:c r="H207" s="3" t="s">
        <x:v>101</x:v>
      </x:c>
      <x:c r="I207" s="3" t="s">
        <x:v>102</x:v>
      </x:c>
      <x:c r="J207" s="3" t="s">
        <x:v>103</x:v>
      </x:c>
      <x:c r="K207" s="3" t="s">
        <x:v>104</x:v>
      </x:c>
      <x:c r="L207" s="3" t="s">
        <x:v>209</x:v>
      </x:c>
      <x:c r="M207" s="3" t="s">
        <x:v>210</x:v>
      </x:c>
      <x:c r="N207" s="3" t="s">
        <x:v>211</x:v>
      </x:c>
      <x:c r="O207" s="3" t="s">
        <x:v>212</x:v>
      </x:c>
      <x:c r="P207" s="3" t="s">
        <x:v>213</x:v>
      </x:c>
      <x:c r="Q207" s="3" t="s">
        <x:v>254</x:v>
      </x:c>
      <x:c r="R207" s="3" t="s">
        <x:v>310</x:v>
      </x:c>
      <x:c r="S207" s="3" t="s">
        <x:v>135</x:v>
      </x:c>
      <x:c r="T207" s="3" t="s">
        <x:v>111</x:v>
      </x:c>
      <x:c r="U207" s="3" t="s">
        <x:v>311</x:v>
      </x:c>
      <x:c r="V207" s="3" t="s">
        <x:v>312</x:v>
      </x:c>
      <x:c r="W207" s="3" t="s">
        <x:v>382</x:v>
      </x:c>
      <x:c r="X207" s="3" t="s">
        <x:v>314</x:v>
      </x:c>
      <x:c r="Y207" s="3" t="s">
        <x:v>383</x:v>
      </x:c>
      <x:c r="Z207" s="3" t="s">
        <x:v>316</x:v>
      </x:c>
      <x:c r="AA207" s="3" t="s">
        <x:v>317</x:v>
      </x:c>
      <x:c r="AB207" s="7" t="n">
        <x:v>46260.3111111111</x:v>
      </x:c>
      <x:c r="AC207" s="7" t="n">
        <x:v>46260.3145833333</x:v>
      </x:c>
      <x:c r="AD207" s="7" t="n">
        <x:v>46260.3173611111</x:v>
      </x:c>
      <x:c r="AE207" s="7" t="n">
        <x:v>46260.3368055556</x:v>
      </x:c>
      <x:c r="AF207" s="7" t="n">
        <x:v>46260.3770833333</x:v>
      </x:c>
      <x:c r="AG207" s="3" t="n">
        <x:v>37</x:v>
      </x:c>
      <x:c r="AH207" s="3" t="n">
        <x:v>55</x:v>
      </x:c>
      <x:c r="AI207" s="3" t="s">
        <x:v>135</x:v>
      </x:c>
      <x:c r="AJ207" s="3" t="s">
        <x:v>135</x:v>
      </x:c>
      <x:c r="AK207" s="3" t="n">
        <x:v>180</x:v>
      </x:c>
      <x:c r="AL207" s="3" t="n">
        <x:v>0</x:v>
      </x:c>
      <x:c r="AM207" s="8" t="n">
        <x:v>0.5111</x:v>
      </x:c>
      <x:c r="AN207" s="3" t="n">
        <x:v>1</x:v>
      </x:c>
      <x:c r="AO207" s="3" t="s">
        <x:v>9</x:v>
      </x:c>
      <x:c r="AP207" s="3" t="s">
        <x:v>500</x:v>
      </x:c>
      <x:c r="AQ207" s="3" t="s">
        <x:v>697</x:v>
      </x:c>
      <x:c r="AR207" s="9" t="n">
        <x:v>822.5</x:v>
      </x:c>
      <x:c r="AS207" s="3" t="s">
        <x:v>121</x:v>
      </x:c>
      <x:c r="AT207" s="7" t="n">
        <x:v>46301.9166666667</x:v>
      </x:c>
    </x:row>
    <x:row r="208" ht="31.299999237060547" hidden="0">
      <x:c r="A208" s="3" t="s">
        <x:v>698</x:v>
      </x:c>
      <x:c r="B208" s="3" t="s">
        <x:v>83</x:v>
      </x:c>
      <x:c r="C208" s="3" t="s">
        <x:v>96</x:v>
      </x:c>
      <x:c r="D208" s="3" t="s">
        <x:v>97</x:v>
      </x:c>
      <x:c r="E208" s="3" t="s">
        <x:v>249</x:v>
      </x:c>
      <x:c r="F208" s="3" t="s">
        <x:v>149</x:v>
      </x:c>
      <x:c r="G208" s="3" t="s">
        <x:v>416</x:v>
      </x:c>
      <x:c r="H208" s="3" t="s">
        <x:v>339</x:v>
      </x:c>
      <x:c r="I208" s="3" t="s">
        <x:v>102</x:v>
      </x:c>
      <x:c r="J208" s="3" t="s">
        <x:v>103</x:v>
      </x:c>
      <x:c r="K208" s="3" t="s">
        <x:v>104</x:v>
      </x:c>
      <x:c r="L208" s="3" t="s">
        <x:v>105</x:v>
      </x:c>
      <x:c r="M208" s="3" t="s">
        <x:v>106</x:v>
      </x:c>
      <x:c r="N208" s="3" t="s">
        <x:v>107</x:v>
      </x:c>
      <x:c r="O208" s="3" t="s">
        <x:v>108</x:v>
      </x:c>
      <x:c r="P208" s="3" t="s">
        <x:v>109</x:v>
      </x:c>
      <x:c r="Q208" s="3" t="s">
        <x:v>250</x:v>
      </x:c>
      <x:c r="R208" s="3" t="s">
        <x:v>373</x:v>
      </x:c>
      <x:c r="S208" s="3" t="s">
        <x:v>135</x:v>
      </x:c>
      <x:c r="T208" s="3" t="s">
        <x:v>111</x:v>
      </x:c>
      <x:c r="U208" s="3" t="s">
        <x:v>374</x:v>
      </x:c>
      <x:c r="V208" s="3" t="s">
        <x:v>178</x:v>
      </x:c>
      <x:c r="W208" s="3" t="s">
        <x:v>332</x:v>
      </x:c>
      <x:c r="X208" s="3" t="s">
        <x:v>180</x:v>
      </x:c>
      <x:c r="Y208" s="3" t="s">
        <x:v>333</x:v>
      </x:c>
      <x:c r="Z208" s="3" t="s">
        <x:v>375</x:v>
      </x:c>
      <x:c r="AA208" s="3" t="s">
        <x:v>118</x:v>
      </x:c>
      <x:c r="AB208" s="7" t="n">
        <x:v>46260.3381944444</x:v>
      </x:c>
      <x:c r="AC208" s="7" t="n">
        <x:v>46260.3416666667</x:v>
      </x:c>
      <x:c r="AD208" s="7" t="n">
        <x:v>46260.3430555556</x:v>
      </x:c>
      <x:c r="AE208" s="7" t="n">
        <x:v>46260.3555555556</x:v>
      </x:c>
      <x:c r="AF208" s="7" t="n">
        <x:v>46260.375</x:v>
      </x:c>
      <x:c r="AG208" s="3" t="n">
        <x:v>25</x:v>
      </x:c>
      <x:c r="AH208" s="3" t="n">
        <x:v>18</x:v>
      </x:c>
      <x:c r="AI208" s="3" t="s">
        <x:v>111</x:v>
      </x:c>
      <x:c r="AJ208" s="3" t="s">
        <x:v>111</x:v>
      </x:c>
      <x:c r="AK208" s="3" t="n">
        <x:v>60</x:v>
      </x:c>
      <x:c r="AL208" s="3" t="n">
        <x:v>0</x:v>
      </x:c>
      <x:c r="AM208" s="8" t="n">
        <x:v>0.7167</x:v>
      </x:c>
      <x:c r="AN208" s="3" t="n">
        <x:v>0</x:v>
      </x:c>
      <x:c r="AO208" s="3" t="s">
        <x:v>14</x:v>
      </x:c>
      <x:c r="AP208" s="3" t="s">
        <x:v>699</x:v>
      </x:c>
      <x:c r="AQ208" s="3" t="s">
        <x:v>422</x:v>
      </x:c>
      <x:c r="AR208" s="9" t="n">
        <x:v>822.1</x:v>
      </x:c>
      <x:c r="AS208" s="3" t="s">
        <x:v>121</x:v>
      </x:c>
      <x:c r="AT208" s="7" t="n">
        <x:v>46301.9166666667</x:v>
      </x:c>
    </x:row>
    <x:row r="209" ht="31.299999237060547" hidden="0">
      <x:c r="A209" s="3" t="s">
        <x:v>700</x:v>
      </x:c>
      <x:c r="B209" s="3" t="s">
        <x:v>83</x:v>
      </x:c>
      <x:c r="C209" s="3" t="s">
        <x:v>96</x:v>
      </x:c>
      <x:c r="D209" s="3" t="s">
        <x:v>97</x:v>
      </x:c>
      <x:c r="E209" s="3" t="s">
        <x:v>249</x:v>
      </x:c>
      <x:c r="F209" s="3" t="s">
        <x:v>127</x:v>
      </x:c>
      <x:c r="G209" s="3" t="s">
        <x:v>342</x:v>
      </x:c>
      <x:c r="H209" s="3" t="s">
        <x:v>343</x:v>
      </x:c>
      <x:c r="I209" s="3" t="s">
        <x:v>102</x:v>
      </x:c>
      <x:c r="J209" s="3" t="s">
        <x:v>103</x:v>
      </x:c>
      <x:c r="K209" s="3" t="s">
        <x:v>104</x:v>
      </x:c>
      <x:c r="L209" s="3" t="s">
        <x:v>105</x:v>
      </x:c>
      <x:c r="M209" s="3" t="s">
        <x:v>106</x:v>
      </x:c>
      <x:c r="N209" s="3" t="s">
        <x:v>107</x:v>
      </x:c>
      <x:c r="O209" s="3" t="s">
        <x:v>108</x:v>
      </x:c>
      <x:c r="P209" s="3" t="s">
        <x:v>109</x:v>
      </x:c>
      <x:c r="Q209" s="3" t="s">
        <x:v>250</x:v>
      </x:c>
      <x:c r="R209" s="3" t="s">
        <x:v>344</x:v>
      </x:c>
      <x:c r="S209" s="3" t="s">
        <x:v>111</x:v>
      </x:c>
      <x:c r="T209" s="3" t="s">
        <x:v>111</x:v>
      </x:c>
      <x:c r="U209" s="3" t="s">
        <x:v>345</x:v>
      </x:c>
      <x:c r="V209" s="3" t="s">
        <x:v>178</x:v>
      </x:c>
      <x:c r="W209" s="3" t="s">
        <x:v>332</x:v>
      </x:c>
      <x:c r="X209" s="3" t="s">
        <x:v>180</x:v>
      </x:c>
      <x:c r="Y209" s="3" t="s">
        <x:v>333</x:v>
      </x:c>
      <x:c r="Z209" s="3" t="s">
        <x:v>346</x:v>
      </x:c>
      <x:c r="AA209" s="3" t="s">
        <x:v>118</x:v>
      </x:c>
      <x:c r="AB209" s="7" t="n">
        <x:v>46260.4090277778</x:v>
      </x:c>
      <x:c r="AC209" s="7" t="n">
        <x:v>46260.4118055556</x:v>
      </x:c>
      <x:c r="AD209" s="7" t="n">
        <x:v>46260.4180555556</x:v>
      </x:c>
      <x:c r="AE209" s="7" t="n">
        <x:v>46260.4395833333</x:v>
      </x:c>
      <x:c r="AF209" s="7" t="n">
        <x:v>46260.4604166667</x:v>
      </x:c>
      <x:c r="AG209" s="3" t="n">
        <x:v>44</x:v>
      </x:c>
      <x:c r="AH209" s="3" t="n">
        <x:v>23</x:v>
      </x:c>
      <x:c r="AI209" s="3" t="s">
        <x:v>111</x:v>
      </x:c>
      <x:c r="AJ209" s="3" t="s">
        <x:v>111</x:v>
      </x:c>
      <x:c r="AK209" s="3" t="n">
        <x:v>60</x:v>
      </x:c>
      <x:c r="AL209" s="3" t="n">
        <x:v>0</x:v>
      </x:c>
      <x:c r="AM209" s="8" t="n">
        <x:v>1.1167</x:v>
      </x:c>
      <x:c r="AN209" s="3" t="n">
        <x:v>1</x:v>
      </x:c>
      <x:c r="AO209" s="3" t="s">
        <x:v>24</x:v>
      </x:c>
      <x:c r="AP209" s="3" t="s">
        <x:v>561</x:v>
      </x:c>
      <x:c r="AQ209" s="3" t="s">
        <x:v>562</x:v>
      </x:c>
      <x:c r="AR209" s="9" t="n">
        <x:v>943.6</x:v>
      </x:c>
      <x:c r="AS209" s="3" t="s">
        <x:v>185</x:v>
      </x:c>
      <x:c r="AT209" s="7" t="n">
        <x:v>46301.9166666667</x:v>
      </x:c>
    </x:row>
    <x:row r="210" ht="31.299999237060547" hidden="0">
      <x:c r="A210" s="3" t="s">
        <x:v>701</x:v>
      </x:c>
      <x:c r="B210" s="3" t="s">
        <x:v>205</x:v>
      </x:c>
      <x:c r="C210" s="3" t="s">
        <x:v>206</x:v>
      </x:c>
      <x:c r="D210" s="3" t="s">
        <x:v>207</x:v>
      </x:c>
      <x:c r="E210" s="3" t="s">
        <x:v>249</x:v>
      </x:c>
      <x:c r="F210" s="3" t="s">
        <x:v>99</x:v>
      </x:c>
      <x:c r="G210" s="3" t="s">
        <x:v>484</x:v>
      </x:c>
      <x:c r="H210" s="3" t="s">
        <x:v>101</x:v>
      </x:c>
      <x:c r="I210" s="3" t="s">
        <x:v>102</x:v>
      </x:c>
      <x:c r="J210" s="3" t="s">
        <x:v>103</x:v>
      </x:c>
      <x:c r="K210" s="3" t="s">
        <x:v>104</x:v>
      </x:c>
      <x:c r="L210" s="3" t="s">
        <x:v>209</x:v>
      </x:c>
      <x:c r="M210" s="3" t="s">
        <x:v>210</x:v>
      </x:c>
      <x:c r="N210" s="3" t="s">
        <x:v>211</x:v>
      </x:c>
      <x:c r="O210" s="3" t="s">
        <x:v>212</x:v>
      </x:c>
      <x:c r="P210" s="3" t="s">
        <x:v>213</x:v>
      </x:c>
      <x:c r="Q210" s="3" t="s">
        <x:v>254</x:v>
      </x:c>
      <x:c r="R210" s="3" t="s">
        <x:v>156</x:v>
      </x:c>
      <x:c r="S210" s="3" t="s">
        <x:v>135</x:v>
      </x:c>
      <x:c r="T210" s="3" t="s">
        <x:v>111</x:v>
      </x:c>
      <x:c r="U210" s="3" t="s">
        <x:v>157</x:v>
      </x:c>
      <x:c r="V210" s="3" t="s">
        <x:v>158</x:v>
      </x:c>
      <x:c r="W210" s="3" t="s">
        <x:v>450</x:v>
      </x:c>
      <x:c r="X210" s="3" t="s">
        <x:v>160</x:v>
      </x:c>
      <x:c r="Y210" s="3" t="s">
        <x:v>451</x:v>
      </x:c>
      <x:c r="Z210" s="3" t="s">
        <x:v>162</x:v>
      </x:c>
      <x:c r="AA210" s="3" t="s">
        <x:v>118</x:v>
      </x:c>
      <x:c r="AB210" s="7" t="n">
        <x:v>46260.4104166667</x:v>
      </x:c>
      <x:c r="AC210" s="7" t="n">
        <x:v>46260.4138888889</x:v>
      </x:c>
      <x:c r="AD210" s="7" t="n">
        <x:v>46260.4152777778</x:v>
      </x:c>
      <x:c r="AE210" s="7" t="n">
        <x:v>46260.4270833333</x:v>
      </x:c>
      <x:c r="AF210" s="7" t="n">
        <x:v>46260.4659722222</x:v>
      </x:c>
      <x:c r="AG210" s="3" t="n">
        <x:v>24</x:v>
      </x:c>
      <x:c r="AH210" s="3" t="n">
        <x:v>47</x:v>
      </x:c>
      <x:c r="AI210" s="3" t="s">
        <x:v>135</x:v>
      </x:c>
      <x:c r="AJ210" s="3" t="s">
        <x:v>135</x:v>
      </x:c>
      <x:c r="AK210" s="3" t="n">
        <x:v>180</x:v>
      </x:c>
      <x:c r="AL210" s="3" t="n">
        <x:v>0</x:v>
      </x:c>
      <x:c r="AM210" s="8" t="n">
        <x:v>0.3944</x:v>
      </x:c>
      <x:c r="AN210" s="3" t="n">
        <x:v>0</x:v>
      </x:c>
      <x:c r="AO210" s="3" t="s">
        <x:v>9</x:v>
      </x:c>
      <x:c r="AP210" s="3" t="s">
        <x:v>142</x:v>
      </x:c>
      <x:c r="AQ210" s="3" t="s">
        <x:v>220</x:v>
      </x:c>
      <x:c r="AR210" s="9" t="n">
        <x:v>706.4</x:v>
      </x:c>
      <x:c r="AS210" s="3" t="s">
        <x:v>121</x:v>
      </x:c>
      <x:c r="AT210" s="7" t="n">
        <x:v>46301.9166666667</x:v>
      </x:c>
    </x:row>
    <x:row r="211" ht="31.299999237060547" hidden="0">
      <x:c r="A211" s="3" t="s">
        <x:v>702</x:v>
      </x:c>
      <x:c r="B211" s="3" t="s">
        <x:v>187</x:v>
      </x:c>
      <x:c r="C211" s="3" t="s">
        <x:v>188</x:v>
      </x:c>
      <x:c r="D211" s="3" t="s">
        <x:v>189</x:v>
      </x:c>
      <x:c r="E211" s="3" t="s">
        <x:v>249</x:v>
      </x:c>
      <x:c r="F211" s="3" t="s">
        <x:v>99</x:v>
      </x:c>
      <x:c r="G211" s="3" t="s">
        <x:v>520</x:v>
      </x:c>
      <x:c r="H211" s="3" t="s">
        <x:v>343</x:v>
      </x:c>
      <x:c r="I211" s="3" t="s">
        <x:v>102</x:v>
      </x:c>
      <x:c r="J211" s="3" t="s">
        <x:v>103</x:v>
      </x:c>
      <x:c r="K211" s="3" t="s">
        <x:v>104</x:v>
      </x:c>
      <x:c r="L211" s="3" t="s">
        <x:v>191</x:v>
      </x:c>
      <x:c r="M211" s="3" t="s">
        <x:v>192</x:v>
      </x:c>
      <x:c r="N211" s="3" t="s">
        <x:v>193</x:v>
      </x:c>
      <x:c r="O211" s="3" t="s">
        <x:v>194</x:v>
      </x:c>
      <x:c r="P211" s="3" t="s">
        <x:v>195</x:v>
      </x:c>
      <x:c r="Q211" s="3" t="s">
        <x:v>273</x:v>
      </x:c>
      <x:c r="R211" s="3" t="s">
        <x:v>380</x:v>
      </x:c>
      <x:c r="S211" s="3" t="s">
        <x:v>111</x:v>
      </x:c>
      <x:c r="T211" s="3" t="s">
        <x:v>111</x:v>
      </x:c>
      <x:c r="U211" s="3" t="s">
        <x:v>381</x:v>
      </x:c>
      <x:c r="V211" s="3" t="s">
        <x:v>312</x:v>
      </x:c>
      <x:c r="W211" s="3" t="s">
        <x:v>313</x:v>
      </x:c>
      <x:c r="X211" s="3" t="s">
        <x:v>314</x:v>
      </x:c>
      <x:c r="Y211" s="3" t="s">
        <x:v>315</x:v>
      </x:c>
      <x:c r="Z211" s="3" t="s">
        <x:v>384</x:v>
      </x:c>
      <x:c r="AA211" s="3" t="s">
        <x:v>385</x:v>
      </x:c>
      <x:c r="AB211" s="7" t="n">
        <x:v>46260.4326388889</x:v>
      </x:c>
      <x:c r="AC211" s="7" t="n">
        <x:v>46260.4347222222</x:v>
      </x:c>
      <x:c r="AD211" s="7" t="n">
        <x:v>46260.4375</x:v>
      </x:c>
      <x:c r="AE211" s="7" t="n">
        <x:v>46260.4430555556</x:v>
      </x:c>
      <x:c r="AF211" s="7" t="n">
        <x:v>46260.50625</x:v>
      </x:c>
      <x:c r="AG211" s="3" t="n">
        <x:v>15</x:v>
      </x:c>
      <x:c r="AH211" s="3" t="n">
        <x:v>85</x:v>
      </x:c>
      <x:c r="AI211" s="3" t="s">
        <x:v>135</x:v>
      </x:c>
      <x:c r="AJ211" s="3" t="s">
        <x:v>111</x:v>
      </x:c>
      <x:c r="AK211" s="3" t="n">
        <x:v>120</x:v>
      </x:c>
      <x:c r="AL211" s="3" t="n">
        <x:v>0</x:v>
      </x:c>
      <x:c r="AM211" s="8" t="n">
        <x:v>0.8333</x:v>
      </x:c>
      <x:c r="AN211" s="3" t="n">
        <x:v>0</x:v>
      </x:c>
      <x:c r="AO211" s="3" t="s">
        <x:v>14</x:v>
      </x:c>
      <x:c r="AP211" s="3" t="s">
        <x:v>318</x:v>
      </x:c>
      <x:c r="AQ211" s="3" t="s">
        <x:v>386</x:v>
      </x:c>
      <x:c r="AR211" s="9" t="n">
        <x:v>1319.5</x:v>
      </x:c>
      <x:c r="AS211" s="3" t="s">
        <x:v>185</x:v>
      </x:c>
      <x:c r="AT211" s="7" t="n">
        <x:v>46301.9166666667</x:v>
      </x:c>
    </x:row>
    <x:row r="212" ht="31.299999237060547" hidden="0">
      <x:c r="A212" s="3" t="s">
        <x:v>703</x:v>
      </x:c>
      <x:c r="B212" s="3" t="s">
        <x:v>166</x:v>
      </x:c>
      <x:c r="C212" s="3" t="s">
        <x:v>167</x:v>
      </x:c>
      <x:c r="D212" s="3" t="s">
        <x:v>168</x:v>
      </x:c>
      <x:c r="E212" s="3" t="s">
        <x:v>249</x:v>
      </x:c>
      <x:c r="F212" s="3" t="s">
        <x:v>127</x:v>
      </x:c>
      <x:c r="G212" s="3" t="s">
        <x:v>400</x:v>
      </x:c>
      <x:c r="H212" s="3" t="s">
        <x:v>301</x:v>
      </x:c>
      <x:c r="I212" s="3" t="s">
        <x:v>302</x:v>
      </x:c>
      <x:c r="J212" s="3" t="s">
        <x:v>303</x:v>
      </x:c>
      <x:c r="K212" s="3" t="s">
        <x:v>104</x:v>
      </x:c>
      <x:c r="L212" s="3" t="s">
        <x:v>171</x:v>
      </x:c>
      <x:c r="M212" s="3" t="s">
        <x:v>172</x:v>
      </x:c>
      <x:c r="N212" s="3" t="s">
        <x:v>173</x:v>
      </x:c>
      <x:c r="O212" s="3" t="s">
        <x:v>174</x:v>
      </x:c>
      <x:c r="P212" s="3" t="s">
        <x:v>175</x:v>
      </x:c>
      <x:c r="Q212" s="3" t="s">
        <x:v>271</x:v>
      </x:c>
      <x:c r="R212" s="3" t="s">
        <x:v>134</x:v>
      </x:c>
      <x:c r="S212" s="3" t="s">
        <x:v>135</x:v>
      </x:c>
      <x:c r="T212" s="3" t="s">
        <x:v>111</x:v>
      </x:c>
      <x:c r="U212" s="3" t="s">
        <x:v>136</x:v>
      </x:c>
      <x:c r="V212" s="3" t="s">
        <x:v>137</x:v>
      </x:c>
      <x:c r="W212" s="3" t="s">
        <x:v>407</x:v>
      </x:c>
      <x:c r="X212" s="3" t="s">
        <x:v>139</x:v>
      </x:c>
      <x:c r="Y212" s="3" t="s">
        <x:v>140</x:v>
      </x:c>
      <x:c r="Z212" s="3" t="s">
        <x:v>141</x:v>
      </x:c>
      <x:c r="AA212" s="3" t="s">
        <x:v>118</x:v>
      </x:c>
      <x:c r="AB212" s="7" t="n">
        <x:v>46260.4333333333</x:v>
      </x:c>
      <x:c r="AC212" s="7" t="n">
        <x:v>46260.4375</x:v>
      </x:c>
      <x:c r="AD212" s="7" t="n">
        <x:v>46260.4430555556</x:v>
      </x:c>
      <x:c r="AE212" s="7" t="n">
        <x:v>46260.4659722222</x:v>
      </x:c>
      <x:c r="AF212" s="7" t="n">
        <x:v>46260.5152777778</x:v>
      </x:c>
      <x:c r="AG212" s="3" t="n">
        <x:v>47</x:v>
      </x:c>
      <x:c r="AH212" s="3" t="n">
        <x:v>68</x:v>
      </x:c>
      <x:c r="AI212" s="3" t="s">
        <x:v>135</x:v>
      </x:c>
      <x:c r="AJ212" s="3" t="s">
        <x:v>135</x:v>
      </x:c>
      <x:c r="AK212" s="3" t="n">
        <x:v>180</x:v>
      </x:c>
      <x:c r="AL212" s="3" t="n">
        <x:v>0</x:v>
      </x:c>
      <x:c r="AM212" s="8" t="n">
        <x:v>0.6389</x:v>
      </x:c>
      <x:c r="AN212" s="3" t="n">
        <x:v>1</x:v>
      </x:c>
      <x:c r="AO212" s="3" t="s">
        <x:v>14</x:v>
      </x:c>
      <x:c r="AP212" s="3" t="s">
        <x:v>471</x:v>
      </x:c>
      <x:c r="AQ212" s="3" t="s">
        <x:v>501</x:v>
      </x:c>
      <x:c r="AR212" s="9" t="n">
        <x:v>1341.1</x:v>
      </x:c>
      <x:c r="AS212" s="3" t="s">
        <x:v>121</x:v>
      </x:c>
      <x:c r="AT212" s="7" t="n">
        <x:v>46301.9166666667</x:v>
      </x:c>
    </x:row>
    <x:row r="213" ht="31.299999237060547" hidden="0">
      <x:c r="A213" s="3" t="s">
        <x:v>704</x:v>
      </x:c>
      <x:c r="B213" s="3" t="s">
        <x:v>166</x:v>
      </x:c>
      <x:c r="C213" s="3" t="s">
        <x:v>167</x:v>
      </x:c>
      <x:c r="D213" s="3" t="s">
        <x:v>168</x:v>
      </x:c>
      <x:c r="E213" s="3" t="s">
        <x:v>249</x:v>
      </x:c>
      <x:c r="F213" s="3" t="s">
        <x:v>99</x:v>
      </x:c>
      <x:c r="G213" s="3" t="s">
        <x:v>544</x:v>
      </x:c>
      <x:c r="H213" s="3" t="s">
        <x:v>301</x:v>
      </x:c>
      <x:c r="I213" s="3" t="s">
        <x:v>302</x:v>
      </x:c>
      <x:c r="J213" s="3" t="s">
        <x:v>303</x:v>
      </x:c>
      <x:c r="K213" s="3" t="s">
        <x:v>104</x:v>
      </x:c>
      <x:c r="L213" s="3" t="s">
        <x:v>171</x:v>
      </x:c>
      <x:c r="M213" s="3" t="s">
        <x:v>172</x:v>
      </x:c>
      <x:c r="N213" s="3" t="s">
        <x:v>173</x:v>
      </x:c>
      <x:c r="O213" s="3" t="s">
        <x:v>174</x:v>
      </x:c>
      <x:c r="P213" s="3" t="s">
        <x:v>175</x:v>
      </x:c>
      <x:c r="Q213" s="3" t="s">
        <x:v>271</x:v>
      </x:c>
      <x:c r="R213" s="3" t="s">
        <x:v>134</x:v>
      </x:c>
      <x:c r="S213" s="3" t="s">
        <x:v>135</x:v>
      </x:c>
      <x:c r="T213" s="3" t="s">
        <x:v>111</x:v>
      </x:c>
      <x:c r="U213" s="3" t="s">
        <x:v>136</x:v>
      </x:c>
      <x:c r="V213" s="3" t="s">
        <x:v>137</x:v>
      </x:c>
      <x:c r="W213" s="3" t="s">
        <x:v>138</x:v>
      </x:c>
      <x:c r="X213" s="3" t="s">
        <x:v>139</x:v>
      </x:c>
      <x:c r="Y213" s="3" t="s">
        <x:v>454</x:v>
      </x:c>
      <x:c r="Z213" s="3" t="s">
        <x:v>141</x:v>
      </x:c>
      <x:c r="AA213" s="3" t="s">
        <x:v>118</x:v>
      </x:c>
      <x:c r="AB213" s="7" t="n">
        <x:v>46260.4375</x:v>
      </x:c>
      <x:c r="AC213" s="7" t="n">
        <x:v>46260.4402777778</x:v>
      </x:c>
      <x:c r="AD213" s="7" t="n">
        <x:v>46260.4416666667</x:v>
      </x:c>
      <x:c r="AE213" s="7" t="n">
        <x:v>46260.4513888889</x:v>
      </x:c>
      <x:c r="AF213" s="7" t="n">
        <x:v>46260.4840277778</x:v>
      </x:c>
      <x:c r="AG213" s="3" t="n">
        <x:v>20</x:v>
      </x:c>
      <x:c r="AH213" s="3" t="n">
        <x:v>42</x:v>
      </x:c>
      <x:c r="AI213" s="3" t="s">
        <x:v>135</x:v>
      </x:c>
      <x:c r="AJ213" s="3" t="s">
        <x:v>135</x:v>
      </x:c>
      <x:c r="AK213" s="3" t="n">
        <x:v>180</x:v>
      </x:c>
      <x:c r="AL213" s="3" t="n">
        <x:v>0</x:v>
      </x:c>
      <x:c r="AM213" s="8" t="n">
        <x:v>0.3444</x:v>
      </x:c>
      <x:c r="AN213" s="3" t="n">
        <x:v>0</x:v>
      </x:c>
      <x:c r="AO213" s="3" t="s">
        <x:v>9</x:v>
      </x:c>
      <x:c r="AP213" s="3" t="s">
        <x:v>142</x:v>
      </x:c>
      <x:c r="AQ213" s="3" t="s">
        <x:v>361</x:v>
      </x:c>
      <x:c r="AR213" s="9" t="n">
        <x:v>1032.4</x:v>
      </x:c>
      <x:c r="AS213" s="3" t="s">
        <x:v>121</x:v>
      </x:c>
      <x:c r="AT213" s="7" t="n">
        <x:v>46301.9166666667</x:v>
      </x:c>
    </x:row>
    <x:row r="214" ht="31.299999237060547" hidden="0">
      <x:c r="A214" s="3" t="s">
        <x:v>705</x:v>
      </x:c>
      <x:c r="B214" s="3" t="s">
        <x:v>233</x:v>
      </x:c>
      <x:c r="C214" s="3" t="s">
        <x:v>234</x:v>
      </x:c>
      <x:c r="D214" s="3" t="s">
        <x:v>235</x:v>
      </x:c>
      <x:c r="E214" s="3" t="s">
        <x:v>249</x:v>
      </x:c>
      <x:c r="F214" s="3" t="s">
        <x:v>149</x:v>
      </x:c>
      <x:c r="G214" s="3" t="s">
        <x:v>458</x:v>
      </x:c>
      <x:c r="H214" s="3" t="s">
        <x:v>339</x:v>
      </x:c>
      <x:c r="I214" s="3" t="s">
        <x:v>102</x:v>
      </x:c>
      <x:c r="J214" s="3" t="s">
        <x:v>103</x:v>
      </x:c>
      <x:c r="K214" s="3" t="s">
        <x:v>104</x:v>
      </x:c>
      <x:c r="L214" s="3" t="s">
        <x:v>237</x:v>
      </x:c>
      <x:c r="M214" s="3" t="s">
        <x:v>172</x:v>
      </x:c>
      <x:c r="N214" s="3" t="s">
        <x:v>238</x:v>
      </x:c>
      <x:c r="O214" s="3" t="s">
        <x:v>239</x:v>
      </x:c>
      <x:c r="P214" s="3" t="s">
        <x:v>240</x:v>
      </x:c>
      <x:c r="Q214" s="3" t="s">
        <x:v>276</x:v>
      </x:c>
      <x:c r="R214" s="3" t="s">
        <x:v>391</x:v>
      </x:c>
      <x:c r="S214" s="3" t="s">
        <x:v>135</x:v>
      </x:c>
      <x:c r="T214" s="3" t="s">
        <x:v>135</x:v>
      </x:c>
      <x:c r="U214" s="3" t="s">
        <x:v>392</x:v>
      </x:c>
      <x:c r="V214" s="3" t="s">
        <x:v>312</x:v>
      </x:c>
      <x:c r="W214" s="3" t="s">
        <x:v>351</x:v>
      </x:c>
      <x:c r="X214" s="3" t="s">
        <x:v>314</x:v>
      </x:c>
      <x:c r="Y214" s="3" t="s">
        <x:v>352</x:v>
      </x:c>
      <x:c r="Z214" s="3" t="s">
        <x:v>393</x:v>
      </x:c>
      <x:c r="AA214" s="3" t="s">
        <x:v>394</x:v>
      </x:c>
      <x:c r="AB214" s="7" t="n">
        <x:v>46260.5125</x:v>
      </x:c>
      <x:c r="AC214" s="7" t="n">
        <x:v>46260.5145833333</x:v>
      </x:c>
      <x:c r="AD214" s="7" t="n">
        <x:v>46260.5201388889</x:v>
      </x:c>
      <x:c r="AE214" s="7" t="n">
        <x:v>46260.5375</x:v>
      </x:c>
      <x:c r="AF214" s="7" t="n">
        <x:v>46260.5673611111</x:v>
      </x:c>
      <x:c r="AG214" s="3" t="n">
        <x:v>36</x:v>
      </x:c>
      <x:c r="AH214" s="3" t="n">
        <x:v>37</x:v>
      </x:c>
      <x:c r="AI214" s="3" t="s">
        <x:v>135</x:v>
      </x:c>
      <x:c r="AJ214" s="3" t="s">
        <x:v>111</x:v>
      </x:c>
      <x:c r="AK214" s="3" t="n">
        <x:v>150</x:v>
      </x:c>
      <x:c r="AL214" s="3" t="n">
        <x:v>0</x:v>
      </x:c>
      <x:c r="AM214" s="8" t="n">
        <x:v>0.4867</x:v>
      </x:c>
      <x:c r="AN214" s="3" t="n">
        <x:v>0</x:v>
      </x:c>
      <x:c r="AO214" s="3" t="s">
        <x:v>9</x:v>
      </x:c>
      <x:c r="AP214" s="3" t="s">
        <x:v>335</x:v>
      </x:c>
      <x:c r="AQ214" s="3" t="s">
        <x:v>361</x:v>
      </x:c>
      <x:c r="AR214" s="9" t="n">
        <x:v>688.4</x:v>
      </x:c>
      <x:c r="AS214" s="3" t="s">
        <x:v>121</x:v>
      </x:c>
      <x:c r="AT214" s="7" t="n">
        <x:v>46301.9166666667</x:v>
      </x:c>
    </x:row>
    <x:row r="215" ht="31.299999237060547" hidden="0">
      <x:c r="A215" s="3" t="s">
        <x:v>706</x:v>
      </x:c>
      <x:c r="B215" s="3" t="s">
        <x:v>146</x:v>
      </x:c>
      <x:c r="C215" s="3" t="s">
        <x:v>147</x:v>
      </x:c>
      <x:c r="D215" s="3" t="s">
        <x:v>148</x:v>
      </x:c>
      <x:c r="E215" s="3" t="s">
        <x:v>249</x:v>
      </x:c>
      <x:c r="F215" s="3" t="s">
        <x:v>127</x:v>
      </x:c>
      <x:c r="G215" s="3" t="s">
        <x:v>349</x:v>
      </x:c>
      <x:c r="H215" s="3" t="s">
        <x:v>343</x:v>
      </x:c>
      <x:c r="I215" s="3" t="s">
        <x:v>102</x:v>
      </x:c>
      <x:c r="J215" s="3" t="s">
        <x:v>103</x:v>
      </x:c>
      <x:c r="K215" s="3" t="s">
        <x:v>104</x:v>
      </x:c>
      <x:c r="L215" s="3" t="s">
        <x:v>151</x:v>
      </x:c>
      <x:c r="M215" s="3" t="s">
        <x:v>152</x:v>
      </x:c>
      <x:c r="N215" s="3" t="s">
        <x:v>153</x:v>
      </x:c>
      <x:c r="O215" s="3" t="s">
        <x:v>154</x:v>
      </x:c>
      <x:c r="P215" s="3" t="s">
        <x:v>155</x:v>
      </x:c>
      <x:c r="Q215" s="3" t="s">
        <x:v>270</x:v>
      </x:c>
      <x:c r="R215" s="3" t="s">
        <x:v>344</x:v>
      </x:c>
      <x:c r="S215" s="3" t="s">
        <x:v>111</x:v>
      </x:c>
      <x:c r="T215" s="3" t="s">
        <x:v>111</x:v>
      </x:c>
      <x:c r="U215" s="3" t="s">
        <x:v>345</x:v>
      </x:c>
      <x:c r="V215" s="3" t="s">
        <x:v>178</x:v>
      </x:c>
      <x:c r="W215" s="3" t="s">
        <x:v>355</x:v>
      </x:c>
      <x:c r="X215" s="3" t="s">
        <x:v>180</x:v>
      </x:c>
      <x:c r="Y215" s="3" t="s">
        <x:v>356</x:v>
      </x:c>
      <x:c r="Z215" s="3" t="s">
        <x:v>346</x:v>
      </x:c>
      <x:c r="AA215" s="3" t="s">
        <x:v>118</x:v>
      </x:c>
      <x:c r="AB215" s="7" t="n">
        <x:v>46260.5715277778</x:v>
      </x:c>
      <x:c r="AC215" s="7" t="n">
        <x:v>46260.5729166667</x:v>
      </x:c>
      <x:c r="AD215" s="7" t="n">
        <x:v>46260.5784722222</x:v>
      </x:c>
      <x:c r="AE215" s="7" t="n">
        <x:v>46260.5840277778</x:v>
      </x:c>
      <x:c r="AF215" s="7" t="n">
        <x:v>46260.6305555556</x:v>
      </x:c>
      <x:c r="AG215" s="3" t="n">
        <x:v>18</x:v>
      </x:c>
      <x:c r="AH215" s="3" t="n">
        <x:v>58</x:v>
      </x:c>
      <x:c r="AI215" s="3" t="s">
        <x:v>135</x:v>
      </x:c>
      <x:c r="AJ215" s="3" t="s">
        <x:v>135</x:v>
      </x:c>
      <x:c r="AK215" s="3" t="n">
        <x:v>120</x:v>
      </x:c>
      <x:c r="AL215" s="3" t="n">
        <x:v>0</x:v>
      </x:c>
      <x:c r="AM215" s="8" t="n">
        <x:v>0.6333</x:v>
      </x:c>
      <x:c r="AN215" s="3" t="n">
        <x:v>0</x:v>
      </x:c>
      <x:c r="AO215" s="3" t="s">
        <x:v>14</x:v>
      </x:c>
      <x:c r="AP215" s="3" t="s">
        <x:v>347</x:v>
      </x:c>
      <x:c r="AQ215" s="3" t="s">
        <x:v>459</x:v>
      </x:c>
      <x:c r="AR215" s="9" t="n">
        <x:v>758.6</x:v>
      </x:c>
      <x:c r="AS215" s="3" t="s">
        <x:v>121</x:v>
      </x:c>
      <x:c r="AT215" s="7" t="n">
        <x:v>46301.9166666667</x:v>
      </x:c>
    </x:row>
    <x:row r="216" ht="31.299999237060547" hidden="0">
      <x:c r="A216" s="3" t="s">
        <x:v>707</x:v>
      </x:c>
      <x:c r="B216" s="3" t="s">
        <x:v>146</x:v>
      </x:c>
      <x:c r="C216" s="3" t="s">
        <x:v>147</x:v>
      </x:c>
      <x:c r="D216" s="3" t="s">
        <x:v>148</x:v>
      </x:c>
      <x:c r="E216" s="3" t="s">
        <x:v>249</x:v>
      </x:c>
      <x:c r="F216" s="3" t="s">
        <x:v>149</x:v>
      </x:c>
      <x:c r="G216" s="3" t="s">
        <x:v>498</x:v>
      </x:c>
      <x:c r="H216" s="3" t="s">
        <x:v>101</x:v>
      </x:c>
      <x:c r="I216" s="3" t="s">
        <x:v>102</x:v>
      </x:c>
      <x:c r="J216" s="3" t="s">
        <x:v>103</x:v>
      </x:c>
      <x:c r="K216" s="3" t="s">
        <x:v>104</x:v>
      </x:c>
      <x:c r="L216" s="3" t="s">
        <x:v>151</x:v>
      </x:c>
      <x:c r="M216" s="3" t="s">
        <x:v>152</x:v>
      </x:c>
      <x:c r="N216" s="3" t="s">
        <x:v>153</x:v>
      </x:c>
      <x:c r="O216" s="3" t="s">
        <x:v>154</x:v>
      </x:c>
      <x:c r="P216" s="3" t="s">
        <x:v>155</x:v>
      </x:c>
      <x:c r="Q216" s="3" t="s">
        <x:v>270</x:v>
      </x:c>
      <x:c r="R216" s="3" t="s">
        <x:v>310</x:v>
      </x:c>
      <x:c r="S216" s="3" t="s">
        <x:v>135</x:v>
      </x:c>
      <x:c r="T216" s="3" t="s">
        <x:v>111</x:v>
      </x:c>
      <x:c r="U216" s="3" t="s">
        <x:v>311</x:v>
      </x:c>
      <x:c r="V216" s="3" t="s">
        <x:v>312</x:v>
      </x:c>
      <x:c r="W216" s="3" t="s">
        <x:v>313</x:v>
      </x:c>
      <x:c r="X216" s="3" t="s">
        <x:v>314</x:v>
      </x:c>
      <x:c r="Y216" s="3" t="s">
        <x:v>315</x:v>
      </x:c>
      <x:c r="Z216" s="3" t="s">
        <x:v>316</x:v>
      </x:c>
      <x:c r="AA216" s="3" t="s">
        <x:v>317</x:v>
      </x:c>
      <x:c r="AB216" s="7" t="n">
        <x:v>46260.6305555556</x:v>
      </x:c>
      <x:c r="AC216" s="7" t="n">
        <x:v>46260.6354166667</x:v>
      </x:c>
      <x:c r="AD216" s="7" t="n">
        <x:v>46260.6409722222</x:v>
      </x:c>
      <x:c r="AE216" s="7" t="n">
        <x:v>46260.65625</x:v>
      </x:c>
      <x:c r="AF216" s="7" t="n">
        <x:v>46260.6868055556</x:v>
      </x:c>
      <x:c r="AG216" s="3" t="n">
        <x:v>37</x:v>
      </x:c>
      <x:c r="AH216" s="3" t="n">
        <x:v>41</x:v>
      </x:c>
      <x:c r="AI216" s="3" t="s">
        <x:v>135</x:v>
      </x:c>
      <x:c r="AJ216" s="3" t="s">
        <x:v>135</x:v>
      </x:c>
      <x:c r="AK216" s="3" t="n">
        <x:v>180</x:v>
      </x:c>
      <x:c r="AL216" s="3" t="n">
        <x:v>0</x:v>
      </x:c>
      <x:c r="AM216" s="8" t="n">
        <x:v>0.4333</x:v>
      </x:c>
      <x:c r="AN216" s="3" t="n">
        <x:v>0</x:v>
      </x:c>
      <x:c r="AO216" s="3" t="s">
        <x:v>9</x:v>
      </x:c>
      <x:c r="AP216" s="3" t="s">
        <x:v>142</x:v>
      </x:c>
      <x:c r="AQ216" s="3" t="s">
        <x:v>459</x:v>
      </x:c>
      <x:c r="AR216" s="9" t="n">
        <x:v>721.7</x:v>
      </x:c>
      <x:c r="AS216" s="3" t="s">
        <x:v>144</x:v>
      </x:c>
      <x:c r="AT216" s="7" t="n">
        <x:v>46301.9166666667</x:v>
      </x:c>
    </x:row>
    <x:row r="217" ht="31.299999237060547" hidden="0">
      <x:c r="A217" s="3" t="s">
        <x:v>708</x:v>
      </x:c>
      <x:c r="B217" s="3" t="s">
        <x:v>205</x:v>
      </x:c>
      <x:c r="C217" s="3" t="s">
        <x:v>206</x:v>
      </x:c>
      <x:c r="D217" s="3" t="s">
        <x:v>207</x:v>
      </x:c>
      <x:c r="E217" s="3" t="s">
        <x:v>249</x:v>
      </x:c>
      <x:c r="F217" s="3" t="s">
        <x:v>99</x:v>
      </x:c>
      <x:c r="G217" s="3" t="s">
        <x:v>377</x:v>
      </x:c>
      <x:c r="H217" s="3" t="s">
        <x:v>343</x:v>
      </x:c>
      <x:c r="I217" s="3" t="s">
        <x:v>102</x:v>
      </x:c>
      <x:c r="J217" s="3" t="s">
        <x:v>103</x:v>
      </x:c>
      <x:c r="K217" s="3" t="s">
        <x:v>104</x:v>
      </x:c>
      <x:c r="L217" s="3" t="s">
        <x:v>209</x:v>
      </x:c>
      <x:c r="M217" s="3" t="s">
        <x:v>210</x:v>
      </x:c>
      <x:c r="N217" s="3" t="s">
        <x:v>211</x:v>
      </x:c>
      <x:c r="O217" s="3" t="s">
        <x:v>212</x:v>
      </x:c>
      <x:c r="P217" s="3" t="s">
        <x:v>213</x:v>
      </x:c>
      <x:c r="Q217" s="3" t="s">
        <x:v>254</x:v>
      </x:c>
      <x:c r="R217" s="3" t="s">
        <x:v>330</x:v>
      </x:c>
      <x:c r="S217" s="3" t="s">
        <x:v>135</x:v>
      </x:c>
      <x:c r="T217" s="3" t="s">
        <x:v>111</x:v>
      </x:c>
      <x:c r="U217" s="3" t="s">
        <x:v>331</x:v>
      </x:c>
      <x:c r="V217" s="3" t="s">
        <x:v>178</x:v>
      </x:c>
      <x:c r="W217" s="3" t="s">
        <x:v>332</x:v>
      </x:c>
      <x:c r="X217" s="3" t="s">
        <x:v>180</x:v>
      </x:c>
      <x:c r="Y217" s="3" t="s">
        <x:v>333</x:v>
      </x:c>
      <x:c r="Z217" s="3" t="s">
        <x:v>334</x:v>
      </x:c>
      <x:c r="AA217" s="3" t="s">
        <x:v>118</x:v>
      </x:c>
      <x:c r="AB217" s="7" t="n">
        <x:v>46260.6375</x:v>
      </x:c>
      <x:c r="AC217" s="7" t="n">
        <x:v>46260.6416666667</x:v>
      </x:c>
      <x:c r="AD217" s="7" t="n">
        <x:v>46260.6479166667</x:v>
      </x:c>
      <x:c r="AE217" s="7" t="n">
        <x:v>46260.6541666667</x:v>
      </x:c>
      <x:c r="AF217" s="7" t="n">
        <x:v>46260.6743055556</x:v>
      </x:c>
      <x:c r="AG217" s="3" t="n">
        <x:v>24</x:v>
      </x:c>
      <x:c r="AH217" s="3" t="n">
        <x:v>20</x:v>
      </x:c>
      <x:c r="AI217" s="3" t="s">
        <x:v>135</x:v>
      </x:c>
      <x:c r="AJ217" s="3" t="s">
        <x:v>135</x:v>
      </x:c>
      <x:c r="AK217" s="3" t="n">
        <x:v>180</x:v>
      </x:c>
      <x:c r="AL217" s="3" t="n">
        <x:v>0</x:v>
      </x:c>
      <x:c r="AM217" s="8" t="n">
        <x:v>0.2444</x:v>
      </x:c>
      <x:c r="AN217" s="3" t="n">
        <x:v>0</x:v>
      </x:c>
      <x:c r="AO217" s="3" t="s">
        <x:v>9</x:v>
      </x:c>
      <x:c r="AP217" s="3" t="s">
        <x:v>142</x:v>
      </x:c>
      <x:c r="AQ217" s="3" t="s">
        <x:v>220</x:v>
      </x:c>
      <x:c r="AR217" s="9" t="n">
        <x:v>512</x:v>
      </x:c>
      <x:c r="AS217" s="3" t="s">
        <x:v>144</x:v>
      </x:c>
      <x:c r="AT217" s="7" t="n">
        <x:v>46301.9166666667</x:v>
      </x:c>
    </x:row>
    <x:row r="218" ht="31.299999237060547" hidden="0">
      <x:c r="A218" s="3" t="s">
        <x:v>709</x:v>
      </x:c>
      <x:c r="B218" s="3" t="s">
        <x:v>166</x:v>
      </x:c>
      <x:c r="C218" s="3" t="s">
        <x:v>167</x:v>
      </x:c>
      <x:c r="D218" s="3" t="s">
        <x:v>168</x:v>
      </x:c>
      <x:c r="E218" s="3" t="s">
        <x:v>249</x:v>
      </x:c>
      <x:c r="F218" s="3" t="s">
        <x:v>149</x:v>
      </x:c>
      <x:c r="G218" s="3" t="s">
        <x:v>447</x:v>
      </x:c>
      <x:c r="H218" s="3" t="s">
        <x:v>343</x:v>
      </x:c>
      <x:c r="I218" s="3" t="s">
        <x:v>102</x:v>
      </x:c>
      <x:c r="J218" s="3" t="s">
        <x:v>103</x:v>
      </x:c>
      <x:c r="K218" s="3" t="s">
        <x:v>104</x:v>
      </x:c>
      <x:c r="L218" s="3" t="s">
        <x:v>171</x:v>
      </x:c>
      <x:c r="M218" s="3" t="s">
        <x:v>172</x:v>
      </x:c>
      <x:c r="N218" s="3" t="s">
        <x:v>173</x:v>
      </x:c>
      <x:c r="O218" s="3" t="s">
        <x:v>174</x:v>
      </x:c>
      <x:c r="P218" s="3" t="s">
        <x:v>175</x:v>
      </x:c>
      <x:c r="Q218" s="3" t="s">
        <x:v>271</x:v>
      </x:c>
      <x:c r="R218" s="3" t="s">
        <x:v>344</x:v>
      </x:c>
      <x:c r="S218" s="3" t="s">
        <x:v>111</x:v>
      </x:c>
      <x:c r="T218" s="3" t="s">
        <x:v>111</x:v>
      </x:c>
      <x:c r="U218" s="3" t="s">
        <x:v>345</x:v>
      </x:c>
      <x:c r="V218" s="3" t="s">
        <x:v>178</x:v>
      </x:c>
      <x:c r="W218" s="3" t="s">
        <x:v>179</x:v>
      </x:c>
      <x:c r="X218" s="3" t="s">
        <x:v>180</x:v>
      </x:c>
      <x:c r="Y218" s="3" t="s">
        <x:v>414</x:v>
      </x:c>
      <x:c r="Z218" s="3" t="s">
        <x:v>346</x:v>
      </x:c>
      <x:c r="AA218" s="3" t="s">
        <x:v>118</x:v>
      </x:c>
      <x:c r="AB218" s="7" t="n">
        <x:v>46260.6590277778</x:v>
      </x:c>
      <x:c r="AC218" s="7" t="n">
        <x:v>46260.6604166667</x:v>
      </x:c>
      <x:c r="AD218" s="7" t="n">
        <x:v>46260.6652777778</x:v>
      </x:c>
      <x:c r="AE218" s="7" t="n">
        <x:v>46260.6784722222</x:v>
      </x:c>
      <x:c r="AF218" s="7" t="n">
        <x:v>46260.7472222222</x:v>
      </x:c>
      <x:c r="AG218" s="3" t="n">
        <x:v>28</x:v>
      </x:c>
      <x:c r="AH218" s="3" t="n">
        <x:v>93</x:v>
      </x:c>
      <x:c r="AI218" s="3" t="s">
        <x:v>135</x:v>
      </x:c>
      <x:c r="AJ218" s="3" t="s">
        <x:v>135</x:v>
      </x:c>
      <x:c r="AK218" s="3" t="n">
        <x:v>120</x:v>
      </x:c>
      <x:c r="AL218" s="3" t="n">
        <x:v>0</x:v>
      </x:c>
      <x:c r="AM218" s="8" t="n">
        <x:v>1.0083</x:v>
      </x:c>
      <x:c r="AN218" s="3" t="n">
        <x:v>0</x:v>
      </x:c>
      <x:c r="AO218" s="3" t="s">
        <x:v>19</x:v>
      </x:c>
      <x:c r="AP218" s="3" t="s">
        <x:v>495</x:v>
      </x:c>
      <x:c r="AQ218" s="3" t="s">
        <x:v>340</x:v>
      </x:c>
      <x:c r="AR218" s="9" t="n">
        <x:v>1435.6</x:v>
      </x:c>
      <x:c r="AS218" s="3" t="s">
        <x:v>185</x:v>
      </x:c>
      <x:c r="AT218" s="7" t="n">
        <x:v>46301.9166666667</x:v>
      </x:c>
    </x:row>
    <x:row r="219" ht="31.299999237060547" hidden="0">
      <x:c r="A219" s="3" t="s">
        <x:v>710</x:v>
      </x:c>
      <x:c r="B219" s="3" t="s">
        <x:v>205</x:v>
      </x:c>
      <x:c r="C219" s="3" t="s">
        <x:v>206</x:v>
      </x:c>
      <x:c r="D219" s="3" t="s">
        <x:v>207</x:v>
      </x:c>
      <x:c r="E219" s="3" t="s">
        <x:v>249</x:v>
      </x:c>
      <x:c r="F219" s="3" t="s">
        <x:v>99</x:v>
      </x:c>
      <x:c r="G219" s="3" t="s">
        <x:v>498</x:v>
      </x:c>
      <x:c r="H219" s="3" t="s">
        <x:v>101</x:v>
      </x:c>
      <x:c r="I219" s="3" t="s">
        <x:v>102</x:v>
      </x:c>
      <x:c r="J219" s="3" t="s">
        <x:v>103</x:v>
      </x:c>
      <x:c r="K219" s="3" t="s">
        <x:v>104</x:v>
      </x:c>
      <x:c r="L219" s="3" t="s">
        <x:v>209</x:v>
      </x:c>
      <x:c r="M219" s="3" t="s">
        <x:v>210</x:v>
      </x:c>
      <x:c r="N219" s="3" t="s">
        <x:v>211</x:v>
      </x:c>
      <x:c r="O219" s="3" t="s">
        <x:v>212</x:v>
      </x:c>
      <x:c r="P219" s="3" t="s">
        <x:v>213</x:v>
      </x:c>
      <x:c r="Q219" s="3" t="s">
        <x:v>254</x:v>
      </x:c>
      <x:c r="R219" s="3" t="s">
        <x:v>310</x:v>
      </x:c>
      <x:c r="S219" s="3" t="s">
        <x:v>135</x:v>
      </x:c>
      <x:c r="T219" s="3" t="s">
        <x:v>111</x:v>
      </x:c>
      <x:c r="U219" s="3" t="s">
        <x:v>311</x:v>
      </x:c>
      <x:c r="V219" s="3" t="s">
        <x:v>312</x:v>
      </x:c>
      <x:c r="W219" s="3" t="s">
        <x:v>351</x:v>
      </x:c>
      <x:c r="X219" s="3" t="s">
        <x:v>314</x:v>
      </x:c>
      <x:c r="Y219" s="3" t="s">
        <x:v>352</x:v>
      </x:c>
      <x:c r="Z219" s="3" t="s">
        <x:v>316</x:v>
      </x:c>
      <x:c r="AA219" s="3" t="s">
        <x:v>317</x:v>
      </x:c>
      <x:c r="AB219" s="7" t="n">
        <x:v>46260.6847222222</x:v>
      </x:c>
      <x:c r="AC219" s="7" t="n">
        <x:v>46260.6868055556</x:v>
      </x:c>
      <x:c r="AD219" s="7" t="n">
        <x:v>46260.6881944445</x:v>
      </x:c>
      <x:c r="AE219" s="7" t="n">
        <x:v>46260.7076388889</x:v>
      </x:c>
      <x:c r="AF219" s="7" t="n">
        <x:v>46260.7576388889</x:v>
      </x:c>
      <x:c r="AG219" s="3" t="n">
        <x:v>33</x:v>
      </x:c>
      <x:c r="AH219" s="3" t="n">
        <x:v>63</x:v>
      </x:c>
      <x:c r="AI219" s="3" t="s">
        <x:v>135</x:v>
      </x:c>
      <x:c r="AJ219" s="3" t="s">
        <x:v>135</x:v>
      </x:c>
      <x:c r="AK219" s="3" t="n">
        <x:v>180</x:v>
      </x:c>
      <x:c r="AL219" s="3" t="n">
        <x:v>0</x:v>
      </x:c>
      <x:c r="AM219" s="8" t="n">
        <x:v>0.5333</x:v>
      </x:c>
      <x:c r="AN219" s="3" t="n">
        <x:v>2</x:v>
      </x:c>
      <x:c r="AO219" s="3" t="s">
        <x:v>14</x:v>
      </x:c>
      <x:c r="AP219" s="3" t="s">
        <x:v>573</x:v>
      </x:c>
      <x:c r="AQ219" s="3" t="s">
        <x:v>697</x:v>
      </x:c>
      <x:c r="AR219" s="9" t="n">
        <x:v>862.1</x:v>
      </x:c>
      <x:c r="AS219" s="3" t="s">
        <x:v>121</x:v>
      </x:c>
      <x:c r="AT219" s="7" t="n">
        <x:v>46301.9166666667</x:v>
      </x:c>
    </x:row>
    <x:row r="220" ht="31.299999237060547" hidden="0">
      <x:c r="A220" s="3" t="s">
        <x:v>711</x:v>
      </x:c>
      <x:c r="B220" s="3" t="s">
        <x:v>222</x:v>
      </x:c>
      <x:c r="C220" s="3" t="s">
        <x:v>223</x:v>
      </x:c>
      <x:c r="D220" s="3" t="s">
        <x:v>224</x:v>
      </x:c>
      <x:c r="E220" s="3" t="s">
        <x:v>249</x:v>
      </x:c>
      <x:c r="F220" s="3" t="s">
        <x:v>169</x:v>
      </x:c>
      <x:c r="G220" s="3" t="s">
        <x:v>338</x:v>
      </x:c>
      <x:c r="H220" s="3" t="s">
        <x:v>339</x:v>
      </x:c>
      <x:c r="I220" s="3" t="s">
        <x:v>102</x:v>
      </x:c>
      <x:c r="J220" s="3" t="s">
        <x:v>103</x:v>
      </x:c>
      <x:c r="K220" s="3" t="s">
        <x:v>104</x:v>
      </x:c>
      <x:c r="L220" s="3" t="s">
        <x:v>226</x:v>
      </x:c>
      <x:c r="M220" s="3" t="s">
        <x:v>227</x:v>
      </x:c>
      <x:c r="N220" s="3" t="s">
        <x:v>228</x:v>
      </x:c>
      <x:c r="O220" s="3" t="s">
        <x:v>229</x:v>
      </x:c>
      <x:c r="P220" s="3" t="s">
        <x:v>230</x:v>
      </x:c>
      <x:c r="Q220" s="3" t="s">
        <x:v>274</x:v>
      </x:c>
      <x:c r="R220" s="3" t="s">
        <x:v>310</x:v>
      </x:c>
      <x:c r="S220" s="3" t="s">
        <x:v>135</x:v>
      </x:c>
      <x:c r="T220" s="3" t="s">
        <x:v>111</x:v>
      </x:c>
      <x:c r="U220" s="3" t="s">
        <x:v>311</x:v>
      </x:c>
      <x:c r="V220" s="3" t="s">
        <x:v>312</x:v>
      </x:c>
      <x:c r="W220" s="3" t="s">
        <x:v>351</x:v>
      </x:c>
      <x:c r="X220" s="3" t="s">
        <x:v>314</x:v>
      </x:c>
      <x:c r="Y220" s="3" t="s">
        <x:v>352</x:v>
      </x:c>
      <x:c r="Z220" s="3" t="s">
        <x:v>316</x:v>
      </x:c>
      <x:c r="AA220" s="3" t="s">
        <x:v>317</x:v>
      </x:c>
      <x:c r="AB220" s="7" t="n">
        <x:v>46260.7993055556</x:v>
      </x:c>
      <x:c r="AC220" s="7" t="n">
        <x:v>46260.8027777778</x:v>
      </x:c>
      <x:c r="AD220" s="7" t="n">
        <x:v>46260.8055555556</x:v>
      </x:c>
      <x:c r="AE220" s="7" t="n">
        <x:v>46260.8243055556</x:v>
      </x:c>
      <x:c r="AF220" s="7" t="n">
        <x:v>46260.8597222222</x:v>
      </x:c>
      <x:c r="AG220" s="3" t="n">
        <x:v>36</x:v>
      </x:c>
      <x:c r="AH220" s="3" t="n">
        <x:v>43</x:v>
      </x:c>
      <x:c r="AI220" s="3" t="s">
        <x:v>135</x:v>
      </x:c>
      <x:c r="AJ220" s="3" t="s">
        <x:v>135</x:v>
      </x:c>
      <x:c r="AK220" s="3" t="n">
        <x:v>180</x:v>
      </x:c>
      <x:c r="AL220" s="3" t="n">
        <x:v>0</x:v>
      </x:c>
      <x:c r="AM220" s="8" t="n">
        <x:v>0.4389</x:v>
      </x:c>
      <x:c r="AN220" s="3" t="n">
        <x:v>0</x:v>
      </x:c>
      <x:c r="AO220" s="3" t="s">
        <x:v>9</x:v>
      </x:c>
      <x:c r="AP220" s="3" t="s">
        <x:v>142</x:v>
      </x:c>
      <x:c r="AQ220" s="3" t="s">
        <x:v>370</x:v>
      </x:c>
      <x:c r="AR220" s="9" t="n">
        <x:v>731.6</x:v>
      </x:c>
      <x:c r="AS220" s="3" t="s">
        <x:v>121</x:v>
      </x:c>
      <x:c r="AT220" s="7" t="n">
        <x:v>46301.9166666667</x:v>
      </x:c>
    </x:row>
    <x:row r="221" ht="31.299999237060547" hidden="0">
      <x:c r="A221" s="3" t="s">
        <x:v>712</x:v>
      </x:c>
      <x:c r="B221" s="3" t="s">
        <x:v>397</x:v>
      </x:c>
      <x:c r="C221" s="3" t="s">
        <x:v>398</x:v>
      </x:c>
      <x:c r="D221" s="3" t="s">
        <x:v>399</x:v>
      </x:c>
      <x:c r="E221" s="3" t="s">
        <x:v>249</x:v>
      </x:c>
      <x:c r="F221" s="3" t="s">
        <x:v>127</x:v>
      </x:c>
      <x:c r="G221" s="3" t="s">
        <x:v>390</x:v>
      </x:c>
      <x:c r="H221" s="3" t="s">
        <x:v>301</x:v>
      </x:c>
      <x:c r="I221" s="3" t="s">
        <x:v>302</x:v>
      </x:c>
      <x:c r="J221" s="3" t="s">
        <x:v>303</x:v>
      </x:c>
      <x:c r="K221" s="3" t="s">
        <x:v>104</x:v>
      </x:c>
      <x:c r="L221" s="3" t="s">
        <x:v>401</x:v>
      </x:c>
      <x:c r="M221" s="3" t="s">
        <x:v>402</x:v>
      </x:c>
      <x:c r="N221" s="3" t="s">
        <x:v>403</x:v>
      </x:c>
      <x:c r="O221" s="3" t="s">
        <x:v>404</x:v>
      </x:c>
      <x:c r="P221" s="3" t="s">
        <x:v>405</x:v>
      </x:c>
      <x:c r="Q221" s="3" t="s">
        <x:v>406</x:v>
      </x:c>
      <x:c r="R221" s="3" t="s">
        <x:v>391</x:v>
      </x:c>
      <x:c r="S221" s="3" t="s">
        <x:v>135</x:v>
      </x:c>
      <x:c r="T221" s="3" t="s">
        <x:v>135</x:v>
      </x:c>
      <x:c r="U221" s="3" t="s">
        <x:v>392</x:v>
      </x:c>
      <x:c r="V221" s="3" t="s">
        <x:v>312</x:v>
      </x:c>
      <x:c r="W221" s="3" t="s">
        <x:v>351</x:v>
      </x:c>
      <x:c r="X221" s="3" t="s">
        <x:v>314</x:v>
      </x:c>
      <x:c r="Y221" s="3" t="s">
        <x:v>352</x:v>
      </x:c>
      <x:c r="Z221" s="3" t="s">
        <x:v>393</x:v>
      </x:c>
      <x:c r="AA221" s="3" t="s">
        <x:v>394</x:v>
      </x:c>
      <x:c r="AB221" s="7" t="n">
        <x:v>46260.8152777778</x:v>
      </x:c>
      <x:c r="AC221" s="7" t="n">
        <x:v>46260.81875</x:v>
      </x:c>
      <x:c r="AD221" s="7" t="n">
        <x:v>46260.8201388889</x:v>
      </x:c>
      <x:c r="AE221" s="7" t="n">
        <x:v>46260.8402777778</x:v>
      </x:c>
      <x:c r="AF221" s="7" t="n">
        <x:v>46260.8743055556</x:v>
      </x:c>
      <x:c r="AG221" s="3" t="n">
        <x:v>36</x:v>
      </x:c>
      <x:c r="AH221" s="3" t="n">
        <x:v>45</x:v>
      </x:c>
      <x:c r="AI221" s="3" t="s">
        <x:v>135</x:v>
      </x:c>
      <x:c r="AJ221" s="3" t="s">
        <x:v>135</x:v>
      </x:c>
      <x:c r="AK221" s="3" t="n">
        <x:v>180</x:v>
      </x:c>
      <x:c r="AL221" s="3" t="n">
        <x:v>0</x:v>
      </x:c>
      <x:c r="AM221" s="8" t="n">
        <x:v>0.45</x:v>
      </x:c>
      <x:c r="AN221" s="3" t="n">
        <x:v>2</x:v>
      </x:c>
      <x:c r="AO221" s="3" t="s">
        <x:v>14</x:v>
      </x:c>
      <x:c r="AP221" s="3" t="s">
        <x:v>573</x:v>
      </x:c>
      <x:c r="AQ221" s="3" t="s">
        <x:v>539</x:v>
      </x:c>
      <x:c r="AR221" s="9" t="n">
        <x:v>746</x:v>
      </x:c>
      <x:c r="AS221" s="3" t="s">
        <x:v>121</x:v>
      </x:c>
      <x:c r="AT221" s="7" t="n">
        <x:v>46301.9166666667</x:v>
      </x:c>
    </x:row>
    <x:row r="222" ht="31.299999237060547" hidden="0">
      <x:c r="A222" s="3" t="s">
        <x:v>713</x:v>
      </x:c>
      <x:c r="B222" s="3" t="s">
        <x:v>166</x:v>
      </x:c>
      <x:c r="C222" s="3" t="s">
        <x:v>167</x:v>
      </x:c>
      <x:c r="D222" s="3" t="s">
        <x:v>168</x:v>
      </x:c>
      <x:c r="E222" s="3" t="s">
        <x:v>249</x:v>
      </x:c>
      <x:c r="F222" s="3" t="s">
        <x:v>99</x:v>
      </x:c>
      <x:c r="G222" s="3" t="s">
        <x:v>349</x:v>
      </x:c>
      <x:c r="H222" s="3" t="s">
        <x:v>343</x:v>
      </x:c>
      <x:c r="I222" s="3" t="s">
        <x:v>102</x:v>
      </x:c>
      <x:c r="J222" s="3" t="s">
        <x:v>103</x:v>
      </x:c>
      <x:c r="K222" s="3" t="s">
        <x:v>104</x:v>
      </x:c>
      <x:c r="L222" s="3" t="s">
        <x:v>171</x:v>
      </x:c>
      <x:c r="M222" s="3" t="s">
        <x:v>172</x:v>
      </x:c>
      <x:c r="N222" s="3" t="s">
        <x:v>173</x:v>
      </x:c>
      <x:c r="O222" s="3" t="s">
        <x:v>174</x:v>
      </x:c>
      <x:c r="P222" s="3" t="s">
        <x:v>175</x:v>
      </x:c>
      <x:c r="Q222" s="3" t="s">
        <x:v>271</x:v>
      </x:c>
      <x:c r="R222" s="3" t="s">
        <x:v>344</x:v>
      </x:c>
      <x:c r="S222" s="3" t="s">
        <x:v>111</x:v>
      </x:c>
      <x:c r="T222" s="3" t="s">
        <x:v>111</x:v>
      </x:c>
      <x:c r="U222" s="3" t="s">
        <x:v>345</x:v>
      </x:c>
      <x:c r="V222" s="3" t="s">
        <x:v>178</x:v>
      </x:c>
      <x:c r="W222" s="3" t="s">
        <x:v>179</x:v>
      </x:c>
      <x:c r="X222" s="3" t="s">
        <x:v>180</x:v>
      </x:c>
      <x:c r="Y222" s="3" t="s">
        <x:v>414</x:v>
      </x:c>
      <x:c r="Z222" s="3" t="s">
        <x:v>346</x:v>
      </x:c>
      <x:c r="AA222" s="3" t="s">
        <x:v>118</x:v>
      </x:c>
      <x:c r="AB222" s="7" t="n">
        <x:v>46260.8277777778</x:v>
      </x:c>
      <x:c r="AC222" s="7" t="n">
        <x:v>46260.8305555556</x:v>
      </x:c>
      <x:c r="AD222" s="7" t="n">
        <x:v>46260.8333333333</x:v>
      </x:c>
      <x:c r="AE222" s="7" t="n">
        <x:v>46260.85</x:v>
      </x:c>
      <x:c r="AF222" s="7" t="n">
        <x:v>46260.8868055556</x:v>
      </x:c>
      <x:c r="AG222" s="3" t="n">
        <x:v>32</x:v>
      </x:c>
      <x:c r="AH222" s="3" t="n">
        <x:v>43</x:v>
      </x:c>
      <x:c r="AI222" s="3" t="s">
        <x:v>135</x:v>
      </x:c>
      <x:c r="AJ222" s="3" t="s">
        <x:v>135</x:v>
      </x:c>
      <x:c r="AK222" s="3" t="n">
        <x:v>120</x:v>
      </x:c>
      <x:c r="AL222" s="3" t="n">
        <x:v>0</x:v>
      </x:c>
      <x:c r="AM222" s="8" t="n">
        <x:v>0.625</x:v>
      </x:c>
      <x:c r="AN222" s="3" t="n">
        <x:v>1</x:v>
      </x:c>
      <x:c r="AO222" s="3" t="s">
        <x:v>14</x:v>
      </x:c>
      <x:c r="AP222" s="3" t="s">
        <x:v>471</x:v>
      </x:c>
      <x:c r="AQ222" s="3" t="s">
        <x:v>501</x:v>
      </x:c>
      <x:c r="AR222" s="9" t="n">
        <x:v>1093.6</x:v>
      </x:c>
      <x:c r="AS222" s="3" t="s">
        <x:v>121</x:v>
      </x:c>
      <x:c r="AT222" s="7" t="n">
        <x:v>46301.9166666667</x:v>
      </x:c>
    </x:row>
    <x:row r="223" ht="31.299999237060547" hidden="0">
      <x:c r="A223" s="3" t="s">
        <x:v>714</x:v>
      </x:c>
      <x:c r="B223" s="3" t="s">
        <x:v>83</x:v>
      </x:c>
      <x:c r="C223" s="3" t="s">
        <x:v>96</x:v>
      </x:c>
      <x:c r="D223" s="3" t="s">
        <x:v>97</x:v>
      </x:c>
      <x:c r="E223" s="3" t="s">
        <x:v>249</x:v>
      </x:c>
      <x:c r="F223" s="3" t="s">
        <x:v>149</x:v>
      </x:c>
      <x:c r="G223" s="3" t="s">
        <x:v>477</x:v>
      </x:c>
      <x:c r="H223" s="3" t="s">
        <x:v>343</x:v>
      </x:c>
      <x:c r="I223" s="3" t="s">
        <x:v>102</x:v>
      </x:c>
      <x:c r="J223" s="3" t="s">
        <x:v>103</x:v>
      </x:c>
      <x:c r="K223" s="3" t="s">
        <x:v>104</x:v>
      </x:c>
      <x:c r="L223" s="3" t="s">
        <x:v>105</x:v>
      </x:c>
      <x:c r="M223" s="3" t="s">
        <x:v>106</x:v>
      </x:c>
      <x:c r="N223" s="3" t="s">
        <x:v>107</x:v>
      </x:c>
      <x:c r="O223" s="3" t="s">
        <x:v>108</x:v>
      </x:c>
      <x:c r="P223" s="3" t="s">
        <x:v>109</x:v>
      </x:c>
      <x:c r="Q223" s="3" t="s">
        <x:v>250</x:v>
      </x:c>
      <x:c r="R223" s="3" t="s">
        <x:v>214</x:v>
      </x:c>
      <x:c r="S223" s="3" t="s">
        <x:v>135</x:v>
      </x:c>
      <x:c r="T223" s="3" t="s">
        <x:v>111</x:v>
      </x:c>
      <x:c r="U223" s="3" t="s">
        <x:v>215</x:v>
      </x:c>
      <x:c r="V223" s="3" t="s">
        <x:v>216</x:v>
      </x:c>
      <x:c r="W223" s="3" t="s">
        <x:v>429</x:v>
      </x:c>
      <x:c r="X223" s="3" t="s">
        <x:v>430</x:v>
      </x:c>
      <x:c r="Y223" s="3" t="s">
        <x:v>431</x:v>
      </x:c>
      <x:c r="Z223" s="3" t="s">
        <x:v>219</x:v>
      </x:c>
      <x:c r="AA223" s="3" t="s">
        <x:v>118</x:v>
      </x:c>
      <x:c r="AB223" s="7" t="n">
        <x:v>46260.8388888889</x:v>
      </x:c>
      <x:c r="AC223" s="7" t="n">
        <x:v>46260.8409722222</x:v>
      </x:c>
      <x:c r="AD223" s="7" t="n">
        <x:v>46260.8458333333</x:v>
      </x:c>
      <x:c r="AE223" s="7" t="n">
        <x:v>46260.8597222222</x:v>
      </x:c>
      <x:c r="AF223" s="7" t="n">
        <x:v>46260.8847222222</x:v>
      </x:c>
      <x:c r="AG223" s="3" t="n">
        <x:v>30</x:v>
      </x:c>
      <x:c r="AH223" s="3" t="n">
        <x:v>29</x:v>
      </x:c>
      <x:c r="AI223" s="3" t="s">
        <x:v>111</x:v>
      </x:c>
      <x:c r="AJ223" s="3" t="s">
        <x:v>111</x:v>
      </x:c>
      <x:c r="AK223" s="3" t="n">
        <x:v>60</x:v>
      </x:c>
      <x:c r="AL223" s="3" t="n">
        <x:v>0</x:v>
      </x:c>
      <x:c r="AM223" s="8" t="n">
        <x:v>0.9833</x:v>
      </x:c>
      <x:c r="AN223" s="3" t="n">
        <x:v>1</x:v>
      </x:c>
      <x:c r="AO223" s="3" t="s">
        <x:v>24</x:v>
      </x:c>
      <x:c r="AP223" s="3" t="s">
        <x:v>629</x:v>
      </x:c>
      <x:c r="AQ223" s="3" t="s">
        <x:v>562</x:v>
      </x:c>
      <x:c r="AR223" s="9" t="n">
        <x:v>923.8</x:v>
      </x:c>
      <x:c r="AS223" s="3" t="s">
        <x:v>121</x:v>
      </x:c>
      <x:c r="AT223" s="7" t="n">
        <x:v>46301.9166666667</x:v>
      </x:c>
    </x:row>
    <x:row r="224" ht="31.299999237060547" hidden="0">
      <x:c r="A224" s="3" t="s">
        <x:v>715</x:v>
      </x:c>
      <x:c r="B224" s="3" t="s">
        <x:v>83</x:v>
      </x:c>
      <x:c r="C224" s="3" t="s">
        <x:v>96</x:v>
      </x:c>
      <x:c r="D224" s="3" t="s">
        <x:v>97</x:v>
      </x:c>
      <x:c r="E224" s="3" t="s">
        <x:v>249</x:v>
      </x:c>
      <x:c r="F224" s="3" t="s">
        <x:v>127</x:v>
      </x:c>
      <x:c r="G224" s="3" t="s">
        <x:v>623</x:v>
      </x:c>
      <x:c r="H224" s="3" t="s">
        <x:v>101</x:v>
      </x:c>
      <x:c r="I224" s="3" t="s">
        <x:v>102</x:v>
      </x:c>
      <x:c r="J224" s="3" t="s">
        <x:v>103</x:v>
      </x:c>
      <x:c r="K224" s="3" t="s">
        <x:v>104</x:v>
      </x:c>
      <x:c r="L224" s="3" t="s">
        <x:v>105</x:v>
      </x:c>
      <x:c r="M224" s="3" t="s">
        <x:v>106</x:v>
      </x:c>
      <x:c r="N224" s="3" t="s">
        <x:v>107</x:v>
      </x:c>
      <x:c r="O224" s="3" t="s">
        <x:v>108</x:v>
      </x:c>
      <x:c r="P224" s="3" t="s">
        <x:v>109</x:v>
      </x:c>
      <x:c r="Q224" s="3" t="s">
        <x:v>250</x:v>
      </x:c>
      <x:c r="R224" s="3" t="s">
        <x:v>176</x:v>
      </x:c>
      <x:c r="S224" s="3" t="s">
        <x:v>135</x:v>
      </x:c>
      <x:c r="T224" s="3" t="s">
        <x:v>135</x:v>
      </x:c>
      <x:c r="U224" s="3" t="s">
        <x:v>177</x:v>
      </x:c>
      <x:c r="V224" s="3" t="s">
        <x:v>178</x:v>
      </x:c>
      <x:c r="W224" s="3" t="s">
        <x:v>179</x:v>
      </x:c>
      <x:c r="X224" s="3" t="s">
        <x:v>180</x:v>
      </x:c>
      <x:c r="Y224" s="3" t="s">
        <x:v>414</x:v>
      </x:c>
      <x:c r="Z224" s="3" t="s">
        <x:v>182</x:v>
      </x:c>
      <x:c r="AA224" s="3" t="s">
        <x:v>118</x:v>
      </x:c>
      <x:c r="AB224" s="7" t="n">
        <x:v>46261.3854166667</x:v>
      </x:c>
      <x:c r="AC224" s="7" t="n">
        <x:v>46261.3888888889</x:v>
      </x:c>
      <x:c r="AD224" s="7" t="n">
        <x:v>46261.3902777778</x:v>
      </x:c>
      <x:c r="AE224" s="7" t="n">
        <x:v>46261.4118055556</x:v>
      </x:c>
      <x:c r="AF224" s="7" t="n">
        <x:v>46261.4291666667</x:v>
      </x:c>
      <x:c r="AG224" s="3" t="n">
        <x:v>38</x:v>
      </x:c>
      <x:c r="AH224" s="3" t="n">
        <x:v>21</x:v>
      </x:c>
      <x:c r="AI224" s="3" t="s">
        <x:v>111</x:v>
      </x:c>
      <x:c r="AJ224" s="3" t="s">
        <x:v>111</x:v>
      </x:c>
      <x:c r="AK224" s="3" t="n">
        <x:v>60</x:v>
      </x:c>
      <x:c r="AL224" s="3" t="n">
        <x:v>0</x:v>
      </x:c>
      <x:c r="AM224" s="8" t="n">
        <x:v>0.9833</x:v>
      </x:c>
      <x:c r="AN224" s="3" t="n">
        <x:v>0</x:v>
      </x:c>
      <x:c r="AO224" s="3" t="s">
        <x:v>24</x:v>
      </x:c>
      <x:c r="AP224" s="3" t="s">
        <x:v>552</x:v>
      </x:c>
      <x:c r="AQ224" s="3" t="s">
        <x:v>422</x:v>
      </x:c>
      <x:c r="AR224" s="9" t="n">
        <x:v>902.2</x:v>
      </x:c>
      <x:c r="AS224" s="3" t="s">
        <x:v>121</x:v>
      </x:c>
      <x:c r="AT224" s="7" t="n">
        <x:v>46301.9166666667</x:v>
      </x:c>
    </x:row>
    <x:row r="225" ht="31.299999237060547" hidden="0">
      <x:c r="A225" s="3" t="s">
        <x:v>716</x:v>
      </x:c>
      <x:c r="B225" s="3" t="s">
        <x:v>166</x:v>
      </x:c>
      <x:c r="C225" s="3" t="s">
        <x:v>167</x:v>
      </x:c>
      <x:c r="D225" s="3" t="s">
        <x:v>168</x:v>
      </x:c>
      <x:c r="E225" s="3" t="s">
        <x:v>249</x:v>
      </x:c>
      <x:c r="F225" s="3" t="s">
        <x:v>99</x:v>
      </x:c>
      <x:c r="G225" s="3" t="s">
        <x:v>416</x:v>
      </x:c>
      <x:c r="H225" s="3" t="s">
        <x:v>339</x:v>
      </x:c>
      <x:c r="I225" s="3" t="s">
        <x:v>102</x:v>
      </x:c>
      <x:c r="J225" s="3" t="s">
        <x:v>103</x:v>
      </x:c>
      <x:c r="K225" s="3" t="s">
        <x:v>104</x:v>
      </x:c>
      <x:c r="L225" s="3" t="s">
        <x:v>171</x:v>
      </x:c>
      <x:c r="M225" s="3" t="s">
        <x:v>172</x:v>
      </x:c>
      <x:c r="N225" s="3" t="s">
        <x:v>173</x:v>
      </x:c>
      <x:c r="O225" s="3" t="s">
        <x:v>174</x:v>
      </x:c>
      <x:c r="P225" s="3" t="s">
        <x:v>175</x:v>
      </x:c>
      <x:c r="Q225" s="3" t="s">
        <x:v>271</x:v>
      </x:c>
      <x:c r="R225" s="3" t="s">
        <x:v>373</x:v>
      </x:c>
      <x:c r="S225" s="3" t="s">
        <x:v>135</x:v>
      </x:c>
      <x:c r="T225" s="3" t="s">
        <x:v>111</x:v>
      </x:c>
      <x:c r="U225" s="3" t="s">
        <x:v>374</x:v>
      </x:c>
      <x:c r="V225" s="3" t="s">
        <x:v>178</x:v>
      </x:c>
      <x:c r="W225" s="3" t="s">
        <x:v>355</x:v>
      </x:c>
      <x:c r="X225" s="3" t="s">
        <x:v>180</x:v>
      </x:c>
      <x:c r="Y225" s="3" t="s">
        <x:v>356</x:v>
      </x:c>
      <x:c r="Z225" s="3" t="s">
        <x:v>375</x:v>
      </x:c>
      <x:c r="AA225" s="3" t="s">
        <x:v>118</x:v>
      </x:c>
      <x:c r="AB225" s="7" t="n">
        <x:v>46261.4777777778</x:v>
      </x:c>
      <x:c r="AC225" s="7" t="n">
        <x:v>46261.48125</x:v>
      </x:c>
      <x:c r="AD225" s="7" t="n">
        <x:v>46261.4833333333</x:v>
      </x:c>
      <x:c r="AE225" s="7" t="n">
        <x:v>46261.49375</x:v>
      </x:c>
      <x:c r="AF225" s="7" t="n">
        <x:v>46261.5631944445</x:v>
      </x:c>
      <x:c r="AG225" s="3" t="n">
        <x:v>23</x:v>
      </x:c>
      <x:c r="AH225" s="3" t="n">
        <x:v>97</x:v>
      </x:c>
      <x:c r="AI225" s="3" t="s">
        <x:v>135</x:v>
      </x:c>
      <x:c r="AJ225" s="3" t="s">
        <x:v>135</x:v>
      </x:c>
      <x:c r="AK225" s="3" t="n">
        <x:v>150</x:v>
      </x:c>
      <x:c r="AL225" s="3" t="n">
        <x:v>0</x:v>
      </x:c>
      <x:c r="AM225" s="8" t="n">
        <x:v>0.8</x:v>
      </x:c>
      <x:c r="AN225" s="3" t="n">
        <x:v>2</x:v>
      </x:c>
      <x:c r="AO225" s="3" t="s">
        <x:v>14</x:v>
      </x:c>
      <x:c r="AP225" s="3" t="s">
        <x:v>717</x:v>
      </x:c>
      <x:c r="AQ225" s="3" t="s">
        <x:v>501</x:v>
      </x:c>
      <x:c r="AR225" s="9" t="n">
        <x:v>1441.9</x:v>
      </x:c>
      <x:c r="AS225" s="3" t="s">
        <x:v>185</x:v>
      </x:c>
      <x:c r="AT225" s="7" t="n">
        <x:v>46301.9166666667</x:v>
      </x:c>
    </x:row>
    <x:row r="226" ht="31.299999237060547" hidden="0">
      <x:c r="A226" s="3" t="s">
        <x:v>718</x:v>
      </x:c>
      <x:c r="B226" s="3" t="s">
        <x:v>123</x:v>
      </x:c>
      <x:c r="C226" s="3" t="s">
        <x:v>124</x:v>
      </x:c>
      <x:c r="D226" s="3" t="s">
        <x:v>125</x:v>
      </x:c>
      <x:c r="E226" s="3" t="s">
        <x:v>249</x:v>
      </x:c>
      <x:c r="F226" s="3" t="s">
        <x:v>99</x:v>
      </x:c>
      <x:c r="G226" s="3" t="s">
        <x:v>349</x:v>
      </x:c>
      <x:c r="H226" s="3" t="s">
        <x:v>343</x:v>
      </x:c>
      <x:c r="I226" s="3" t="s">
        <x:v>102</x:v>
      </x:c>
      <x:c r="J226" s="3" t="s">
        <x:v>103</x:v>
      </x:c>
      <x:c r="K226" s="3" t="s">
        <x:v>104</x:v>
      </x:c>
      <x:c r="L226" s="3" t="s">
        <x:v>129</x:v>
      </x:c>
      <x:c r="M226" s="3" t="s">
        <x:v>130</x:v>
      </x:c>
      <x:c r="N226" s="3" t="s">
        <x:v>131</x:v>
      </x:c>
      <x:c r="O226" s="3" t="s">
        <x:v>132</x:v>
      </x:c>
      <x:c r="P226" s="3" t="s">
        <x:v>133</x:v>
      </x:c>
      <x:c r="Q226" s="3" t="s">
        <x:v>268</x:v>
      </x:c>
      <x:c r="R226" s="3" t="s">
        <x:v>344</x:v>
      </x:c>
      <x:c r="S226" s="3" t="s">
        <x:v>111</x:v>
      </x:c>
      <x:c r="T226" s="3" t="s">
        <x:v>111</x:v>
      </x:c>
      <x:c r="U226" s="3" t="s">
        <x:v>345</x:v>
      </x:c>
      <x:c r="V226" s="3" t="s">
        <x:v>178</x:v>
      </x:c>
      <x:c r="W226" s="3" t="s">
        <x:v>355</x:v>
      </x:c>
      <x:c r="X226" s="3" t="s">
        <x:v>180</x:v>
      </x:c>
      <x:c r="Y226" s="3" t="s">
        <x:v>356</x:v>
      </x:c>
      <x:c r="Z226" s="3" t="s">
        <x:v>346</x:v>
      </x:c>
      <x:c r="AA226" s="3" t="s">
        <x:v>118</x:v>
      </x:c>
      <x:c r="AB226" s="7" t="n">
        <x:v>46261.4965277778</x:v>
      </x:c>
      <x:c r="AC226" s="7" t="n">
        <x:v>46261.5006944445</x:v>
      </x:c>
      <x:c r="AD226" s="7" t="n">
        <x:v>46261.5055555556</x:v>
      </x:c>
      <x:c r="AE226" s="7" t="n">
        <x:v>46261.5215277778</x:v>
      </x:c>
      <x:c r="AF226" s="7" t="n">
        <x:v>46261.5715277778</x:v>
      </x:c>
      <x:c r="AG226" s="3" t="n">
        <x:v>36</x:v>
      </x:c>
      <x:c r="AH226" s="3" t="n">
        <x:v>62</x:v>
      </x:c>
      <x:c r="AI226" s="3" t="s">
        <x:v>135</x:v>
      </x:c>
      <x:c r="AJ226" s="3" t="s">
        <x:v>135</x:v>
      </x:c>
      <x:c r="AK226" s="3" t="n">
        <x:v>120</x:v>
      </x:c>
      <x:c r="AL226" s="3" t="n">
        <x:v>0</x:v>
      </x:c>
      <x:c r="AM226" s="8" t="n">
        <x:v>0.8167</x:v>
      </x:c>
      <x:c r="AN226" s="3" t="n">
        <x:v>3</x:v>
      </x:c>
      <x:c r="AO226" s="3" t="s">
        <x:v>14</x:v>
      </x:c>
      <x:c r="AP226" s="3" t="s">
        <x:v>633</x:v>
      </x:c>
      <x:c r="AQ226" s="3" t="s">
        <x:v>719</x:v>
      </x:c>
      <x:c r="AR226" s="9" t="n">
        <x:v>1118.4</x:v>
      </x:c>
      <x:c r="AS226" s="3" t="s">
        <x:v>185</x:v>
      </x:c>
      <x:c r="AT226" s="7" t="n">
        <x:v>46301.9166666667</x:v>
      </x:c>
    </x:row>
    <x:row r="227" ht="31.299999237060547" hidden="0">
      <x:c r="A227" s="3" t="s">
        <x:v>720</x:v>
      </x:c>
      <x:c r="B227" s="3" t="s">
        <x:v>83</x:v>
      </x:c>
      <x:c r="C227" s="3" t="s">
        <x:v>96</x:v>
      </x:c>
      <x:c r="D227" s="3" t="s">
        <x:v>97</x:v>
      </x:c>
      <x:c r="E227" s="3" t="s">
        <x:v>249</x:v>
      </x:c>
      <x:c r="F227" s="3" t="s">
        <x:v>169</x:v>
      </x:c>
      <x:c r="G227" s="3" t="s">
        <x:v>416</x:v>
      </x:c>
      <x:c r="H227" s="3" t="s">
        <x:v>339</x:v>
      </x:c>
      <x:c r="I227" s="3" t="s">
        <x:v>102</x:v>
      </x:c>
      <x:c r="J227" s="3" t="s">
        <x:v>103</x:v>
      </x:c>
      <x:c r="K227" s="3" t="s">
        <x:v>104</x:v>
      </x:c>
      <x:c r="L227" s="3" t="s">
        <x:v>105</x:v>
      </x:c>
      <x:c r="M227" s="3" t="s">
        <x:v>106</x:v>
      </x:c>
      <x:c r="N227" s="3" t="s">
        <x:v>107</x:v>
      </x:c>
      <x:c r="O227" s="3" t="s">
        <x:v>108</x:v>
      </x:c>
      <x:c r="P227" s="3" t="s">
        <x:v>109</x:v>
      </x:c>
      <x:c r="Q227" s="3" t="s">
        <x:v>250</x:v>
      </x:c>
      <x:c r="R227" s="3" t="s">
        <x:v>373</x:v>
      </x:c>
      <x:c r="S227" s="3" t="s">
        <x:v>135</x:v>
      </x:c>
      <x:c r="T227" s="3" t="s">
        <x:v>111</x:v>
      </x:c>
      <x:c r="U227" s="3" t="s">
        <x:v>374</x:v>
      </x:c>
      <x:c r="V227" s="3" t="s">
        <x:v>178</x:v>
      </x:c>
      <x:c r="W227" s="3" t="s">
        <x:v>332</x:v>
      </x:c>
      <x:c r="X227" s="3" t="s">
        <x:v>180</x:v>
      </x:c>
      <x:c r="Y227" s="3" t="s">
        <x:v>333</x:v>
      </x:c>
      <x:c r="Z227" s="3" t="s">
        <x:v>375</x:v>
      </x:c>
      <x:c r="AA227" s="3" t="s">
        <x:v>118</x:v>
      </x:c>
      <x:c r="AB227" s="7" t="n">
        <x:v>46261.5465277778</x:v>
      </x:c>
      <x:c r="AC227" s="7" t="n">
        <x:v>46261.5493055556</x:v>
      </x:c>
      <x:c r="AD227" s="7" t="n">
        <x:v>46261.5541666667</x:v>
      </x:c>
      <x:c r="AE227" s="7" t="n">
        <x:v>46261.5777777778</x:v>
      </x:c>
      <x:c r="AF227" s="7" t="n">
        <x:v>46261.6013888889</x:v>
      </x:c>
      <x:c r="AG227" s="3" t="n">
        <x:v>45</x:v>
      </x:c>
      <x:c r="AH227" s="3" t="n">
        <x:v>30</x:v>
      </x:c>
      <x:c r="AI227" s="3" t="s">
        <x:v>111</x:v>
      </x:c>
      <x:c r="AJ227" s="3" t="s">
        <x:v>111</x:v>
      </x:c>
      <x:c r="AK227" s="3" t="n">
        <x:v>60</x:v>
      </x:c>
      <x:c r="AL227" s="3" t="n">
        <x:v>0</x:v>
      </x:c>
      <x:c r="AM227" s="8" t="n">
        <x:v>1.25</x:v>
      </x:c>
      <x:c r="AN227" s="3" t="n">
        <x:v>1</x:v>
      </x:c>
      <x:c r="AO227" s="3" t="s">
        <x:v>24</x:v>
      </x:c>
      <x:c r="AP227" s="3" t="s">
        <x:v>561</x:v>
      </x:c>
      <x:c r="AQ227" s="3" t="s">
        <x:v>562</x:v>
      </x:c>
      <x:c r="AR227" s="9" t="n">
        <x:v>998.5</x:v>
      </x:c>
      <x:c r="AS227" s="3" t="s">
        <x:v>185</x:v>
      </x:c>
      <x:c r="AT227" s="7" t="n">
        <x:v>46301.9166666667</x:v>
      </x:c>
    </x:row>
    <x:row r="228" ht="31.299999237060547" hidden="0">
      <x:c r="A228" s="3" t="s">
        <x:v>721</x:v>
      </x:c>
      <x:c r="B228" s="3" t="s">
        <x:v>233</x:v>
      </x:c>
      <x:c r="C228" s="3" t="s">
        <x:v>234</x:v>
      </x:c>
      <x:c r="D228" s="3" t="s">
        <x:v>235</x:v>
      </x:c>
      <x:c r="E228" s="3" t="s">
        <x:v>249</x:v>
      </x:c>
      <x:c r="F228" s="3" t="s">
        <x:v>99</x:v>
      </x:c>
      <x:c r="G228" s="3" t="s">
        <x:v>416</x:v>
      </x:c>
      <x:c r="H228" s="3" t="s">
        <x:v>339</x:v>
      </x:c>
      <x:c r="I228" s="3" t="s">
        <x:v>102</x:v>
      </x:c>
      <x:c r="J228" s="3" t="s">
        <x:v>103</x:v>
      </x:c>
      <x:c r="K228" s="3" t="s">
        <x:v>104</x:v>
      </x:c>
      <x:c r="L228" s="3" t="s">
        <x:v>237</x:v>
      </x:c>
      <x:c r="M228" s="3" t="s">
        <x:v>172</x:v>
      </x:c>
      <x:c r="N228" s="3" t="s">
        <x:v>238</x:v>
      </x:c>
      <x:c r="O228" s="3" t="s">
        <x:v>239</x:v>
      </x:c>
      <x:c r="P228" s="3" t="s">
        <x:v>240</x:v>
      </x:c>
      <x:c r="Q228" s="3" t="s">
        <x:v>276</x:v>
      </x:c>
      <x:c r="R228" s="3" t="s">
        <x:v>373</x:v>
      </x:c>
      <x:c r="S228" s="3" t="s">
        <x:v>135</x:v>
      </x:c>
      <x:c r="T228" s="3" t="s">
        <x:v>111</x:v>
      </x:c>
      <x:c r="U228" s="3" t="s">
        <x:v>374</x:v>
      </x:c>
      <x:c r="V228" s="3" t="s">
        <x:v>178</x:v>
      </x:c>
      <x:c r="W228" s="3" t="s">
        <x:v>332</x:v>
      </x:c>
      <x:c r="X228" s="3" t="s">
        <x:v>180</x:v>
      </x:c>
      <x:c r="Y228" s="3" t="s">
        <x:v>333</x:v>
      </x:c>
      <x:c r="Z228" s="3" t="s">
        <x:v>375</x:v>
      </x:c>
      <x:c r="AA228" s="3" t="s">
        <x:v>118</x:v>
      </x:c>
      <x:c r="AB228" s="7" t="n">
        <x:v>46261.5916666667</x:v>
      </x:c>
      <x:c r="AC228" s="7" t="n">
        <x:v>46261.5944444445</x:v>
      </x:c>
      <x:c r="AD228" s="7" t="n">
        <x:v>46261.5965277778</x:v>
      </x:c>
      <x:c r="AE228" s="7" t="n">
        <x:v>46261.6097222222</x:v>
      </x:c>
      <x:c r="AF228" s="7" t="n">
        <x:v>46261.6423611111</x:v>
      </x:c>
      <x:c r="AG228" s="3" t="n">
        <x:v>26</x:v>
      </x:c>
      <x:c r="AH228" s="3" t="n">
        <x:v>44</x:v>
      </x:c>
      <x:c r="AI228" s="3" t="s">
        <x:v>135</x:v>
      </x:c>
      <x:c r="AJ228" s="3" t="s">
        <x:v>111</x:v>
      </x:c>
      <x:c r="AK228" s="3" t="n">
        <x:v>150</x:v>
      </x:c>
      <x:c r="AL228" s="3" t="n">
        <x:v>0</x:v>
      </x:c>
      <x:c r="AM228" s="8" t="n">
        <x:v>0.4667</x:v>
      </x:c>
      <x:c r="AN228" s="3" t="n">
        <x:v>0</x:v>
      </x:c>
      <x:c r="AO228" s="3" t="s">
        <x:v>9</x:v>
      </x:c>
      <x:c r="AP228" s="3" t="s">
        <x:v>335</x:v>
      </x:c>
      <x:c r="AQ228" s="3" t="s">
        <x:v>361</x:v>
      </x:c>
      <x:c r="AR228" s="9" t="n">
        <x:v>693.8</x:v>
      </x:c>
      <x:c r="AS228" s="3" t="s">
        <x:v>144</x:v>
      </x:c>
      <x:c r="AT228" s="7" t="n">
        <x:v>46301.9166666667</x:v>
      </x:c>
    </x:row>
    <x:row r="229" ht="31.299999237060547" hidden="0">
      <x:c r="A229" s="3" t="s">
        <x:v>722</x:v>
      </x:c>
      <x:c r="B229" s="3" t="s">
        <x:v>433</x:v>
      </x:c>
      <x:c r="C229" s="3" t="s">
        <x:v>434</x:v>
      </x:c>
      <x:c r="D229" s="3" t="s">
        <x:v>435</x:v>
      </x:c>
      <x:c r="E229" s="3" t="s">
        <x:v>249</x:v>
      </x:c>
      <x:c r="F229" s="3" t="s">
        <x:v>127</x:v>
      </x:c>
      <x:c r="G229" s="3" t="s">
        <x:v>512</x:v>
      </x:c>
      <x:c r="H229" s="3" t="s">
        <x:v>301</x:v>
      </x:c>
      <x:c r="I229" s="3" t="s">
        <x:v>302</x:v>
      </x:c>
      <x:c r="J229" s="3" t="s">
        <x:v>303</x:v>
      </x:c>
      <x:c r="K229" s="3" t="s">
        <x:v>104</x:v>
      </x:c>
      <x:c r="L229" s="3" t="s">
        <x:v>437</x:v>
      </x:c>
      <x:c r="M229" s="3" t="s">
        <x:v>106</x:v>
      </x:c>
      <x:c r="N229" s="3" t="s">
        <x:v>438</x:v>
      </x:c>
      <x:c r="O229" s="3" t="s">
        <x:v>439</x:v>
      </x:c>
      <x:c r="P229" s="3" t="s">
        <x:v>440</x:v>
      </x:c>
      <x:c r="Q229" s="3" t="s">
        <x:v>441</x:v>
      </x:c>
      <x:c r="R229" s="3" t="s">
        <x:v>214</x:v>
      </x:c>
      <x:c r="S229" s="3" t="s">
        <x:v>135</x:v>
      </x:c>
      <x:c r="T229" s="3" t="s">
        <x:v>111</x:v>
      </x:c>
      <x:c r="U229" s="3" t="s">
        <x:v>215</x:v>
      </x:c>
      <x:c r="V229" s="3" t="s">
        <x:v>216</x:v>
      </x:c>
      <x:c r="W229" s="3" t="s">
        <x:v>429</x:v>
      </x:c>
      <x:c r="X229" s="3" t="s">
        <x:v>430</x:v>
      </x:c>
      <x:c r="Y229" s="3" t="s">
        <x:v>431</x:v>
      </x:c>
      <x:c r="Z229" s="3" t="s">
        <x:v>219</x:v>
      </x:c>
      <x:c r="AA229" s="3" t="s">
        <x:v>118</x:v>
      </x:c>
      <x:c r="AB229" s="7" t="n">
        <x:v>46261.60625</x:v>
      </x:c>
      <x:c r="AC229" s="7" t="n">
        <x:v>46261.6104166667</x:v>
      </x:c>
      <x:c r="AD229" s="7" t="n">
        <x:v>46261.6138888889</x:v>
      </x:c>
      <x:c r="AE229" s="7" t="n">
        <x:v>46261.6381944444</x:v>
      </x:c>
      <x:c r="AF229" s="7" t="n">
        <x:v>46261.6784722222</x:v>
      </x:c>
      <x:c r="AG229" s="3" t="n">
        <x:v>46</x:v>
      </x:c>
      <x:c r="AH229" s="3" t="n">
        <x:v>51</x:v>
      </x:c>
      <x:c r="AI229" s="3" t="s">
        <x:v>135</x:v>
      </x:c>
      <x:c r="AJ229" s="3" t="s">
        <x:v>135</x:v>
      </x:c>
      <x:c r="AK229" s="3" t="n">
        <x:v>180</x:v>
      </x:c>
      <x:c r="AL229" s="3" t="n">
        <x:v>0</x:v>
      </x:c>
      <x:c r="AM229" s="8" t="n">
        <x:v>0.5389</x:v>
      </x:c>
      <x:c r="AN229" s="3" t="n">
        <x:v>0</x:v>
      </x:c>
      <x:c r="AO229" s="3" t="s">
        <x:v>9</x:v>
      </x:c>
      <x:c r="AP229" s="3" t="s">
        <x:v>142</x:v>
      </x:c>
      <x:c r="AQ229" s="3" t="s">
        <x:v>120</x:v>
      </x:c>
      <x:c r="AR229" s="9" t="n">
        <x:v>834.2</x:v>
      </x:c>
      <x:c r="AS229" s="3" t="s">
        <x:v>144</x:v>
      </x:c>
      <x:c r="AT229" s="7" t="n">
        <x:v>46301.9166666667</x:v>
      </x:c>
    </x:row>
    <x:row r="230" ht="31.299999237060547" hidden="0">
      <x:c r="A230" s="3" t="s">
        <x:v>723</x:v>
      </x:c>
      <x:c r="B230" s="3" t="s">
        <x:v>205</x:v>
      </x:c>
      <x:c r="C230" s="3" t="s">
        <x:v>206</x:v>
      </x:c>
      <x:c r="D230" s="3" t="s">
        <x:v>207</x:v>
      </x:c>
      <x:c r="E230" s="3" t="s">
        <x:v>249</x:v>
      </x:c>
      <x:c r="F230" s="3" t="s">
        <x:v>99</x:v>
      </x:c>
      <x:c r="G230" s="3" t="s">
        <x:v>379</x:v>
      </x:c>
      <x:c r="H230" s="3" t="s">
        <x:v>339</x:v>
      </x:c>
      <x:c r="I230" s="3" t="s">
        <x:v>102</x:v>
      </x:c>
      <x:c r="J230" s="3" t="s">
        <x:v>103</x:v>
      </x:c>
      <x:c r="K230" s="3" t="s">
        <x:v>104</x:v>
      </x:c>
      <x:c r="L230" s="3" t="s">
        <x:v>209</x:v>
      </x:c>
      <x:c r="M230" s="3" t="s">
        <x:v>210</x:v>
      </x:c>
      <x:c r="N230" s="3" t="s">
        <x:v>211</x:v>
      </x:c>
      <x:c r="O230" s="3" t="s">
        <x:v>212</x:v>
      </x:c>
      <x:c r="P230" s="3" t="s">
        <x:v>213</x:v>
      </x:c>
      <x:c r="Q230" s="3" t="s">
        <x:v>254</x:v>
      </x:c>
      <x:c r="R230" s="3" t="s">
        <x:v>380</x:v>
      </x:c>
      <x:c r="S230" s="3" t="s">
        <x:v>111</x:v>
      </x:c>
      <x:c r="T230" s="3" t="s">
        <x:v>111</x:v>
      </x:c>
      <x:c r="U230" s="3" t="s">
        <x:v>381</x:v>
      </x:c>
      <x:c r="V230" s="3" t="s">
        <x:v>312</x:v>
      </x:c>
      <x:c r="W230" s="3" t="s">
        <x:v>351</x:v>
      </x:c>
      <x:c r="X230" s="3" t="s">
        <x:v>314</x:v>
      </x:c>
      <x:c r="Y230" s="3" t="s">
        <x:v>352</x:v>
      </x:c>
      <x:c r="Z230" s="3" t="s">
        <x:v>384</x:v>
      </x:c>
      <x:c r="AA230" s="3" t="s">
        <x:v>385</x:v>
      </x:c>
      <x:c r="AB230" s="7" t="n">
        <x:v>46261.6701388889</x:v>
      </x:c>
      <x:c r="AC230" s="7" t="n">
        <x:v>46261.6722222222</x:v>
      </x:c>
      <x:c r="AD230" s="7" t="n">
        <x:v>46261.675</x:v>
      </x:c>
      <x:c r="AE230" s="7" t="n">
        <x:v>46261.6958333333</x:v>
      </x:c>
      <x:c r="AF230" s="7" t="n">
        <x:v>46261.7361111111</x:v>
      </x:c>
      <x:c r="AG230" s="3" t="n">
        <x:v>37</x:v>
      </x:c>
      <x:c r="AH230" s="3" t="n">
        <x:v>51</x:v>
      </x:c>
      <x:c r="AI230" s="3" t="s">
        <x:v>135</x:v>
      </x:c>
      <x:c r="AJ230" s="3" t="s">
        <x:v>135</x:v>
      </x:c>
      <x:c r="AK230" s="3" t="n">
        <x:v>120</x:v>
      </x:c>
      <x:c r="AL230" s="3" t="n">
        <x:v>0</x:v>
      </x:c>
      <x:c r="AM230" s="8" t="n">
        <x:v>0.7333</x:v>
      </x:c>
      <x:c r="AN230" s="3" t="n">
        <x:v>0</x:v>
      </x:c>
      <x:c r="AO230" s="3" t="s">
        <x:v>14</x:v>
      </x:c>
      <x:c r="AP230" s="3" t="s">
        <x:v>347</x:v>
      </x:c>
      <x:c r="AQ230" s="3" t="s">
        <x:v>478</x:v>
      </x:c>
      <x:c r="AR230" s="9" t="n">
        <x:v>793.7</x:v>
      </x:c>
      <x:c r="AS230" s="3" t="s">
        <x:v>121</x:v>
      </x:c>
      <x:c r="AT230" s="7" t="n">
        <x:v>46301.9166666667</x:v>
      </x:c>
    </x:row>
    <x:row r="231" ht="31.299999237060547" hidden="0">
      <x:c r="A231" s="3" t="s">
        <x:v>724</x:v>
      </x:c>
      <x:c r="B231" s="3" t="s">
        <x:v>205</x:v>
      </x:c>
      <x:c r="C231" s="3" t="s">
        <x:v>206</x:v>
      </x:c>
      <x:c r="D231" s="3" t="s">
        <x:v>207</x:v>
      </x:c>
      <x:c r="E231" s="3" t="s">
        <x:v>249</x:v>
      </x:c>
      <x:c r="F231" s="3" t="s">
        <x:v>99</x:v>
      </x:c>
      <x:c r="G231" s="3" t="s">
        <x:v>520</x:v>
      </x:c>
      <x:c r="H231" s="3" t="s">
        <x:v>343</x:v>
      </x:c>
      <x:c r="I231" s="3" t="s">
        <x:v>102</x:v>
      </x:c>
      <x:c r="J231" s="3" t="s">
        <x:v>103</x:v>
      </x:c>
      <x:c r="K231" s="3" t="s">
        <x:v>104</x:v>
      </x:c>
      <x:c r="L231" s="3" t="s">
        <x:v>209</x:v>
      </x:c>
      <x:c r="M231" s="3" t="s">
        <x:v>210</x:v>
      </x:c>
      <x:c r="N231" s="3" t="s">
        <x:v>211</x:v>
      </x:c>
      <x:c r="O231" s="3" t="s">
        <x:v>212</x:v>
      </x:c>
      <x:c r="P231" s="3" t="s">
        <x:v>213</x:v>
      </x:c>
      <x:c r="Q231" s="3" t="s">
        <x:v>254</x:v>
      </x:c>
      <x:c r="R231" s="3" t="s">
        <x:v>380</x:v>
      </x:c>
      <x:c r="S231" s="3" t="s">
        <x:v>111</x:v>
      </x:c>
      <x:c r="T231" s="3" t="s">
        <x:v>111</x:v>
      </x:c>
      <x:c r="U231" s="3" t="s">
        <x:v>381</x:v>
      </x:c>
      <x:c r="V231" s="3" t="s">
        <x:v>312</x:v>
      </x:c>
      <x:c r="W231" s="3" t="s">
        <x:v>313</x:v>
      </x:c>
      <x:c r="X231" s="3" t="s">
        <x:v>314</x:v>
      </x:c>
      <x:c r="Y231" s="3" t="s">
        <x:v>315</x:v>
      </x:c>
      <x:c r="Z231" s="3" t="s">
        <x:v>384</x:v>
      </x:c>
      <x:c r="AA231" s="3" t="s">
        <x:v>385</x:v>
      </x:c>
      <x:c r="AB231" s="7" t="n">
        <x:v>46261.7118055556</x:v>
      </x:c>
      <x:c r="AC231" s="7" t="n">
        <x:v>46261.7159722222</x:v>
      </x:c>
      <x:c r="AD231" s="7" t="n">
        <x:v>46261.71875</x:v>
      </x:c>
      <x:c r="AE231" s="7" t="n">
        <x:v>46261.7444444444</x:v>
      </x:c>
      <x:c r="AF231" s="7" t="n">
        <x:v>46261.76875</x:v>
      </x:c>
      <x:c r="AG231" s="3" t="n">
        <x:v>47</x:v>
      </x:c>
      <x:c r="AH231" s="3" t="n">
        <x:v>32</x:v>
      </x:c>
      <x:c r="AI231" s="3" t="s">
        <x:v>135</x:v>
      </x:c>
      <x:c r="AJ231" s="3" t="s">
        <x:v>135</x:v>
      </x:c>
      <x:c r="AK231" s="3" t="n">
        <x:v>120</x:v>
      </x:c>
      <x:c r="AL231" s="3" t="n">
        <x:v>0</x:v>
      </x:c>
      <x:c r="AM231" s="8" t="n">
        <x:v>0.6583</x:v>
      </x:c>
      <x:c r="AN231" s="3" t="n">
        <x:v>0</x:v>
      </x:c>
      <x:c r="AO231" s="3" t="s">
        <x:v>14</x:v>
      </x:c>
      <x:c r="AP231" s="3" t="s">
        <x:v>347</x:v>
      </x:c>
      <x:c r="AQ231" s="3" t="s">
        <x:v>478</x:v>
      </x:c>
      <x:c r="AR231" s="9" t="n">
        <x:v>701.9</x:v>
      </x:c>
      <x:c r="AS231" s="3" t="s">
        <x:v>121</x:v>
      </x:c>
      <x:c r="AT231" s="7" t="n">
        <x:v>46301.9166666667</x:v>
      </x:c>
    </x:row>
    <x:row r="232" ht="31.299999237060547" hidden="0">
      <x:c r="A232" s="3" t="s">
        <x:v>725</x:v>
      </x:c>
      <x:c r="B232" s="3" t="s">
        <x:v>83</x:v>
      </x:c>
      <x:c r="C232" s="3" t="s">
        <x:v>96</x:v>
      </x:c>
      <x:c r="D232" s="3" t="s">
        <x:v>97</x:v>
      </x:c>
      <x:c r="E232" s="3" t="s">
        <x:v>249</x:v>
      </x:c>
      <x:c r="F232" s="3" t="s">
        <x:v>127</x:v>
      </x:c>
      <x:c r="G232" s="3" t="s">
        <x:v>726</x:v>
      </x:c>
      <x:c r="H232" s="3" t="s">
        <x:v>343</x:v>
      </x:c>
      <x:c r="I232" s="3" t="s">
        <x:v>102</x:v>
      </x:c>
      <x:c r="J232" s="3" t="s">
        <x:v>103</x:v>
      </x:c>
      <x:c r="K232" s="3" t="s">
        <x:v>104</x:v>
      </x:c>
      <x:c r="L232" s="3" t="s">
        <x:v>105</x:v>
      </x:c>
      <x:c r="M232" s="3" t="s">
        <x:v>106</x:v>
      </x:c>
      <x:c r="N232" s="3" t="s">
        <x:v>107</x:v>
      </x:c>
      <x:c r="O232" s="3" t="s">
        <x:v>108</x:v>
      </x:c>
      <x:c r="P232" s="3" t="s">
        <x:v>109</x:v>
      </x:c>
      <x:c r="Q232" s="3" t="s">
        <x:v>250</x:v>
      </x:c>
      <x:c r="R232" s="3" t="s">
        <x:v>110</x:v>
      </x:c>
      <x:c r="S232" s="3" t="s">
        <x:v>111</x:v>
      </x:c>
      <x:c r="T232" s="3" t="s">
        <x:v>111</x:v>
      </x:c>
      <x:c r="U232" s="3" t="s">
        <x:v>112</x:v>
      </x:c>
      <x:c r="V232" s="3" t="s">
        <x:v>113</x:v>
      </x:c>
      <x:c r="W232" s="3" t="s">
        <x:v>114</x:v>
      </x:c>
      <x:c r="X232" s="3" t="s">
        <x:v>115</x:v>
      </x:c>
      <x:c r="Y232" s="3" t="s">
        <x:v>116</x:v>
      </x:c>
      <x:c r="Z232" s="3" t="s">
        <x:v>117</x:v>
      </x:c>
      <x:c r="AA232" s="3" t="s">
        <x:v>118</x:v>
      </x:c>
      <x:c r="AB232" s="7" t="n">
        <x:v>46261.71875</x:v>
      </x:c>
      <x:c r="AC232" s="7" t="n">
        <x:v>46261.7222222222</x:v>
      </x:c>
      <x:c r="AD232" s="7" t="n">
        <x:v>46261.7270833333</x:v>
      </x:c>
      <x:c r="AE232" s="7" t="n">
        <x:v>46261.7465277778</x:v>
      </x:c>
      <x:c r="AF232" s="7" t="n">
        <x:v>46261.7756944444</x:v>
      </x:c>
      <x:c r="AG232" s="3" t="n">
        <x:v>40</x:v>
      </x:c>
      <x:c r="AH232" s="3" t="n">
        <x:v>34</x:v>
      </x:c>
      <x:c r="AI232" s="3" t="s">
        <x:v>111</x:v>
      </x:c>
      <x:c r="AJ232" s="3" t="s">
        <x:v>111</x:v>
      </x:c>
      <x:c r="AK232" s="3" t="n">
        <x:v>60</x:v>
      </x:c>
      <x:c r="AL232" s="3" t="n">
        <x:v>0</x:v>
      </x:c>
      <x:c r="AM232" s="8" t="n">
        <x:v>1.2333</x:v>
      </x:c>
      <x:c r="AN232" s="3" t="n">
        <x:v>0</x:v>
      </x:c>
      <x:c r="AO232" s="3" t="s">
        <x:v>24</x:v>
      </x:c>
      <x:c r="AP232" s="3" t="s">
        <x:v>421</x:v>
      </x:c>
      <x:c r="AQ232" s="3" t="s">
        <x:v>422</x:v>
      </x:c>
      <x:c r="AR232" s="9" t="n">
        <x:v>1004.8</x:v>
      </x:c>
      <x:c r="AS232" s="3" t="s">
        <x:v>185</x:v>
      </x:c>
      <x:c r="AT232" s="7" t="n">
        <x:v>46301.9166666667</x:v>
      </x:c>
    </x:row>
    <x:row r="233" ht="31.299999237060547" hidden="0">
      <x:c r="A233" s="3" t="s">
        <x:v>727</x:v>
      </x:c>
      <x:c r="B233" s="3" t="s">
        <x:v>187</x:v>
      </x:c>
      <x:c r="C233" s="3" t="s">
        <x:v>188</x:v>
      </x:c>
      <x:c r="D233" s="3" t="s">
        <x:v>189</x:v>
      </x:c>
      <x:c r="E233" s="3" t="s">
        <x:v>249</x:v>
      </x:c>
      <x:c r="F233" s="3" t="s">
        <x:v>127</x:v>
      </x:c>
      <x:c r="G233" s="3" t="s">
        <x:v>354</x:v>
      </x:c>
      <x:c r="H233" s="3" t="s">
        <x:v>101</x:v>
      </x:c>
      <x:c r="I233" s="3" t="s">
        <x:v>102</x:v>
      </x:c>
      <x:c r="J233" s="3" t="s">
        <x:v>103</x:v>
      </x:c>
      <x:c r="K233" s="3" t="s">
        <x:v>104</x:v>
      </x:c>
      <x:c r="L233" s="3" t="s">
        <x:v>191</x:v>
      </x:c>
      <x:c r="M233" s="3" t="s">
        <x:v>192</x:v>
      </x:c>
      <x:c r="N233" s="3" t="s">
        <x:v>193</x:v>
      </x:c>
      <x:c r="O233" s="3" t="s">
        <x:v>194</x:v>
      </x:c>
      <x:c r="P233" s="3" t="s">
        <x:v>195</x:v>
      </x:c>
      <x:c r="Q233" s="3" t="s">
        <x:v>273</x:v>
      </x:c>
      <x:c r="R233" s="3" t="s">
        <x:v>176</x:v>
      </x:c>
      <x:c r="S233" s="3" t="s">
        <x:v>135</x:v>
      </x:c>
      <x:c r="T233" s="3" t="s">
        <x:v>135</x:v>
      </x:c>
      <x:c r="U233" s="3" t="s">
        <x:v>177</x:v>
      </x:c>
      <x:c r="V233" s="3" t="s">
        <x:v>178</x:v>
      </x:c>
      <x:c r="W233" s="3" t="s">
        <x:v>179</x:v>
      </x:c>
      <x:c r="X233" s="3" t="s">
        <x:v>180</x:v>
      </x:c>
      <x:c r="Y233" s="3" t="s">
        <x:v>414</x:v>
      </x:c>
      <x:c r="Z233" s="3" t="s">
        <x:v>182</x:v>
      </x:c>
      <x:c r="AA233" s="3" t="s">
        <x:v>118</x:v>
      </x:c>
      <x:c r="AB233" s="7" t="n">
        <x:v>46261.8145833333</x:v>
      </x:c>
      <x:c r="AC233" s="7" t="n">
        <x:v>46261.8173611111</x:v>
      </x:c>
      <x:c r="AD233" s="7" t="n">
        <x:v>46261.8236111111</x:v>
      </x:c>
      <x:c r="AE233" s="7" t="n">
        <x:v>46261.8368055556</x:v>
      </x:c>
      <x:c r="AF233" s="7" t="n">
        <x:v>46261.8944444444</x:v>
      </x:c>
      <x:c r="AG233" s="3" t="n">
        <x:v>32</x:v>
      </x:c>
      <x:c r="AH233" s="3" t="n">
        <x:v>74</x:v>
      </x:c>
      <x:c r="AI233" s="3" t="s">
        <x:v>135</x:v>
      </x:c>
      <x:c r="AJ233" s="3" t="s">
        <x:v>111</x:v>
      </x:c>
      <x:c r="AK233" s="3" t="n">
        <x:v>150</x:v>
      </x:c>
      <x:c r="AL233" s="3" t="n">
        <x:v>0</x:v>
      </x:c>
      <x:c r="AM233" s="8" t="n">
        <x:v>0.7067</x:v>
      </x:c>
      <x:c r="AN233" s="3" t="n">
        <x:v>0</x:v>
      </x:c>
      <x:c r="AO233" s="3" t="s">
        <x:v>14</x:v>
      </x:c>
      <x:c r="AP233" s="3" t="s">
        <x:v>318</x:v>
      </x:c>
      <x:c r="AQ233" s="3" t="s">
        <x:v>677</x:v>
      </x:c>
      <x:c r="AR233" s="9" t="n">
        <x:v>1316.8</x:v>
      </x:c>
      <x:c r="AS233" s="3" t="s">
        <x:v>121</x:v>
      </x:c>
      <x:c r="AT233" s="7" t="n">
        <x:v>46301.9166666667</x:v>
      </x:c>
    </x:row>
    <x:row r="234" ht="31.299999237060547" hidden="0">
      <x:c r="A234" s="3" t="s">
        <x:v>728</x:v>
      </x:c>
      <x:c r="B234" s="3" t="s">
        <x:v>83</x:v>
      </x:c>
      <x:c r="C234" s="3" t="s">
        <x:v>96</x:v>
      </x:c>
      <x:c r="D234" s="3" t="s">
        <x:v>97</x:v>
      </x:c>
      <x:c r="E234" s="3" t="s">
        <x:v>249</x:v>
      </x:c>
      <x:c r="F234" s="3" t="s">
        <x:v>127</x:v>
      </x:c>
      <x:c r="G234" s="3" t="s">
        <x:v>498</x:v>
      </x:c>
      <x:c r="H234" s="3" t="s">
        <x:v>101</x:v>
      </x:c>
      <x:c r="I234" s="3" t="s">
        <x:v>102</x:v>
      </x:c>
      <x:c r="J234" s="3" t="s">
        <x:v>103</x:v>
      </x:c>
      <x:c r="K234" s="3" t="s">
        <x:v>104</x:v>
      </x:c>
      <x:c r="L234" s="3" t="s">
        <x:v>105</x:v>
      </x:c>
      <x:c r="M234" s="3" t="s">
        <x:v>106</x:v>
      </x:c>
      <x:c r="N234" s="3" t="s">
        <x:v>107</x:v>
      </x:c>
      <x:c r="O234" s="3" t="s">
        <x:v>108</x:v>
      </x:c>
      <x:c r="P234" s="3" t="s">
        <x:v>109</x:v>
      </x:c>
      <x:c r="Q234" s="3" t="s">
        <x:v>250</x:v>
      </x:c>
      <x:c r="R234" s="3" t="s">
        <x:v>310</x:v>
      </x:c>
      <x:c r="S234" s="3" t="s">
        <x:v>135</x:v>
      </x:c>
      <x:c r="T234" s="3" t="s">
        <x:v>111</x:v>
      </x:c>
      <x:c r="U234" s="3" t="s">
        <x:v>311</x:v>
      </x:c>
      <x:c r="V234" s="3" t="s">
        <x:v>312</x:v>
      </x:c>
      <x:c r="W234" s="3" t="s">
        <x:v>351</x:v>
      </x:c>
      <x:c r="X234" s="3" t="s">
        <x:v>314</x:v>
      </x:c>
      <x:c r="Y234" s="3" t="s">
        <x:v>352</x:v>
      </x:c>
      <x:c r="Z234" s="3" t="s">
        <x:v>316</x:v>
      </x:c>
      <x:c r="AA234" s="3" t="s">
        <x:v>317</x:v>
      </x:c>
      <x:c r="AB234" s="7" t="n">
        <x:v>46262.4006944444</x:v>
      </x:c>
      <x:c r="AC234" s="7" t="n">
        <x:v>46262.4055555556</x:v>
      </x:c>
      <x:c r="AD234" s="7" t="n">
        <x:v>46262.4118055556</x:v>
      </x:c>
      <x:c r="AE234" s="7" t="n">
        <x:v>46262.4298611111</x:v>
      </x:c>
      <x:c r="AF234" s="7" t="n">
        <x:v>46262.4590277778</x:v>
      </x:c>
      <x:c r="AG234" s="3" t="n">
        <x:v>42</x:v>
      </x:c>
      <x:c r="AH234" s="3" t="n">
        <x:v>38</x:v>
      </x:c>
      <x:c r="AI234" s="3" t="s">
        <x:v>111</x:v>
      </x:c>
      <x:c r="AJ234" s="3" t="s">
        <x:v>111</x:v>
      </x:c>
      <x:c r="AK234" s="3" t="n">
        <x:v>60</x:v>
      </x:c>
      <x:c r="AL234" s="3" t="n">
        <x:v>0</x:v>
      </x:c>
      <x:c r="AM234" s="8" t="n">
        <x:v>1.3333</x:v>
      </x:c>
      <x:c r="AN234" s="3" t="n">
        <x:v>2</x:v>
      </x:c>
      <x:c r="AO234" s="3" t="s">
        <x:v>24</x:v>
      </x:c>
      <x:c r="AP234" s="3" t="s">
        <x:v>729</x:v>
      </x:c>
      <x:c r="AQ234" s="3" t="s">
        <x:v>562</x:v>
      </x:c>
      <x:c r="AR234" s="9" t="n">
        <x:v>1042.6</x:v>
      </x:c>
      <x:c r="AS234" s="3" t="s">
        <x:v>185</x:v>
      </x:c>
      <x:c r="AT234" s="7" t="n">
        <x:v>46301.9166666667</x:v>
      </x:c>
    </x:row>
    <x:row r="235" ht="31.299999237060547" hidden="0">
      <x:c r="A235" s="3" t="s">
        <x:v>730</x:v>
      </x:c>
      <x:c r="B235" s="3" t="s">
        <x:v>205</x:v>
      </x:c>
      <x:c r="C235" s="3" t="s">
        <x:v>206</x:v>
      </x:c>
      <x:c r="D235" s="3" t="s">
        <x:v>207</x:v>
      </x:c>
      <x:c r="E235" s="3" t="s">
        <x:v>249</x:v>
      </x:c>
      <x:c r="F235" s="3" t="s">
        <x:v>99</x:v>
      </x:c>
      <x:c r="G235" s="3" t="s">
        <x:v>522</x:v>
      </x:c>
      <x:c r="H235" s="3" t="s">
        <x:v>343</x:v>
      </x:c>
      <x:c r="I235" s="3" t="s">
        <x:v>102</x:v>
      </x:c>
      <x:c r="J235" s="3" t="s">
        <x:v>103</x:v>
      </x:c>
      <x:c r="K235" s="3" t="s">
        <x:v>104</x:v>
      </x:c>
      <x:c r="L235" s="3" t="s">
        <x:v>209</x:v>
      </x:c>
      <x:c r="M235" s="3" t="s">
        <x:v>210</x:v>
      </x:c>
      <x:c r="N235" s="3" t="s">
        <x:v>211</x:v>
      </x:c>
      <x:c r="O235" s="3" t="s">
        <x:v>212</x:v>
      </x:c>
      <x:c r="P235" s="3" t="s">
        <x:v>213</x:v>
      </x:c>
      <x:c r="Q235" s="3" t="s">
        <x:v>254</x:v>
      </x:c>
      <x:c r="R235" s="3" t="s">
        <x:v>380</x:v>
      </x:c>
      <x:c r="S235" s="3" t="s">
        <x:v>111</x:v>
      </x:c>
      <x:c r="T235" s="3" t="s">
        <x:v>111</x:v>
      </x:c>
      <x:c r="U235" s="3" t="s">
        <x:v>381</x:v>
      </x:c>
      <x:c r="V235" s="3" t="s">
        <x:v>312</x:v>
      </x:c>
      <x:c r="W235" s="3" t="s">
        <x:v>313</x:v>
      </x:c>
      <x:c r="X235" s="3" t="s">
        <x:v>314</x:v>
      </x:c>
      <x:c r="Y235" s="3" t="s">
        <x:v>315</x:v>
      </x:c>
      <x:c r="Z235" s="3" t="s">
        <x:v>384</x:v>
      </x:c>
      <x:c r="AA235" s="3" t="s">
        <x:v>385</x:v>
      </x:c>
      <x:c r="AB235" s="7" t="n">
        <x:v>46262.4152777778</x:v>
      </x:c>
      <x:c r="AC235" s="7" t="n">
        <x:v>46262.4180555556</x:v>
      </x:c>
      <x:c r="AD235" s="7" t="n">
        <x:v>46262.4243055556</x:v>
      </x:c>
      <x:c r="AE235" s="7" t="n">
        <x:v>46262.45</x:v>
      </x:c>
      <x:c r="AF235" s="7" t="n">
        <x:v>46262.49375</x:v>
      </x:c>
      <x:c r="AG235" s="3" t="n">
        <x:v>50</x:v>
      </x:c>
      <x:c r="AH235" s="3" t="n">
        <x:v>53</x:v>
      </x:c>
      <x:c r="AI235" s="3" t="s">
        <x:v>135</x:v>
      </x:c>
      <x:c r="AJ235" s="3" t="s">
        <x:v>135</x:v>
      </x:c>
      <x:c r="AK235" s="3" t="n">
        <x:v>120</x:v>
      </x:c>
      <x:c r="AL235" s="3" t="n">
        <x:v>0</x:v>
      </x:c>
      <x:c r="AM235" s="8" t="n">
        <x:v>0.8583</x:v>
      </x:c>
      <x:c r="AN235" s="3" t="n">
        <x:v>0</x:v>
      </x:c>
      <x:c r="AO235" s="3" t="s">
        <x:v>19</x:v>
      </x:c>
      <x:c r="AP235" s="3" t="s">
        <x:v>369</x:v>
      </x:c>
      <x:c r="AQ235" s="3" t="s">
        <x:v>478</x:v>
      </x:c>
      <x:c r="AR235" s="9" t="n">
        <x:v>866.6</x:v>
      </x:c>
      <x:c r="AS235" s="3" t="s">
        <x:v>185</x:v>
      </x:c>
      <x:c r="AT235" s="7" t="n">
        <x:v>46301.9166666667</x:v>
      </x:c>
    </x:row>
    <x:row r="236" ht="31.299999237060547" hidden="0">
      <x:c r="A236" s="3" t="s">
        <x:v>731</x:v>
      </x:c>
      <x:c r="B236" s="3" t="s">
        <x:v>205</x:v>
      </x:c>
      <x:c r="C236" s="3" t="s">
        <x:v>206</x:v>
      </x:c>
      <x:c r="D236" s="3" t="s">
        <x:v>207</x:v>
      </x:c>
      <x:c r="E236" s="3" t="s">
        <x:v>249</x:v>
      </x:c>
      <x:c r="F236" s="3" t="s">
        <x:v>127</x:v>
      </x:c>
      <x:c r="G236" s="3" t="s">
        <x:v>522</x:v>
      </x:c>
      <x:c r="H236" s="3" t="s">
        <x:v>343</x:v>
      </x:c>
      <x:c r="I236" s="3" t="s">
        <x:v>102</x:v>
      </x:c>
      <x:c r="J236" s="3" t="s">
        <x:v>103</x:v>
      </x:c>
      <x:c r="K236" s="3" t="s">
        <x:v>104</x:v>
      </x:c>
      <x:c r="L236" s="3" t="s">
        <x:v>209</x:v>
      </x:c>
      <x:c r="M236" s="3" t="s">
        <x:v>210</x:v>
      </x:c>
      <x:c r="N236" s="3" t="s">
        <x:v>211</x:v>
      </x:c>
      <x:c r="O236" s="3" t="s">
        <x:v>212</x:v>
      </x:c>
      <x:c r="P236" s="3" t="s">
        <x:v>213</x:v>
      </x:c>
      <x:c r="Q236" s="3" t="s">
        <x:v>254</x:v>
      </x:c>
      <x:c r="R236" s="3" t="s">
        <x:v>380</x:v>
      </x:c>
      <x:c r="S236" s="3" t="s">
        <x:v>111</x:v>
      </x:c>
      <x:c r="T236" s="3" t="s">
        <x:v>111</x:v>
      </x:c>
      <x:c r="U236" s="3" t="s">
        <x:v>381</x:v>
      </x:c>
      <x:c r="V236" s="3" t="s">
        <x:v>312</x:v>
      </x:c>
      <x:c r="W236" s="3" t="s">
        <x:v>313</x:v>
      </x:c>
      <x:c r="X236" s="3" t="s">
        <x:v>314</x:v>
      </x:c>
      <x:c r="Y236" s="3" t="s">
        <x:v>315</x:v>
      </x:c>
      <x:c r="Z236" s="3" t="s">
        <x:v>384</x:v>
      </x:c>
      <x:c r="AA236" s="3" t="s">
        <x:v>385</x:v>
      </x:c>
      <x:c r="AB236" s="7" t="n">
        <x:v>46262.4638888889</x:v>
      </x:c>
      <x:c r="AC236" s="7" t="n">
        <x:v>46262.4659722222</x:v>
      </x:c>
      <x:c r="AD236" s="7" t="n">
        <x:v>46262.4715277778</x:v>
      </x:c>
      <x:c r="AE236" s="7" t="n">
        <x:v>46262.4819444444</x:v>
      </x:c>
      <x:c r="AF236" s="7" t="n">
        <x:v>46262.5298611111</x:v>
      </x:c>
      <x:c r="AG236" s="3" t="n">
        <x:v>26</x:v>
      </x:c>
      <x:c r="AH236" s="3" t="n">
        <x:v>60</x:v>
      </x:c>
      <x:c r="AI236" s="3" t="s">
        <x:v>135</x:v>
      </x:c>
      <x:c r="AJ236" s="3" t="s">
        <x:v>135</x:v>
      </x:c>
      <x:c r="AK236" s="3" t="n">
        <x:v>120</x:v>
      </x:c>
      <x:c r="AL236" s="3" t="n">
        <x:v>0</x:v>
      </x:c>
      <x:c r="AM236" s="8" t="n">
        <x:v>0.7167</x:v>
      </x:c>
      <x:c r="AN236" s="3" t="n">
        <x:v>1</x:v>
      </x:c>
      <x:c r="AO236" s="3" t="s">
        <x:v>14</x:v>
      </x:c>
      <x:c r="AP236" s="3" t="s">
        <x:v>471</x:v>
      </x:c>
      <x:c r="AQ236" s="3" t="s">
        <x:v>697</x:v>
      </x:c>
      <x:c r="AR236" s="9" t="n">
        <x:v>809</x:v>
      </x:c>
      <x:c r="AS236" s="3" t="s">
        <x:v>185</x:v>
      </x:c>
      <x:c r="AT236" s="7" t="n">
        <x:v>46301.9166666667</x:v>
      </x:c>
    </x:row>
    <x:row r="237" ht="31.299999237060547" hidden="0">
      <x:c r="A237" s="3" t="s">
        <x:v>732</x:v>
      </x:c>
      <x:c r="B237" s="3" t="s">
        <x:v>187</x:v>
      </x:c>
      <x:c r="C237" s="3" t="s">
        <x:v>188</x:v>
      </x:c>
      <x:c r="D237" s="3" t="s">
        <x:v>189</x:v>
      </x:c>
      <x:c r="E237" s="3" t="s">
        <x:v>249</x:v>
      </x:c>
      <x:c r="F237" s="3" t="s">
        <x:v>149</x:v>
      </x:c>
      <x:c r="G237" s="3" t="s">
        <x:v>484</x:v>
      </x:c>
      <x:c r="H237" s="3" t="s">
        <x:v>101</x:v>
      </x:c>
      <x:c r="I237" s="3" t="s">
        <x:v>102</x:v>
      </x:c>
      <x:c r="J237" s="3" t="s">
        <x:v>103</x:v>
      </x:c>
      <x:c r="K237" s="3" t="s">
        <x:v>104</x:v>
      </x:c>
      <x:c r="L237" s="3" t="s">
        <x:v>191</x:v>
      </x:c>
      <x:c r="M237" s="3" t="s">
        <x:v>192</x:v>
      </x:c>
      <x:c r="N237" s="3" t="s">
        <x:v>193</x:v>
      </x:c>
      <x:c r="O237" s="3" t="s">
        <x:v>194</x:v>
      </x:c>
      <x:c r="P237" s="3" t="s">
        <x:v>195</x:v>
      </x:c>
      <x:c r="Q237" s="3" t="s">
        <x:v>273</x:v>
      </x:c>
      <x:c r="R237" s="3" t="s">
        <x:v>156</x:v>
      </x:c>
      <x:c r="S237" s="3" t="s">
        <x:v>135</x:v>
      </x:c>
      <x:c r="T237" s="3" t="s">
        <x:v>111</x:v>
      </x:c>
      <x:c r="U237" s="3" t="s">
        <x:v>157</x:v>
      </x:c>
      <x:c r="V237" s="3" t="s">
        <x:v>158</x:v>
      </x:c>
      <x:c r="W237" s="3" t="s">
        <x:v>450</x:v>
      </x:c>
      <x:c r="X237" s="3" t="s">
        <x:v>160</x:v>
      </x:c>
      <x:c r="Y237" s="3" t="s">
        <x:v>451</x:v>
      </x:c>
      <x:c r="Z237" s="3" t="s">
        <x:v>162</x:v>
      </x:c>
      <x:c r="AA237" s="3" t="s">
        <x:v>118</x:v>
      </x:c>
      <x:c r="AB237" s="7" t="n">
        <x:v>46262.4888888889</x:v>
      </x:c>
      <x:c r="AC237" s="7" t="n">
        <x:v>46262.4930555556</x:v>
      </x:c>
      <x:c r="AD237" s="7" t="n">
        <x:v>46262.4972222222</x:v>
      </x:c>
      <x:c r="AE237" s="7" t="n">
        <x:v>46262.5166666667</x:v>
      </x:c>
      <x:c r="AF237" s="7" t="n">
        <x:v>46262.5527777778</x:v>
      </x:c>
      <x:c r="AG237" s="3" t="n">
        <x:v>40</x:v>
      </x:c>
      <x:c r="AH237" s="3" t="n">
        <x:v>43</x:v>
      </x:c>
      <x:c r="AI237" s="3" t="s">
        <x:v>135</x:v>
      </x:c>
      <x:c r="AJ237" s="3" t="s">
        <x:v>111</x:v>
      </x:c>
      <x:c r="AK237" s="3" t="n">
        <x:v>150</x:v>
      </x:c>
      <x:c r="AL237" s="3" t="n">
        <x:v>0</x:v>
      </x:c>
      <x:c r="AM237" s="8" t="n">
        <x:v>0.5533</x:v>
      </x:c>
      <x:c r="AN237" s="3" t="n">
        <x:v>0</x:v>
      </x:c>
      <x:c r="AO237" s="3" t="s">
        <x:v>9</x:v>
      </x:c>
      <x:c r="AP237" s="3" t="s">
        <x:v>335</x:v>
      </x:c>
      <x:c r="AQ237" s="3" t="s">
        <x:v>386</x:v>
      </x:c>
      <x:c r="AR237" s="9" t="n">
        <x:v>1129.6</x:v>
      </x:c>
      <x:c r="AS237" s="3" t="s">
        <x:v>121</x:v>
      </x:c>
      <x:c r="AT237" s="7" t="n">
        <x:v>46301.9166666667</x:v>
      </x:c>
    </x:row>
    <x:row r="238" ht="31.299999237060547" hidden="0">
      <x:c r="A238" s="3" t="s">
        <x:v>733</x:v>
      </x:c>
      <x:c r="B238" s="3" t="s">
        <x:v>83</x:v>
      </x:c>
      <x:c r="C238" s="3" t="s">
        <x:v>96</x:v>
      </x:c>
      <x:c r="D238" s="3" t="s">
        <x:v>97</x:v>
      </x:c>
      <x:c r="E238" s="3" t="s">
        <x:v>249</x:v>
      </x:c>
      <x:c r="F238" s="3" t="s">
        <x:v>149</x:v>
      </x:c>
      <x:c r="G238" s="3" t="s">
        <x:v>354</x:v>
      </x:c>
      <x:c r="H238" s="3" t="s">
        <x:v>101</x:v>
      </x:c>
      <x:c r="I238" s="3" t="s">
        <x:v>102</x:v>
      </x:c>
      <x:c r="J238" s="3" t="s">
        <x:v>103</x:v>
      </x:c>
      <x:c r="K238" s="3" t="s">
        <x:v>104</x:v>
      </x:c>
      <x:c r="L238" s="3" t="s">
        <x:v>105</x:v>
      </x:c>
      <x:c r="M238" s="3" t="s">
        <x:v>106</x:v>
      </x:c>
      <x:c r="N238" s="3" t="s">
        <x:v>107</x:v>
      </x:c>
      <x:c r="O238" s="3" t="s">
        <x:v>108</x:v>
      </x:c>
      <x:c r="P238" s="3" t="s">
        <x:v>109</x:v>
      </x:c>
      <x:c r="Q238" s="3" t="s">
        <x:v>250</x:v>
      </x:c>
      <x:c r="R238" s="3" t="s">
        <x:v>176</x:v>
      </x:c>
      <x:c r="S238" s="3" t="s">
        <x:v>135</x:v>
      </x:c>
      <x:c r="T238" s="3" t="s">
        <x:v>135</x:v>
      </x:c>
      <x:c r="U238" s="3" t="s">
        <x:v>177</x:v>
      </x:c>
      <x:c r="V238" s="3" t="s">
        <x:v>178</x:v>
      </x:c>
      <x:c r="W238" s="3" t="s">
        <x:v>355</x:v>
      </x:c>
      <x:c r="X238" s="3" t="s">
        <x:v>180</x:v>
      </x:c>
      <x:c r="Y238" s="3" t="s">
        <x:v>356</x:v>
      </x:c>
      <x:c r="Z238" s="3" t="s">
        <x:v>182</x:v>
      </x:c>
      <x:c r="AA238" s="3" t="s">
        <x:v>118</x:v>
      </x:c>
      <x:c r="AB238" s="7" t="n">
        <x:v>46262.5465277778</x:v>
      </x:c>
      <x:c r="AC238" s="7" t="n">
        <x:v>46262.5506944444</x:v>
      </x:c>
      <x:c r="AD238" s="7" t="n">
        <x:v>46262.5555555556</x:v>
      </x:c>
      <x:c r="AE238" s="7" t="n">
        <x:v>46262.575</x:v>
      </x:c>
      <x:c r="AF238" s="7" t="n">
        <x:v>46262.6006944444</x:v>
      </x:c>
      <x:c r="AG238" s="3" t="n">
        <x:v>41</x:v>
      </x:c>
      <x:c r="AH238" s="3" t="n">
        <x:v>34</x:v>
      </x:c>
      <x:c r="AI238" s="3" t="s">
        <x:v>111</x:v>
      </x:c>
      <x:c r="AJ238" s="3" t="s">
        <x:v>111</x:v>
      </x:c>
      <x:c r="AK238" s="3" t="n">
        <x:v>60</x:v>
      </x:c>
      <x:c r="AL238" s="3" t="n">
        <x:v>0</x:v>
      </x:c>
      <x:c r="AM238" s="8" t="n">
        <x:v>1.25</x:v>
      </x:c>
      <x:c r="AN238" s="3" t="n">
        <x:v>1</x:v>
      </x:c>
      <x:c r="AO238" s="3" t="s">
        <x:v>24</x:v>
      </x:c>
      <x:c r="AP238" s="3" t="s">
        <x:v>561</x:v>
      </x:c>
      <x:c r="AQ238" s="3" t="s">
        <x:v>562</x:v>
      </x:c>
      <x:c r="AR238" s="9" t="n">
        <x:v>1009.3</x:v>
      </x:c>
      <x:c r="AS238" s="3" t="s">
        <x:v>185</x:v>
      </x:c>
      <x:c r="AT238" s="7" t="n">
        <x:v>46301.9166666667</x:v>
      </x:c>
    </x:row>
    <x:row r="239" ht="31.299999237060547" hidden="0">
      <x:c r="A239" s="3" t="s">
        <x:v>734</x:v>
      </x:c>
      <x:c r="B239" s="3" t="s">
        <x:v>222</x:v>
      </x:c>
      <x:c r="C239" s="3" t="s">
        <x:v>223</x:v>
      </x:c>
      <x:c r="D239" s="3" t="s">
        <x:v>224</x:v>
      </x:c>
      <x:c r="E239" s="3" t="s">
        <x:v>249</x:v>
      </x:c>
      <x:c r="F239" s="3" t="s">
        <x:v>149</x:v>
      </x:c>
      <x:c r="G239" s="3" t="s">
        <x:v>349</x:v>
      </x:c>
      <x:c r="H239" s="3" t="s">
        <x:v>343</x:v>
      </x:c>
      <x:c r="I239" s="3" t="s">
        <x:v>102</x:v>
      </x:c>
      <x:c r="J239" s="3" t="s">
        <x:v>103</x:v>
      </x:c>
      <x:c r="K239" s="3" t="s">
        <x:v>104</x:v>
      </x:c>
      <x:c r="L239" s="3" t="s">
        <x:v>226</x:v>
      </x:c>
      <x:c r="M239" s="3" t="s">
        <x:v>227</x:v>
      </x:c>
      <x:c r="N239" s="3" t="s">
        <x:v>228</x:v>
      </x:c>
      <x:c r="O239" s="3" t="s">
        <x:v>229</x:v>
      </x:c>
      <x:c r="P239" s="3" t="s">
        <x:v>230</x:v>
      </x:c>
      <x:c r="Q239" s="3" t="s">
        <x:v>274</x:v>
      </x:c>
      <x:c r="R239" s="3" t="s">
        <x:v>344</x:v>
      </x:c>
      <x:c r="S239" s="3" t="s">
        <x:v>111</x:v>
      </x:c>
      <x:c r="T239" s="3" t="s">
        <x:v>111</x:v>
      </x:c>
      <x:c r="U239" s="3" t="s">
        <x:v>345</x:v>
      </x:c>
      <x:c r="V239" s="3" t="s">
        <x:v>178</x:v>
      </x:c>
      <x:c r="W239" s="3" t="s">
        <x:v>332</x:v>
      </x:c>
      <x:c r="X239" s="3" t="s">
        <x:v>180</x:v>
      </x:c>
      <x:c r="Y239" s="3" t="s">
        <x:v>333</x:v>
      </x:c>
      <x:c r="Z239" s="3" t="s">
        <x:v>346</x:v>
      </x:c>
      <x:c r="AA239" s="3" t="s">
        <x:v>118</x:v>
      </x:c>
      <x:c r="AB239" s="7" t="n">
        <x:v>46262.5513888889</x:v>
      </x:c>
      <x:c r="AC239" s="7" t="n">
        <x:v>46262.5555555556</x:v>
      </x:c>
      <x:c r="AD239" s="7" t="n">
        <x:v>46262.5583333333</x:v>
      </x:c>
      <x:c r="AE239" s="7" t="n">
        <x:v>46262.5763888889</x:v>
      </x:c>
      <x:c r="AF239" s="7" t="n">
        <x:v>46262.6138888889</x:v>
      </x:c>
      <x:c r="AG239" s="3" t="n">
        <x:v>36</x:v>
      </x:c>
      <x:c r="AH239" s="3" t="n">
        <x:v>44</x:v>
      </x:c>
      <x:c r="AI239" s="3" t="s">
        <x:v>135</x:v>
      </x:c>
      <x:c r="AJ239" s="3" t="s">
        <x:v>135</x:v>
      </x:c>
      <x:c r="AK239" s="3" t="n">
        <x:v>120</x:v>
      </x:c>
      <x:c r="AL239" s="3" t="n">
        <x:v>0</x:v>
      </x:c>
      <x:c r="AM239" s="8" t="n">
        <x:v>0.6667</x:v>
      </x:c>
      <x:c r="AN239" s="3" t="n">
        <x:v>0</x:v>
      </x:c>
      <x:c r="AO239" s="3" t="s">
        <x:v>14</x:v>
      </x:c>
      <x:c r="AP239" s="3" t="s">
        <x:v>347</x:v>
      </x:c>
      <x:c r="AQ239" s="3" t="s">
        <x:v>370</x:v>
      </x:c>
      <x:c r="AR239" s="9" t="n">
        <x:v>738.8</x:v>
      </x:c>
      <x:c r="AS239" s="3" t="s">
        <x:v>185</x:v>
      </x:c>
      <x:c r="AT239" s="7" t="n">
        <x:v>46301.9166666667</x:v>
      </x:c>
    </x:row>
    <x:row r="240" ht="31.299999237060547" hidden="0">
      <x:c r="A240" s="3" t="s">
        <x:v>735</x:v>
      </x:c>
      <x:c r="B240" s="3" t="s">
        <x:v>205</x:v>
      </x:c>
      <x:c r="C240" s="3" t="s">
        <x:v>206</x:v>
      </x:c>
      <x:c r="D240" s="3" t="s">
        <x:v>207</x:v>
      </x:c>
      <x:c r="E240" s="3" t="s">
        <x:v>249</x:v>
      </x:c>
      <x:c r="F240" s="3" t="s">
        <x:v>149</x:v>
      </x:c>
      <x:c r="G240" s="3" t="s">
        <x:v>372</x:v>
      </x:c>
      <x:c r="H240" s="3" t="s">
        <x:v>101</x:v>
      </x:c>
      <x:c r="I240" s="3" t="s">
        <x:v>102</x:v>
      </x:c>
      <x:c r="J240" s="3" t="s">
        <x:v>103</x:v>
      </x:c>
      <x:c r="K240" s="3" t="s">
        <x:v>104</x:v>
      </x:c>
      <x:c r="L240" s="3" t="s">
        <x:v>209</x:v>
      </x:c>
      <x:c r="M240" s="3" t="s">
        <x:v>210</x:v>
      </x:c>
      <x:c r="N240" s="3" t="s">
        <x:v>211</x:v>
      </x:c>
      <x:c r="O240" s="3" t="s">
        <x:v>212</x:v>
      </x:c>
      <x:c r="P240" s="3" t="s">
        <x:v>213</x:v>
      </x:c>
      <x:c r="Q240" s="3" t="s">
        <x:v>254</x:v>
      </x:c>
      <x:c r="R240" s="3" t="s">
        <x:v>373</x:v>
      </x:c>
      <x:c r="S240" s="3" t="s">
        <x:v>135</x:v>
      </x:c>
      <x:c r="T240" s="3" t="s">
        <x:v>111</x:v>
      </x:c>
      <x:c r="U240" s="3" t="s">
        <x:v>374</x:v>
      </x:c>
      <x:c r="V240" s="3" t="s">
        <x:v>178</x:v>
      </x:c>
      <x:c r="W240" s="3" t="s">
        <x:v>179</x:v>
      </x:c>
      <x:c r="X240" s="3" t="s">
        <x:v>180</x:v>
      </x:c>
      <x:c r="Y240" s="3" t="s">
        <x:v>414</x:v>
      </x:c>
      <x:c r="Z240" s="3" t="s">
        <x:v>375</x:v>
      </x:c>
      <x:c r="AA240" s="3" t="s">
        <x:v>118</x:v>
      </x:c>
      <x:c r="AB240" s="7" t="n">
        <x:v>46262.61875</x:v>
      </x:c>
      <x:c r="AC240" s="7" t="n">
        <x:v>46262.6215277778</x:v>
      </x:c>
      <x:c r="AD240" s="7" t="n">
        <x:v>46262.6277777778</x:v>
      </x:c>
      <x:c r="AE240" s="7" t="n">
        <x:v>46262.6388888889</x:v>
      </x:c>
      <x:c r="AF240" s="7" t="n">
        <x:v>46262.6555555556</x:v>
      </x:c>
      <x:c r="AG240" s="3" t="n">
        <x:v>29</x:v>
      </x:c>
      <x:c r="AH240" s="3" t="n">
        <x:v>15</x:v>
      </x:c>
      <x:c r="AI240" s="3" t="s">
        <x:v>135</x:v>
      </x:c>
      <x:c r="AJ240" s="3" t="s">
        <x:v>135</x:v>
      </x:c>
      <x:c r="AK240" s="3" t="n">
        <x:v>180</x:v>
      </x:c>
      <x:c r="AL240" s="3" t="n">
        <x:v>0</x:v>
      </x:c>
      <x:c r="AM240" s="8" t="n">
        <x:v>0.2444</x:v>
      </x:c>
      <x:c r="AN240" s="3" t="n">
        <x:v>0</x:v>
      </x:c>
      <x:c r="AO240" s="3" t="s">
        <x:v>9</x:v>
      </x:c>
      <x:c r="AP240" s="3" t="s">
        <x:v>142</x:v>
      </x:c>
      <x:c r="AQ240" s="3" t="s">
        <x:v>220</x:v>
      </x:c>
      <x:c r="AR240" s="9" t="n">
        <x:v>498.5</x:v>
      </x:c>
      <x:c r="AS240" s="3" t="s">
        <x:v>144</x:v>
      </x:c>
      <x:c r="AT240" s="7" t="n">
        <x:v>46301.9166666667</x:v>
      </x:c>
    </x:row>
    <x:row r="241" ht="31.299999237060547" hidden="0">
      <x:c r="A241" s="3" t="s">
        <x:v>736</x:v>
      </x:c>
      <x:c r="B241" s="3" t="s">
        <x:v>123</x:v>
      </x:c>
      <x:c r="C241" s="3" t="s">
        <x:v>124</x:v>
      </x:c>
      <x:c r="D241" s="3" t="s">
        <x:v>125</x:v>
      </x:c>
      <x:c r="E241" s="3" t="s">
        <x:v>249</x:v>
      </x:c>
      <x:c r="F241" s="3" t="s">
        <x:v>169</x:v>
      </x:c>
      <x:c r="G241" s="3" t="s">
        <x:v>535</x:v>
      </x:c>
      <x:c r="H241" s="3" t="s">
        <x:v>101</x:v>
      </x:c>
      <x:c r="I241" s="3" t="s">
        <x:v>102</x:v>
      </x:c>
      <x:c r="J241" s="3" t="s">
        <x:v>103</x:v>
      </x:c>
      <x:c r="K241" s="3" t="s">
        <x:v>104</x:v>
      </x:c>
      <x:c r="L241" s="3" t="s">
        <x:v>129</x:v>
      </x:c>
      <x:c r="M241" s="3" t="s">
        <x:v>130</x:v>
      </x:c>
      <x:c r="N241" s="3" t="s">
        <x:v>131</x:v>
      </x:c>
      <x:c r="O241" s="3" t="s">
        <x:v>132</x:v>
      </x:c>
      <x:c r="P241" s="3" t="s">
        <x:v>133</x:v>
      </x:c>
      <x:c r="Q241" s="3" t="s">
        <x:v>268</x:v>
      </x:c>
      <x:c r="R241" s="3" t="s">
        <x:v>176</x:v>
      </x:c>
      <x:c r="S241" s="3" t="s">
        <x:v>135</x:v>
      </x:c>
      <x:c r="T241" s="3" t="s">
        <x:v>135</x:v>
      </x:c>
      <x:c r="U241" s="3" t="s">
        <x:v>177</x:v>
      </x:c>
      <x:c r="V241" s="3" t="s">
        <x:v>178</x:v>
      </x:c>
      <x:c r="W241" s="3" t="s">
        <x:v>332</x:v>
      </x:c>
      <x:c r="X241" s="3" t="s">
        <x:v>180</x:v>
      </x:c>
      <x:c r="Y241" s="3" t="s">
        <x:v>333</x:v>
      </x:c>
      <x:c r="Z241" s="3" t="s">
        <x:v>182</x:v>
      </x:c>
      <x:c r="AA241" s="3" t="s">
        <x:v>118</x:v>
      </x:c>
      <x:c r="AB241" s="7" t="n">
        <x:v>46262.6652777778</x:v>
      </x:c>
      <x:c r="AC241" s="7" t="n">
        <x:v>46262.6694444444</x:v>
      </x:c>
      <x:c r="AD241" s="7" t="n">
        <x:v>46262.6736111111</x:v>
      </x:c>
      <x:c r="AE241" s="7" t="n">
        <x:v>46262.6881944445</x:v>
      </x:c>
      <x:c r="AF241" s="7" t="n">
        <x:v>46262.7284722222</x:v>
      </x:c>
      <x:c r="AG241" s="3" t="n">
        <x:v>33</x:v>
      </x:c>
      <x:c r="AH241" s="3" t="n">
        <x:v>55</x:v>
      </x:c>
      <x:c r="AI241" s="3" t="s">
        <x:v>135</x:v>
      </x:c>
      <x:c r="AJ241" s="3" t="s">
        <x:v>135</x:v>
      </x:c>
      <x:c r="AK241" s="3" t="n">
        <x:v>180</x:v>
      </x:c>
      <x:c r="AL241" s="3" t="n">
        <x:v>0</x:v>
      </x:c>
      <x:c r="AM241" s="8" t="n">
        <x:v>0.4889</x:v>
      </x:c>
      <x:c r="AN241" s="3" t="n">
        <x:v>0</x:v>
      </x:c>
      <x:c r="AO241" s="3" t="s">
        <x:v>9</x:v>
      </x:c>
      <x:c r="AP241" s="3" t="s">
        <x:v>142</x:v>
      </x:c>
      <x:c r="AQ241" s="3" t="s">
        <x:v>357</x:v>
      </x:c>
      <x:c r="AR241" s="9" t="n">
        <x:v>804.5</x:v>
      </x:c>
      <x:c r="AS241" s="3" t="s">
        <x:v>144</x:v>
      </x:c>
      <x:c r="AT241" s="7" t="n">
        <x:v>46301.9166666667</x:v>
      </x:c>
    </x:row>
    <x:row r="242" ht="31.299999237060547" hidden="0">
      <x:c r="A242" s="3" t="s">
        <x:v>737</x:v>
      </x:c>
      <x:c r="B242" s="3" t="s">
        <x:v>166</x:v>
      </x:c>
      <x:c r="C242" s="3" t="s">
        <x:v>167</x:v>
      </x:c>
      <x:c r="D242" s="3" t="s">
        <x:v>168</x:v>
      </x:c>
      <x:c r="E242" s="3" t="s">
        <x:v>249</x:v>
      </x:c>
      <x:c r="F242" s="3" t="s">
        <x:v>99</x:v>
      </x:c>
      <x:c r="G242" s="3" t="s">
        <x:v>359</x:v>
      </x:c>
      <x:c r="H242" s="3" t="s">
        <x:v>101</x:v>
      </x:c>
      <x:c r="I242" s="3" t="s">
        <x:v>102</x:v>
      </x:c>
      <x:c r="J242" s="3" t="s">
        <x:v>103</x:v>
      </x:c>
      <x:c r="K242" s="3" t="s">
        <x:v>104</x:v>
      </x:c>
      <x:c r="L242" s="3" t="s">
        <x:v>171</x:v>
      </x:c>
      <x:c r="M242" s="3" t="s">
        <x:v>172</x:v>
      </x:c>
      <x:c r="N242" s="3" t="s">
        <x:v>173</x:v>
      </x:c>
      <x:c r="O242" s="3" t="s">
        <x:v>174</x:v>
      </x:c>
      <x:c r="P242" s="3" t="s">
        <x:v>175</x:v>
      </x:c>
      <x:c r="Q242" s="3" t="s">
        <x:v>271</x:v>
      </x:c>
      <x:c r="R242" s="3" t="s">
        <x:v>156</x:v>
      </x:c>
      <x:c r="S242" s="3" t="s">
        <x:v>135</x:v>
      </x:c>
      <x:c r="T242" s="3" t="s">
        <x:v>111</x:v>
      </x:c>
      <x:c r="U242" s="3" t="s">
        <x:v>157</x:v>
      </x:c>
      <x:c r="V242" s="3" t="s">
        <x:v>158</x:v>
      </x:c>
      <x:c r="W242" s="3" t="s">
        <x:v>159</x:v>
      </x:c>
      <x:c r="X242" s="3" t="s">
        <x:v>160</x:v>
      </x:c>
      <x:c r="Y242" s="3" t="s">
        <x:v>360</x:v>
      </x:c>
      <x:c r="Z242" s="3" t="s">
        <x:v>162</x:v>
      </x:c>
      <x:c r="AA242" s="3" t="s">
        <x:v>118</x:v>
      </x:c>
      <x:c r="AB242" s="7" t="n">
        <x:v>46262.6972222222</x:v>
      </x:c>
      <x:c r="AC242" s="7" t="n">
        <x:v>46262.7013888889</x:v>
      </x:c>
      <x:c r="AD242" s="7" t="n">
        <x:v>46262.7027777778</x:v>
      </x:c>
      <x:c r="AE242" s="7" t="n">
        <x:v>46262.7236111111</x:v>
      </x:c>
      <x:c r="AF242" s="7" t="n">
        <x:v>46262.7888888889</x:v>
      </x:c>
      <x:c r="AG242" s="3" t="n">
        <x:v>38</x:v>
      </x:c>
      <x:c r="AH242" s="3" t="n">
        <x:v>91</x:v>
      </x:c>
      <x:c r="AI242" s="3" t="s">
        <x:v>135</x:v>
      </x:c>
      <x:c r="AJ242" s="3" t="s">
        <x:v>135</x:v>
      </x:c>
      <x:c r="AK242" s="3" t="n">
        <x:v>150</x:v>
      </x:c>
      <x:c r="AL242" s="3" t="n">
        <x:v>0</x:v>
      </x:c>
      <x:c r="AM242" s="8" t="n">
        <x:v>0.86</x:v>
      </x:c>
      <x:c r="AN242" s="3" t="n">
        <x:v>1</x:v>
      </x:c>
      <x:c r="AO242" s="3" t="s">
        <x:v>19</x:v>
      </x:c>
      <x:c r="AP242" s="3" t="s">
        <x:v>660</x:v>
      </x:c>
      <x:c r="AQ242" s="3" t="s">
        <x:v>501</x:v>
      </x:c>
      <x:c r="AR242" s="9" t="n">
        <x:v>1466.2</x:v>
      </x:c>
      <x:c r="AS242" s="3" t="s">
        <x:v>121</x:v>
      </x:c>
      <x:c r="AT242" s="7" t="n">
        <x:v>46301.9166666667</x:v>
      </x:c>
    </x:row>
    <x:row r="243" ht="31.299999237060547" hidden="0">
      <x:c r="A243" s="3" t="s">
        <x:v>738</x:v>
      </x:c>
      <x:c r="B243" s="3" t="s">
        <x:v>222</x:v>
      </x:c>
      <x:c r="C243" s="3" t="s">
        <x:v>223</x:v>
      </x:c>
      <x:c r="D243" s="3" t="s">
        <x:v>224</x:v>
      </x:c>
      <x:c r="E243" s="3" t="s">
        <x:v>249</x:v>
      </x:c>
      <x:c r="F243" s="3" t="s">
        <x:v>169</x:v>
      </x:c>
      <x:c r="G243" s="3" t="s">
        <x:v>342</x:v>
      </x:c>
      <x:c r="H243" s="3" t="s">
        <x:v>343</x:v>
      </x:c>
      <x:c r="I243" s="3" t="s">
        <x:v>102</x:v>
      </x:c>
      <x:c r="J243" s="3" t="s">
        <x:v>103</x:v>
      </x:c>
      <x:c r="K243" s="3" t="s">
        <x:v>104</x:v>
      </x:c>
      <x:c r="L243" s="3" t="s">
        <x:v>226</x:v>
      </x:c>
      <x:c r="M243" s="3" t="s">
        <x:v>227</x:v>
      </x:c>
      <x:c r="N243" s="3" t="s">
        <x:v>228</x:v>
      </x:c>
      <x:c r="O243" s="3" t="s">
        <x:v>229</x:v>
      </x:c>
      <x:c r="P243" s="3" t="s">
        <x:v>230</x:v>
      </x:c>
      <x:c r="Q243" s="3" t="s">
        <x:v>274</x:v>
      </x:c>
      <x:c r="R243" s="3" t="s">
        <x:v>344</x:v>
      </x:c>
      <x:c r="S243" s="3" t="s">
        <x:v>111</x:v>
      </x:c>
      <x:c r="T243" s="3" t="s">
        <x:v>111</x:v>
      </x:c>
      <x:c r="U243" s="3" t="s">
        <x:v>345</x:v>
      </x:c>
      <x:c r="V243" s="3" t="s">
        <x:v>178</x:v>
      </x:c>
      <x:c r="W243" s="3" t="s">
        <x:v>355</x:v>
      </x:c>
      <x:c r="X243" s="3" t="s">
        <x:v>180</x:v>
      </x:c>
      <x:c r="Y243" s="3" t="s">
        <x:v>356</x:v>
      </x:c>
      <x:c r="Z243" s="3" t="s">
        <x:v>346</x:v>
      </x:c>
      <x:c r="AA243" s="3" t="s">
        <x:v>118</x:v>
      </x:c>
      <x:c r="AB243" s="7" t="n">
        <x:v>46262.76875</x:v>
      </x:c>
      <x:c r="AC243" s="7" t="n">
        <x:v>46262.7708333333</x:v>
      </x:c>
      <x:c r="AD243" s="7" t="n">
        <x:v>46262.7770833333</x:v>
      </x:c>
      <x:c r="AE243" s="7" t="n">
        <x:v>46262.7930555556</x:v>
      </x:c>
      <x:c r="AF243" s="7" t="n">
        <x:v>46262.81875</x:v>
      </x:c>
      <x:c r="AG243" s="3" t="n">
        <x:v>35</x:v>
      </x:c>
      <x:c r="AH243" s="3" t="n">
        <x:v>31</x:v>
      </x:c>
      <x:c r="AI243" s="3" t="s">
        <x:v>135</x:v>
      </x:c>
      <x:c r="AJ243" s="3" t="s">
        <x:v>135</x:v>
      </x:c>
      <x:c r="AK243" s="3" t="n">
        <x:v>120</x:v>
      </x:c>
      <x:c r="AL243" s="3" t="n">
        <x:v>0</x:v>
      </x:c>
      <x:c r="AM243" s="8" t="n">
        <x:v>0.55</x:v>
      </x:c>
      <x:c r="AN243" s="3" t="n">
        <x:v>0</x:v>
      </x:c>
      <x:c r="AO243" s="3" t="s">
        <x:v>9</x:v>
      </x:c>
      <x:c r="AP243" s="3" t="s">
        <x:v>142</x:v>
      </x:c>
      <x:c r="AQ243" s="3" t="s">
        <x:v>452</x:v>
      </x:c>
      <x:c r="AR243" s="9" t="n">
        <x:v>640.7</x:v>
      </x:c>
      <x:c r="AS243" s="3" t="s">
        <x:v>121</x:v>
      </x:c>
      <x:c r="AT243" s="7" t="n">
        <x:v>46301.9166666667</x:v>
      </x:c>
    </x:row>
    <x:row r="244" ht="31.299999237060547" hidden="0">
      <x:c r="A244" s="3" t="s">
        <x:v>739</x:v>
      </x:c>
      <x:c r="B244" s="3" t="s">
        <x:v>83</x:v>
      </x:c>
      <x:c r="C244" s="3" t="s">
        <x:v>96</x:v>
      </x:c>
      <x:c r="D244" s="3" t="s">
        <x:v>97</x:v>
      </x:c>
      <x:c r="E244" s="3" t="s">
        <x:v>249</x:v>
      </x:c>
      <x:c r="F244" s="3" t="s">
        <x:v>127</x:v>
      </x:c>
      <x:c r="G244" s="3" t="s">
        <x:v>413</x:v>
      </x:c>
      <x:c r="H244" s="3" t="s">
        <x:v>101</x:v>
      </x:c>
      <x:c r="I244" s="3" t="s">
        <x:v>102</x:v>
      </x:c>
      <x:c r="J244" s="3" t="s">
        <x:v>103</x:v>
      </x:c>
      <x:c r="K244" s="3" t="s">
        <x:v>104</x:v>
      </x:c>
      <x:c r="L244" s="3" t="s">
        <x:v>105</x:v>
      </x:c>
      <x:c r="M244" s="3" t="s">
        <x:v>106</x:v>
      </x:c>
      <x:c r="N244" s="3" t="s">
        <x:v>107</x:v>
      </x:c>
      <x:c r="O244" s="3" t="s">
        <x:v>108</x:v>
      </x:c>
      <x:c r="P244" s="3" t="s">
        <x:v>109</x:v>
      </x:c>
      <x:c r="Q244" s="3" t="s">
        <x:v>250</x:v>
      </x:c>
      <x:c r="R244" s="3" t="s">
        <x:v>330</x:v>
      </x:c>
      <x:c r="S244" s="3" t="s">
        <x:v>135</x:v>
      </x:c>
      <x:c r="T244" s="3" t="s">
        <x:v>111</x:v>
      </x:c>
      <x:c r="U244" s="3" t="s">
        <x:v>331</x:v>
      </x:c>
      <x:c r="V244" s="3" t="s">
        <x:v>178</x:v>
      </x:c>
      <x:c r="W244" s="3" t="s">
        <x:v>355</x:v>
      </x:c>
      <x:c r="X244" s="3" t="s">
        <x:v>180</x:v>
      </x:c>
      <x:c r="Y244" s="3" t="s">
        <x:v>356</x:v>
      </x:c>
      <x:c r="Z244" s="3" t="s">
        <x:v>334</x:v>
      </x:c>
      <x:c r="AA244" s="3" t="s">
        <x:v>118</x:v>
      </x:c>
      <x:c r="AB244" s="7" t="n">
        <x:v>46262.7819444445</x:v>
      </x:c>
      <x:c r="AC244" s="7" t="n">
        <x:v>46262.7861111111</x:v>
      </x:c>
      <x:c r="AD244" s="7" t="n">
        <x:v>46262.7909722222</x:v>
      </x:c>
      <x:c r="AE244" s="7" t="n">
        <x:v>46262.8104166667</x:v>
      </x:c>
      <x:c r="AF244" s="7" t="n">
        <x:v>46262.8354166667</x:v>
      </x:c>
      <x:c r="AG244" s="3" t="n">
        <x:v>41</x:v>
      </x:c>
      <x:c r="AH244" s="3" t="n">
        <x:v>30</x:v>
      </x:c>
      <x:c r="AI244" s="3" t="s">
        <x:v>111</x:v>
      </x:c>
      <x:c r="AJ244" s="3" t="s">
        <x:v>111</x:v>
      </x:c>
      <x:c r="AK244" s="3" t="n">
        <x:v>60</x:v>
      </x:c>
      <x:c r="AL244" s="3" t="n">
        <x:v>0</x:v>
      </x:c>
      <x:c r="AM244" s="8" t="n">
        <x:v>1.1833</x:v>
      </x:c>
      <x:c r="AN244" s="3" t="n">
        <x:v>1</x:v>
      </x:c>
      <x:c r="AO244" s="3" t="s">
        <x:v>24</x:v>
      </x:c>
      <x:c r="AP244" s="3" t="s">
        <x:v>561</x:v>
      </x:c>
      <x:c r="AQ244" s="3" t="s">
        <x:v>562</x:v>
      </x:c>
      <x:c r="AR244" s="9" t="n">
        <x:v>980.5</x:v>
      </x:c>
      <x:c r="AS244" s="3" t="s">
        <x:v>185</x:v>
      </x:c>
      <x:c r="AT244" s="7" t="n">
        <x:v>46301.9166666667</x:v>
      </x:c>
    </x:row>
    <x:row r="245" ht="31.299999237060547" hidden="0">
      <x:c r="A245" s="3" t="s">
        <x:v>740</x:v>
      </x:c>
      <x:c r="B245" s="3" t="s">
        <x:v>146</x:v>
      </x:c>
      <x:c r="C245" s="3" t="s">
        <x:v>147</x:v>
      </x:c>
      <x:c r="D245" s="3" t="s">
        <x:v>148</x:v>
      </x:c>
      <x:c r="E245" s="3" t="s">
        <x:v>249</x:v>
      </x:c>
      <x:c r="F245" s="3" t="s">
        <x:v>99</x:v>
      </x:c>
      <x:c r="G245" s="3" t="s">
        <x:v>520</x:v>
      </x:c>
      <x:c r="H245" s="3" t="s">
        <x:v>343</x:v>
      </x:c>
      <x:c r="I245" s="3" t="s">
        <x:v>102</x:v>
      </x:c>
      <x:c r="J245" s="3" t="s">
        <x:v>103</x:v>
      </x:c>
      <x:c r="K245" s="3" t="s">
        <x:v>104</x:v>
      </x:c>
      <x:c r="L245" s="3" t="s">
        <x:v>151</x:v>
      </x:c>
      <x:c r="M245" s="3" t="s">
        <x:v>152</x:v>
      </x:c>
      <x:c r="N245" s="3" t="s">
        <x:v>153</x:v>
      </x:c>
      <x:c r="O245" s="3" t="s">
        <x:v>154</x:v>
      </x:c>
      <x:c r="P245" s="3" t="s">
        <x:v>155</x:v>
      </x:c>
      <x:c r="Q245" s="3" t="s">
        <x:v>270</x:v>
      </x:c>
      <x:c r="R245" s="3" t="s">
        <x:v>380</x:v>
      </x:c>
      <x:c r="S245" s="3" t="s">
        <x:v>111</x:v>
      </x:c>
      <x:c r="T245" s="3" t="s">
        <x:v>111</x:v>
      </x:c>
      <x:c r="U245" s="3" t="s">
        <x:v>381</x:v>
      </x:c>
      <x:c r="V245" s="3" t="s">
        <x:v>312</x:v>
      </x:c>
      <x:c r="W245" s="3" t="s">
        <x:v>382</x:v>
      </x:c>
      <x:c r="X245" s="3" t="s">
        <x:v>314</x:v>
      </x:c>
      <x:c r="Y245" s="3" t="s">
        <x:v>383</x:v>
      </x:c>
      <x:c r="Z245" s="3" t="s">
        <x:v>384</x:v>
      </x:c>
      <x:c r="AA245" s="3" t="s">
        <x:v>385</x:v>
      </x:c>
      <x:c r="AB245" s="7" t="n">
        <x:v>46262.8416666667</x:v>
      </x:c>
      <x:c r="AC245" s="7" t="n">
        <x:v>46262.8458333333</x:v>
      </x:c>
      <x:c r="AD245" s="7" t="n">
        <x:v>46262.8479166667</x:v>
      </x:c>
      <x:c r="AE245" s="7" t="n">
        <x:v>46262.8631944444</x:v>
      </x:c>
      <x:c r="AF245" s="7" t="n">
        <x:v>46262.8743055556</x:v>
      </x:c>
      <x:c r="AG245" s="3" t="n">
        <x:v>31</x:v>
      </x:c>
      <x:c r="AH245" s="3" t="n">
        <x:v>12</x:v>
      </x:c>
      <x:c r="AI245" s="3" t="s">
        <x:v>135</x:v>
      </x:c>
      <x:c r="AJ245" s="3" t="s">
        <x:v>135</x:v>
      </x:c>
      <x:c r="AK245" s="3" t="n">
        <x:v>120</x:v>
      </x:c>
      <x:c r="AL245" s="3" t="n">
        <x:v>0</x:v>
      </x:c>
      <x:c r="AM245" s="8" t="n">
        <x:v>0.3583</x:v>
      </x:c>
      <x:c r="AN245" s="3" t="n">
        <x:v>1</x:v>
      </x:c>
      <x:c r="AO245" s="3" t="s">
        <x:v>9</x:v>
      </x:c>
      <x:c r="AP245" s="3" t="s">
        <x:v>500</x:v>
      </x:c>
      <x:c r="AQ245" s="3" t="s">
        <x:v>533</x:v>
      </x:c>
      <x:c r="AR245" s="9" t="n">
        <x:v>485.9</x:v>
      </x:c>
      <x:c r="AS245" s="3" t="s">
        <x:v>121</x:v>
      </x:c>
      <x:c r="AT245" s="7" t="n">
        <x:v>46301.9166666667</x:v>
      </x:c>
    </x:row>
    <x:row r="246" ht="31.299999237060547" hidden="0">
      <x:c r="A246" s="3" t="s">
        <x:v>741</x:v>
      </x:c>
      <x:c r="B246" s="3" t="s">
        <x:v>166</x:v>
      </x:c>
      <x:c r="C246" s="3" t="s">
        <x:v>167</x:v>
      </x:c>
      <x:c r="D246" s="3" t="s">
        <x:v>168</x:v>
      </x:c>
      <x:c r="E246" s="3" t="s">
        <x:v>249</x:v>
      </x:c>
      <x:c r="F246" s="3" t="s">
        <x:v>99</x:v>
      </x:c>
      <x:c r="G246" s="3" t="s">
        <x:v>522</x:v>
      </x:c>
      <x:c r="H246" s="3" t="s">
        <x:v>343</x:v>
      </x:c>
      <x:c r="I246" s="3" t="s">
        <x:v>102</x:v>
      </x:c>
      <x:c r="J246" s="3" t="s">
        <x:v>103</x:v>
      </x:c>
      <x:c r="K246" s="3" t="s">
        <x:v>104</x:v>
      </x:c>
      <x:c r="L246" s="3" t="s">
        <x:v>171</x:v>
      </x:c>
      <x:c r="M246" s="3" t="s">
        <x:v>172</x:v>
      </x:c>
      <x:c r="N246" s="3" t="s">
        <x:v>173</x:v>
      </x:c>
      <x:c r="O246" s="3" t="s">
        <x:v>174</x:v>
      </x:c>
      <x:c r="P246" s="3" t="s">
        <x:v>175</x:v>
      </x:c>
      <x:c r="Q246" s="3" t="s">
        <x:v>271</x:v>
      </x:c>
      <x:c r="R246" s="3" t="s">
        <x:v>380</x:v>
      </x:c>
      <x:c r="S246" s="3" t="s">
        <x:v>111</x:v>
      </x:c>
      <x:c r="T246" s="3" t="s">
        <x:v>111</x:v>
      </x:c>
      <x:c r="U246" s="3" t="s">
        <x:v>381</x:v>
      </x:c>
      <x:c r="V246" s="3" t="s">
        <x:v>312</x:v>
      </x:c>
      <x:c r="W246" s="3" t="s">
        <x:v>351</x:v>
      </x:c>
      <x:c r="X246" s="3" t="s">
        <x:v>314</x:v>
      </x:c>
      <x:c r="Y246" s="3" t="s">
        <x:v>352</x:v>
      </x:c>
      <x:c r="Z246" s="3" t="s">
        <x:v>384</x:v>
      </x:c>
      <x:c r="AA246" s="3" t="s">
        <x:v>385</x:v>
      </x:c>
      <x:c r="AB246" s="7" t="n">
        <x:v>46263.3493055556</x:v>
      </x:c>
      <x:c r="AC246" s="7" t="n">
        <x:v>46263.3541666667</x:v>
      </x:c>
      <x:c r="AD246" s="7" t="n">
        <x:v>46263.3555555556</x:v>
      </x:c>
      <x:c r="AE246" s="7" t="n">
        <x:v>46263.3770833333</x:v>
      </x:c>
      <x:c r="AF246" s="7" t="n">
        <x:v>46263.4277777778</x:v>
      </x:c>
      <x:c r="AG246" s="3" t="n">
        <x:v>40</x:v>
      </x:c>
      <x:c r="AH246" s="3" t="n">
        <x:v>69</x:v>
      </x:c>
      <x:c r="AI246" s="3" t="s">
        <x:v>135</x:v>
      </x:c>
      <x:c r="AJ246" s="3" t="s">
        <x:v>135</x:v>
      </x:c>
      <x:c r="AK246" s="3" t="n">
        <x:v>120</x:v>
      </x:c>
      <x:c r="AL246" s="3" t="n">
        <x:v>0</x:v>
      </x:c>
      <x:c r="AM246" s="8" t="n">
        <x:v>0.9083</x:v>
      </x:c>
      <x:c r="AN246" s="3" t="n">
        <x:v>0</x:v>
      </x:c>
      <x:c r="AO246" s="3" t="s">
        <x:v>19</x:v>
      </x:c>
      <x:c r="AP246" s="3" t="s">
        <x:v>369</x:v>
      </x:c>
      <x:c r="AQ246" s="3" t="s">
        <x:v>340</x:v>
      </x:c>
      <x:c r="AR246" s="9" t="n">
        <x:v>1316.8</x:v>
      </x:c>
      <x:c r="AS246" s="3" t="s">
        <x:v>185</x:v>
      </x:c>
      <x:c r="AT246" s="7" t="n">
        <x:v>46301.9166666667</x:v>
      </x:c>
    </x:row>
    <x:row r="247" ht="31.299999237060547" hidden="0">
      <x:c r="A247" s="3" t="s">
        <x:v>742</x:v>
      </x:c>
      <x:c r="B247" s="3" t="s">
        <x:v>233</x:v>
      </x:c>
      <x:c r="C247" s="3" t="s">
        <x:v>234</x:v>
      </x:c>
      <x:c r="D247" s="3" t="s">
        <x:v>235</x:v>
      </x:c>
      <x:c r="E247" s="3" t="s">
        <x:v>249</x:v>
      </x:c>
      <x:c r="F247" s="3" t="s">
        <x:v>149</x:v>
      </x:c>
      <x:c r="G247" s="3" t="s">
        <x:v>354</x:v>
      </x:c>
      <x:c r="H247" s="3" t="s">
        <x:v>101</x:v>
      </x:c>
      <x:c r="I247" s="3" t="s">
        <x:v>102</x:v>
      </x:c>
      <x:c r="J247" s="3" t="s">
        <x:v>103</x:v>
      </x:c>
      <x:c r="K247" s="3" t="s">
        <x:v>104</x:v>
      </x:c>
      <x:c r="L247" s="3" t="s">
        <x:v>237</x:v>
      </x:c>
      <x:c r="M247" s="3" t="s">
        <x:v>172</x:v>
      </x:c>
      <x:c r="N247" s="3" t="s">
        <x:v>238</x:v>
      </x:c>
      <x:c r="O247" s="3" t="s">
        <x:v>239</x:v>
      </x:c>
      <x:c r="P247" s="3" t="s">
        <x:v>240</x:v>
      </x:c>
      <x:c r="Q247" s="3" t="s">
        <x:v>276</x:v>
      </x:c>
      <x:c r="R247" s="3" t="s">
        <x:v>176</x:v>
      </x:c>
      <x:c r="S247" s="3" t="s">
        <x:v>135</x:v>
      </x:c>
      <x:c r="T247" s="3" t="s">
        <x:v>135</x:v>
      </x:c>
      <x:c r="U247" s="3" t="s">
        <x:v>177</x:v>
      </x:c>
      <x:c r="V247" s="3" t="s">
        <x:v>178</x:v>
      </x:c>
      <x:c r="W247" s="3" t="s">
        <x:v>355</x:v>
      </x:c>
      <x:c r="X247" s="3" t="s">
        <x:v>180</x:v>
      </x:c>
      <x:c r="Y247" s="3" t="s">
        <x:v>356</x:v>
      </x:c>
      <x:c r="Z247" s="3" t="s">
        <x:v>182</x:v>
      </x:c>
      <x:c r="AA247" s="3" t="s">
        <x:v>118</x:v>
      </x:c>
      <x:c r="AB247" s="7" t="n">
        <x:v>46263.41875</x:v>
      </x:c>
      <x:c r="AC247" s="7" t="n">
        <x:v>46263.4236111111</x:v>
      </x:c>
      <x:c r="AD247" s="7" t="n">
        <x:v>46263.425</x:v>
      </x:c>
      <x:c r="AE247" s="7" t="n">
        <x:v>46263.4388888889</x:v>
      </x:c>
      <x:c r="AF247" s="7" t="n">
        <x:v>46263.4868055556</x:v>
      </x:c>
      <x:c r="AG247" s="3" t="n">
        <x:v>29</x:v>
      </x:c>
      <x:c r="AH247" s="3" t="n">
        <x:v>66</x:v>
      </x:c>
      <x:c r="AI247" s="3" t="s">
        <x:v>135</x:v>
      </x:c>
      <x:c r="AJ247" s="3" t="s">
        <x:v>111</x:v>
      </x:c>
      <x:c r="AK247" s="3" t="n">
        <x:v>150</x:v>
      </x:c>
      <x:c r="AL247" s="3" t="n">
        <x:v>0</x:v>
      </x:c>
      <x:c r="AM247" s="8" t="n">
        <x:v>0.6333</x:v>
      </x:c>
      <x:c r="AN247" s="3" t="n">
        <x:v>2</x:v>
      </x:c>
      <x:c r="AO247" s="3" t="s">
        <x:v>14</x:v>
      </x:c>
      <x:c r="AP247" s="3" t="s">
        <x:v>605</x:v>
      </x:c>
      <x:c r="AQ247" s="3" t="s">
        <x:v>501</x:v>
      </x:c>
      <x:c r="AR247" s="9" t="n">
        <x:v>865.7</x:v>
      </x:c>
      <x:c r="AS247" s="3" t="s">
        <x:v>121</x:v>
      </x:c>
      <x:c r="AT247" s="7" t="n">
        <x:v>46301.9166666667</x:v>
      </x:c>
    </x:row>
    <x:row r="248" ht="31.299999237060547" hidden="0">
      <x:c r="A248" s="3" t="s">
        <x:v>743</x:v>
      </x:c>
      <x:c r="B248" s="3" t="s">
        <x:v>187</x:v>
      </x:c>
      <x:c r="C248" s="3" t="s">
        <x:v>188</x:v>
      </x:c>
      <x:c r="D248" s="3" t="s">
        <x:v>189</x:v>
      </x:c>
      <x:c r="E248" s="3" t="s">
        <x:v>249</x:v>
      </x:c>
      <x:c r="F248" s="3" t="s">
        <x:v>99</x:v>
      </x:c>
      <x:c r="G248" s="3" t="s">
        <x:v>447</x:v>
      </x:c>
      <x:c r="H248" s="3" t="s">
        <x:v>343</x:v>
      </x:c>
      <x:c r="I248" s="3" t="s">
        <x:v>102</x:v>
      </x:c>
      <x:c r="J248" s="3" t="s">
        <x:v>103</x:v>
      </x:c>
      <x:c r="K248" s="3" t="s">
        <x:v>104</x:v>
      </x:c>
      <x:c r="L248" s="3" t="s">
        <x:v>191</x:v>
      </x:c>
      <x:c r="M248" s="3" t="s">
        <x:v>192</x:v>
      </x:c>
      <x:c r="N248" s="3" t="s">
        <x:v>193</x:v>
      </x:c>
      <x:c r="O248" s="3" t="s">
        <x:v>194</x:v>
      </x:c>
      <x:c r="P248" s="3" t="s">
        <x:v>195</x:v>
      </x:c>
      <x:c r="Q248" s="3" t="s">
        <x:v>273</x:v>
      </x:c>
      <x:c r="R248" s="3" t="s">
        <x:v>344</x:v>
      </x:c>
      <x:c r="S248" s="3" t="s">
        <x:v>111</x:v>
      </x:c>
      <x:c r="T248" s="3" t="s">
        <x:v>111</x:v>
      </x:c>
      <x:c r="U248" s="3" t="s">
        <x:v>345</x:v>
      </x:c>
      <x:c r="V248" s="3" t="s">
        <x:v>178</x:v>
      </x:c>
      <x:c r="W248" s="3" t="s">
        <x:v>179</x:v>
      </x:c>
      <x:c r="X248" s="3" t="s">
        <x:v>180</x:v>
      </x:c>
      <x:c r="Y248" s="3" t="s">
        <x:v>414</x:v>
      </x:c>
      <x:c r="Z248" s="3" t="s">
        <x:v>346</x:v>
      </x:c>
      <x:c r="AA248" s="3" t="s">
        <x:v>118</x:v>
      </x:c>
      <x:c r="AB248" s="7" t="n">
        <x:v>46263.41875</x:v>
      </x:c>
      <x:c r="AC248" s="7" t="n">
        <x:v>46263.4229166667</x:v>
      </x:c>
      <x:c r="AD248" s="7" t="n">
        <x:v>46263.4270833333</x:v>
      </x:c>
      <x:c r="AE248" s="7" t="n">
        <x:v>46263.4326388889</x:v>
      </x:c>
      <x:c r="AF248" s="7" t="n">
        <x:v>46263.4729166667</x:v>
      </x:c>
      <x:c r="AG248" s="3" t="n">
        <x:v>20</x:v>
      </x:c>
      <x:c r="AH248" s="3" t="n">
        <x:v>51</x:v>
      </x:c>
      <x:c r="AI248" s="3" t="s">
        <x:v>135</x:v>
      </x:c>
      <x:c r="AJ248" s="3" t="s">
        <x:v>111</x:v>
      </x:c>
      <x:c r="AK248" s="3" t="n">
        <x:v>120</x:v>
      </x:c>
      <x:c r="AL248" s="3" t="n">
        <x:v>0</x:v>
      </x:c>
      <x:c r="AM248" s="8" t="n">
        <x:v>0.5917</x:v>
      </x:c>
      <x:c r="AN248" s="3" t="n">
        <x:v>0</x:v>
      </x:c>
      <x:c r="AO248" s="3" t="s">
        <x:v>9</x:v>
      </x:c>
      <x:c r="AP248" s="3" t="s">
        <x:v>335</x:v>
      </x:c>
      <x:c r="AQ248" s="3" t="s">
        <x:v>677</x:v>
      </x:c>
      <x:c r="AR248" s="9" t="n">
        <x:v>1097.2</x:v>
      </x:c>
      <x:c r="AS248" s="3" t="s">
        <x:v>121</x:v>
      </x:c>
      <x:c r="AT248" s="7" t="n">
        <x:v>46301.9166666667</x:v>
      </x:c>
    </x:row>
    <x:row r="249" ht="31.299999237060547" hidden="0">
      <x:c r="A249" s="3" t="s">
        <x:v>744</x:v>
      </x:c>
      <x:c r="B249" s="3" t="s">
        <x:v>146</x:v>
      </x:c>
      <x:c r="C249" s="3" t="s">
        <x:v>147</x:v>
      </x:c>
      <x:c r="D249" s="3" t="s">
        <x:v>148</x:v>
      </x:c>
      <x:c r="E249" s="3" t="s">
        <x:v>249</x:v>
      </x:c>
      <x:c r="F249" s="3" t="s">
        <x:v>99</x:v>
      </x:c>
      <x:c r="G249" s="3" t="s">
        <x:v>447</x:v>
      </x:c>
      <x:c r="H249" s="3" t="s">
        <x:v>343</x:v>
      </x:c>
      <x:c r="I249" s="3" t="s">
        <x:v>102</x:v>
      </x:c>
      <x:c r="J249" s="3" t="s">
        <x:v>103</x:v>
      </x:c>
      <x:c r="K249" s="3" t="s">
        <x:v>104</x:v>
      </x:c>
      <x:c r="L249" s="3" t="s">
        <x:v>151</x:v>
      </x:c>
      <x:c r="M249" s="3" t="s">
        <x:v>152</x:v>
      </x:c>
      <x:c r="N249" s="3" t="s">
        <x:v>153</x:v>
      </x:c>
      <x:c r="O249" s="3" t="s">
        <x:v>154</x:v>
      </x:c>
      <x:c r="P249" s="3" t="s">
        <x:v>155</x:v>
      </x:c>
      <x:c r="Q249" s="3" t="s">
        <x:v>270</x:v>
      </x:c>
      <x:c r="R249" s="3" t="s">
        <x:v>344</x:v>
      </x:c>
      <x:c r="S249" s="3" t="s">
        <x:v>111</x:v>
      </x:c>
      <x:c r="T249" s="3" t="s">
        <x:v>111</x:v>
      </x:c>
      <x:c r="U249" s="3" t="s">
        <x:v>345</x:v>
      </x:c>
      <x:c r="V249" s="3" t="s">
        <x:v>178</x:v>
      </x:c>
      <x:c r="W249" s="3" t="s">
        <x:v>332</x:v>
      </x:c>
      <x:c r="X249" s="3" t="s">
        <x:v>180</x:v>
      </x:c>
      <x:c r="Y249" s="3" t="s">
        <x:v>333</x:v>
      </x:c>
      <x:c r="Z249" s="3" t="s">
        <x:v>346</x:v>
      </x:c>
      <x:c r="AA249" s="3" t="s">
        <x:v>118</x:v>
      </x:c>
      <x:c r="AB249" s="7" t="n">
        <x:v>46263.4458333333</x:v>
      </x:c>
      <x:c r="AC249" s="7" t="n">
        <x:v>46263.4506944444</x:v>
      </x:c>
      <x:c r="AD249" s="7" t="n">
        <x:v>46263.4541666667</x:v>
      </x:c>
      <x:c r="AE249" s="7" t="n">
        <x:v>46263.4645833333</x:v>
      </x:c>
      <x:c r="AF249" s="7" t="n">
        <x:v>46263.4770833333</x:v>
      </x:c>
      <x:c r="AG249" s="3" t="n">
        <x:v>27</x:v>
      </x:c>
      <x:c r="AH249" s="3" t="n">
        <x:v>12</x:v>
      </x:c>
      <x:c r="AI249" s="3" t="s">
        <x:v>135</x:v>
      </x:c>
      <x:c r="AJ249" s="3" t="s">
        <x:v>135</x:v>
      </x:c>
      <x:c r="AK249" s="3" t="n">
        <x:v>120</x:v>
      </x:c>
      <x:c r="AL249" s="3" t="n">
        <x:v>0</x:v>
      </x:c>
      <x:c r="AM249" s="8" t="n">
        <x:v>0.325</x:v>
      </x:c>
      <x:c r="AN249" s="3" t="n">
        <x:v>1</x:v>
      </x:c>
      <x:c r="AO249" s="3" t="s">
        <x:v>9</x:v>
      </x:c>
      <x:c r="AP249" s="3" t="s">
        <x:v>500</x:v>
      </x:c>
      <x:c r="AQ249" s="3" t="s">
        <x:v>533</x:v>
      </x:c>
      <x:c r="AR249" s="9" t="n">
        <x:v>467.9</x:v>
      </x:c>
      <x:c r="AS249" s="3" t="s">
        <x:v>144</x:v>
      </x:c>
      <x:c r="AT249" s="7" t="n">
        <x:v>46301.9166666667</x:v>
      </x:c>
    </x:row>
    <x:row r="250" ht="31.299999237060547" hidden="0">
      <x:c r="A250" s="3" t="s">
        <x:v>745</x:v>
      </x:c>
      <x:c r="B250" s="3" t="s">
        <x:v>166</x:v>
      </x:c>
      <x:c r="C250" s="3" t="s">
        <x:v>167</x:v>
      </x:c>
      <x:c r="D250" s="3" t="s">
        <x:v>168</x:v>
      </x:c>
      <x:c r="E250" s="3" t="s">
        <x:v>249</x:v>
      </x:c>
      <x:c r="F250" s="3" t="s">
        <x:v>99</x:v>
      </x:c>
      <x:c r="G250" s="3" t="s">
        <x:v>324</x:v>
      </x:c>
      <x:c r="H250" s="3" t="s">
        <x:v>301</x:v>
      </x:c>
      <x:c r="I250" s="3" t="s">
        <x:v>302</x:v>
      </x:c>
      <x:c r="J250" s="3" t="s">
        <x:v>303</x:v>
      </x:c>
      <x:c r="K250" s="3" t="s">
        <x:v>104</x:v>
      </x:c>
      <x:c r="L250" s="3" t="s">
        <x:v>171</x:v>
      </x:c>
      <x:c r="M250" s="3" t="s">
        <x:v>172</x:v>
      </x:c>
      <x:c r="N250" s="3" t="s">
        <x:v>173</x:v>
      </x:c>
      <x:c r="O250" s="3" t="s">
        <x:v>174</x:v>
      </x:c>
      <x:c r="P250" s="3" t="s">
        <x:v>175</x:v>
      </x:c>
      <x:c r="Q250" s="3" t="s">
        <x:v>271</x:v>
      </x:c>
      <x:c r="R250" s="3" t="s">
        <x:v>330</x:v>
      </x:c>
      <x:c r="S250" s="3" t="s">
        <x:v>135</x:v>
      </x:c>
      <x:c r="T250" s="3" t="s">
        <x:v>111</x:v>
      </x:c>
      <x:c r="U250" s="3" t="s">
        <x:v>331</x:v>
      </x:c>
      <x:c r="V250" s="3" t="s">
        <x:v>178</x:v>
      </x:c>
      <x:c r="W250" s="3" t="s">
        <x:v>179</x:v>
      </x:c>
      <x:c r="X250" s="3" t="s">
        <x:v>180</x:v>
      </x:c>
      <x:c r="Y250" s="3" t="s">
        <x:v>414</x:v>
      </x:c>
      <x:c r="Z250" s="3" t="s">
        <x:v>334</x:v>
      </x:c>
      <x:c r="AA250" s="3" t="s">
        <x:v>118</x:v>
      </x:c>
      <x:c r="AB250" s="7" t="n">
        <x:v>46263.6208333333</x:v>
      </x:c>
      <x:c r="AC250" s="7" t="n">
        <x:v>46263.6222222222</x:v>
      </x:c>
      <x:c r="AD250" s="7" t="n">
        <x:v>46263.6270833333</x:v>
      </x:c>
      <x:c r="AE250" s="7" t="n">
        <x:v>46263.6388888889</x:v>
      </x:c>
      <x:c r="AF250" s="7" t="n">
        <x:v>46263.7201388889</x:v>
      </x:c>
      <x:c r="AG250" s="3" t="n">
        <x:v>26</x:v>
      </x:c>
      <x:c r="AH250" s="3" t="n">
        <x:v>112</x:v>
      </x:c>
      <x:c r="AI250" s="3" t="s">
        <x:v>135</x:v>
      </x:c>
      <x:c r="AJ250" s="3" t="s">
        <x:v>135</x:v>
      </x:c>
      <x:c r="AK250" s="3" t="n">
        <x:v>180</x:v>
      </x:c>
      <x:c r="AL250" s="3" t="n">
        <x:v>0</x:v>
      </x:c>
      <x:c r="AM250" s="8" t="n">
        <x:v>0.7667</x:v>
      </x:c>
      <x:c r="AN250" s="3" t="n">
        <x:v>1</x:v>
      </x:c>
      <x:c r="AO250" s="3" t="s">
        <x:v>14</x:v>
      </x:c>
      <x:c r="AP250" s="3" t="s">
        <x:v>471</x:v>
      </x:c>
      <x:c r="AQ250" s="3" t="s">
        <x:v>501</x:v>
      </x:c>
      <x:c r="AR250" s="9" t="n">
        <x:v>1563.4</x:v>
      </x:c>
      <x:c r="AS250" s="3" t="s">
        <x:v>185</x:v>
      </x:c>
      <x:c r="AT250" s="7" t="n">
        <x:v>46301.9166666667</x:v>
      </x:c>
    </x:row>
    <x:row r="251" ht="31.299999237060547" hidden="0">
      <x:c r="A251" s="3" t="s">
        <x:v>746</x:v>
      </x:c>
      <x:c r="B251" s="3" t="s">
        <x:v>205</x:v>
      </x:c>
      <x:c r="C251" s="3" t="s">
        <x:v>206</x:v>
      </x:c>
      <x:c r="D251" s="3" t="s">
        <x:v>207</x:v>
      </x:c>
      <x:c r="E251" s="3" t="s">
        <x:v>249</x:v>
      </x:c>
      <x:c r="F251" s="3" t="s">
        <x:v>169</x:v>
      </x:c>
      <x:c r="G251" s="3" t="s">
        <x:v>418</x:v>
      </x:c>
      <x:c r="H251" s="3" t="s">
        <x:v>343</x:v>
      </x:c>
      <x:c r="I251" s="3" t="s">
        <x:v>102</x:v>
      </x:c>
      <x:c r="J251" s="3" t="s">
        <x:v>103</x:v>
      </x:c>
      <x:c r="K251" s="3" t="s">
        <x:v>104</x:v>
      </x:c>
      <x:c r="L251" s="3" t="s">
        <x:v>209</x:v>
      </x:c>
      <x:c r="M251" s="3" t="s">
        <x:v>210</x:v>
      </x:c>
      <x:c r="N251" s="3" t="s">
        <x:v>211</x:v>
      </x:c>
      <x:c r="O251" s="3" t="s">
        <x:v>212</x:v>
      </x:c>
      <x:c r="P251" s="3" t="s">
        <x:v>213</x:v>
      </x:c>
      <x:c r="Q251" s="3" t="s">
        <x:v>254</x:v>
      </x:c>
      <x:c r="R251" s="3" t="s">
        <x:v>110</x:v>
      </x:c>
      <x:c r="S251" s="3" t="s">
        <x:v>111</x:v>
      </x:c>
      <x:c r="T251" s="3" t="s">
        <x:v>111</x:v>
      </x:c>
      <x:c r="U251" s="3" t="s">
        <x:v>112</x:v>
      </x:c>
      <x:c r="V251" s="3" t="s">
        <x:v>113</x:v>
      </x:c>
      <x:c r="W251" s="3" t="s">
        <x:v>419</x:v>
      </x:c>
      <x:c r="X251" s="3" t="s">
        <x:v>115</x:v>
      </x:c>
      <x:c r="Y251" s="3" t="s">
        <x:v>420</x:v>
      </x:c>
      <x:c r="Z251" s="3" t="s">
        <x:v>117</x:v>
      </x:c>
      <x:c r="AA251" s="3" t="s">
        <x:v>118</x:v>
      </x:c>
      <x:c r="AB251" s="7" t="n">
        <x:v>46263.6430555556</x:v>
      </x:c>
      <x:c r="AC251" s="7" t="n">
        <x:v>46263.6458333333</x:v>
      </x:c>
      <x:c r="AD251" s="7" t="n">
        <x:v>46263.65</x:v>
      </x:c>
      <x:c r="AE251" s="7" t="n">
        <x:v>46263.6708333333</x:v>
      </x:c>
      <x:c r="AF251" s="7" t="n">
        <x:v>46263.7006944444</x:v>
      </x:c>
      <x:c r="AG251" s="3" t="n">
        <x:v>40</x:v>
      </x:c>
      <x:c r="AH251" s="3" t="n">
        <x:v>40</x:v>
      </x:c>
      <x:c r="AI251" s="3" t="s">
        <x:v>135</x:v>
      </x:c>
      <x:c r="AJ251" s="3" t="s">
        <x:v>135</x:v>
      </x:c>
      <x:c r="AK251" s="3" t="n">
        <x:v>120</x:v>
      </x:c>
      <x:c r="AL251" s="3" t="n">
        <x:v>0</x:v>
      </x:c>
      <x:c r="AM251" s="8" t="n">
        <x:v>0.6667</x:v>
      </x:c>
      <x:c r="AN251" s="3" t="n">
        <x:v>1</x:v>
      </x:c>
      <x:c r="AO251" s="3" t="s">
        <x:v>14</x:v>
      </x:c>
      <x:c r="AP251" s="3" t="s">
        <x:v>471</x:v>
      </x:c>
      <x:c r="AQ251" s="3" t="s">
        <x:v>697</x:v>
      </x:c>
      <x:c r="AR251" s="9" t="n">
        <x:v>728</x:v>
      </x:c>
      <x:c r="AS251" s="3" t="s">
        <x:v>121</x:v>
      </x:c>
      <x:c r="AT251" s="7" t="n">
        <x:v>46301.9166666667</x:v>
      </x:c>
    </x:row>
    <x:row r="252" ht="31.299999237060547" hidden="0">
      <x:c r="A252" s="3" t="s">
        <x:v>747</x:v>
      </x:c>
      <x:c r="B252" s="3" t="s">
        <x:v>83</x:v>
      </x:c>
      <x:c r="C252" s="3" t="s">
        <x:v>96</x:v>
      </x:c>
      <x:c r="D252" s="3" t="s">
        <x:v>97</x:v>
      </x:c>
      <x:c r="E252" s="3" t="s">
        <x:v>249</x:v>
      </x:c>
      <x:c r="F252" s="3" t="s">
        <x:v>99</x:v>
      </x:c>
      <x:c r="G252" s="3" t="s">
        <x:v>349</x:v>
      </x:c>
      <x:c r="H252" s="3" t="s">
        <x:v>343</x:v>
      </x:c>
      <x:c r="I252" s="3" t="s">
        <x:v>102</x:v>
      </x:c>
      <x:c r="J252" s="3" t="s">
        <x:v>103</x:v>
      </x:c>
      <x:c r="K252" s="3" t="s">
        <x:v>104</x:v>
      </x:c>
      <x:c r="L252" s="3" t="s">
        <x:v>105</x:v>
      </x:c>
      <x:c r="M252" s="3" t="s">
        <x:v>106</x:v>
      </x:c>
      <x:c r="N252" s="3" t="s">
        <x:v>107</x:v>
      </x:c>
      <x:c r="O252" s="3" t="s">
        <x:v>108</x:v>
      </x:c>
      <x:c r="P252" s="3" t="s">
        <x:v>109</x:v>
      </x:c>
      <x:c r="Q252" s="3" t="s">
        <x:v>250</x:v>
      </x:c>
      <x:c r="R252" s="3" t="s">
        <x:v>344</x:v>
      </x:c>
      <x:c r="S252" s="3" t="s">
        <x:v>111</x:v>
      </x:c>
      <x:c r="T252" s="3" t="s">
        <x:v>111</x:v>
      </x:c>
      <x:c r="U252" s="3" t="s">
        <x:v>345</x:v>
      </x:c>
      <x:c r="V252" s="3" t="s">
        <x:v>178</x:v>
      </x:c>
      <x:c r="W252" s="3" t="s">
        <x:v>179</x:v>
      </x:c>
      <x:c r="X252" s="3" t="s">
        <x:v>180</x:v>
      </x:c>
      <x:c r="Y252" s="3" t="s">
        <x:v>414</x:v>
      </x:c>
      <x:c r="Z252" s="3" t="s">
        <x:v>346</x:v>
      </x:c>
      <x:c r="AA252" s="3" t="s">
        <x:v>118</x:v>
      </x:c>
      <x:c r="AB252" s="7" t="n">
        <x:v>46263.6895833333</x:v>
      </x:c>
      <x:c r="AC252" s="7" t="n">
        <x:v>46263.6916666667</x:v>
      </x:c>
      <x:c r="AD252" s="7" t="n">
        <x:v>46263.6979166667</x:v>
      </x:c>
      <x:c r="AE252" s="7" t="n">
        <x:v>46263.7118055556</x:v>
      </x:c>
      <x:c r="AF252" s="7" t="n">
        <x:v>46263.7388888889</x:v>
      </x:c>
      <x:c r="AG252" s="3" t="n">
        <x:v>32</x:v>
      </x:c>
      <x:c r="AH252" s="3" t="n">
        <x:v>29</x:v>
      </x:c>
      <x:c r="AI252" s="3" t="s">
        <x:v>111</x:v>
      </x:c>
      <x:c r="AJ252" s="3" t="s">
        <x:v>111</x:v>
      </x:c>
      <x:c r="AK252" s="3" t="n">
        <x:v>60</x:v>
      </x:c>
      <x:c r="AL252" s="3" t="n">
        <x:v>0</x:v>
      </x:c>
      <x:c r="AM252" s="8" t="n">
        <x:v>1.0167</x:v>
      </x:c>
      <x:c r="AN252" s="3" t="n">
        <x:v>0</x:v>
      </x:c>
      <x:c r="AO252" s="3" t="s">
        <x:v>24</x:v>
      </x:c>
      <x:c r="AP252" s="3" t="s">
        <x:v>421</x:v>
      </x:c>
      <x:c r="AQ252" s="3" t="s">
        <x:v>422</x:v>
      </x:c>
      <x:c r="AR252" s="9" t="n">
        <x:v>932.8</x:v>
      </x:c>
      <x:c r="AS252" s="3" t="s">
        <x:v>185</x:v>
      </x:c>
      <x:c r="AT252" s="7" t="n">
        <x:v>46301.9166666667</x:v>
      </x:c>
    </x:row>
    <x:row r="253" ht="31.299999237060547" hidden="0">
      <x:c r="A253" s="3" t="s">
        <x:v>748</x:v>
      </x:c>
      <x:c r="B253" s="3" t="s">
        <x:v>205</x:v>
      </x:c>
      <x:c r="C253" s="3" t="s">
        <x:v>206</x:v>
      </x:c>
      <x:c r="D253" s="3" t="s">
        <x:v>207</x:v>
      </x:c>
      <x:c r="E253" s="3" t="s">
        <x:v>249</x:v>
      </x:c>
      <x:c r="F253" s="3" t="s">
        <x:v>127</x:v>
      </x:c>
      <x:c r="G253" s="3" t="s">
        <x:v>349</x:v>
      </x:c>
      <x:c r="H253" s="3" t="s">
        <x:v>343</x:v>
      </x:c>
      <x:c r="I253" s="3" t="s">
        <x:v>102</x:v>
      </x:c>
      <x:c r="J253" s="3" t="s">
        <x:v>103</x:v>
      </x:c>
      <x:c r="K253" s="3" t="s">
        <x:v>104</x:v>
      </x:c>
      <x:c r="L253" s="3" t="s">
        <x:v>209</x:v>
      </x:c>
      <x:c r="M253" s="3" t="s">
        <x:v>210</x:v>
      </x:c>
      <x:c r="N253" s="3" t="s">
        <x:v>211</x:v>
      </x:c>
      <x:c r="O253" s="3" t="s">
        <x:v>212</x:v>
      </x:c>
      <x:c r="P253" s="3" t="s">
        <x:v>213</x:v>
      </x:c>
      <x:c r="Q253" s="3" t="s">
        <x:v>254</x:v>
      </x:c>
      <x:c r="R253" s="3" t="s">
        <x:v>344</x:v>
      </x:c>
      <x:c r="S253" s="3" t="s">
        <x:v>111</x:v>
      </x:c>
      <x:c r="T253" s="3" t="s">
        <x:v>111</x:v>
      </x:c>
      <x:c r="U253" s="3" t="s">
        <x:v>345</x:v>
      </x:c>
      <x:c r="V253" s="3" t="s">
        <x:v>178</x:v>
      </x:c>
      <x:c r="W253" s="3" t="s">
        <x:v>179</x:v>
      </x:c>
      <x:c r="X253" s="3" t="s">
        <x:v>180</x:v>
      </x:c>
      <x:c r="Y253" s="3" t="s">
        <x:v>414</x:v>
      </x:c>
      <x:c r="Z253" s="3" t="s">
        <x:v>346</x:v>
      </x:c>
      <x:c r="AA253" s="3" t="s">
        <x:v>118</x:v>
      </x:c>
      <x:c r="AB253" s="7" t="n">
        <x:v>46263.7020833333</x:v>
      </x:c>
      <x:c r="AC253" s="7" t="n">
        <x:v>46263.70625</x:v>
      </x:c>
      <x:c r="AD253" s="7" t="n">
        <x:v>46263.7111111111</x:v>
      </x:c>
      <x:c r="AE253" s="7" t="n">
        <x:v>46263.7201388889</x:v>
      </x:c>
      <x:c r="AF253" s="7" t="n">
        <x:v>46263.7520833333</x:v>
      </x:c>
      <x:c r="AG253" s="3" t="n">
        <x:v>26</x:v>
      </x:c>
      <x:c r="AH253" s="3" t="n">
        <x:v>37</x:v>
      </x:c>
      <x:c r="AI253" s="3" t="s">
        <x:v>135</x:v>
      </x:c>
      <x:c r="AJ253" s="3" t="s">
        <x:v>135</x:v>
      </x:c>
      <x:c r="AK253" s="3" t="n">
        <x:v>120</x:v>
      </x:c>
      <x:c r="AL253" s="3" t="n">
        <x:v>0</x:v>
      </x:c>
      <x:c r="AM253" s="8" t="n">
        <x:v>0.525</x:v>
      </x:c>
      <x:c r="AN253" s="3" t="n">
        <x:v>0</x:v>
      </x:c>
      <x:c r="AO253" s="3" t="s">
        <x:v>9</x:v>
      </x:c>
      <x:c r="AP253" s="3" t="s">
        <x:v>142</x:v>
      </x:c>
      <x:c r="AQ253" s="3" t="s">
        <x:v>478</x:v>
      </x:c>
      <x:c r="AR253" s="9" t="n">
        <x:v>643.4</x:v>
      </x:c>
      <x:c r="AS253" s="3" t="s">
        <x:v>185</x:v>
      </x:c>
      <x:c r="AT253" s="7" t="n">
        <x:v>46301.9166666667</x:v>
      </x:c>
    </x:row>
    <x:row r="254" ht="31.299999237060547" hidden="0">
      <x:c r="A254" s="3" t="s">
        <x:v>749</x:v>
      </x:c>
      <x:c r="B254" s="3" t="s">
        <x:v>123</x:v>
      </x:c>
      <x:c r="C254" s="3" t="s">
        <x:v>124</x:v>
      </x:c>
      <x:c r="D254" s="3" t="s">
        <x:v>125</x:v>
      </x:c>
      <x:c r="E254" s="3" t="s">
        <x:v>249</x:v>
      </x:c>
      <x:c r="F254" s="3" t="s">
        <x:v>149</x:v>
      </x:c>
      <x:c r="G254" s="3" t="s">
        <x:v>342</x:v>
      </x:c>
      <x:c r="H254" s="3" t="s">
        <x:v>343</x:v>
      </x:c>
      <x:c r="I254" s="3" t="s">
        <x:v>102</x:v>
      </x:c>
      <x:c r="J254" s="3" t="s">
        <x:v>103</x:v>
      </x:c>
      <x:c r="K254" s="3" t="s">
        <x:v>104</x:v>
      </x:c>
      <x:c r="L254" s="3" t="s">
        <x:v>129</x:v>
      </x:c>
      <x:c r="M254" s="3" t="s">
        <x:v>130</x:v>
      </x:c>
      <x:c r="N254" s="3" t="s">
        <x:v>131</x:v>
      </x:c>
      <x:c r="O254" s="3" t="s">
        <x:v>132</x:v>
      </x:c>
      <x:c r="P254" s="3" t="s">
        <x:v>133</x:v>
      </x:c>
      <x:c r="Q254" s="3" t="s">
        <x:v>268</x:v>
      </x:c>
      <x:c r="R254" s="3" t="s">
        <x:v>344</x:v>
      </x:c>
      <x:c r="S254" s="3" t="s">
        <x:v>111</x:v>
      </x:c>
      <x:c r="T254" s="3" t="s">
        <x:v>111</x:v>
      </x:c>
      <x:c r="U254" s="3" t="s">
        <x:v>345</x:v>
      </x:c>
      <x:c r="V254" s="3" t="s">
        <x:v>178</x:v>
      </x:c>
      <x:c r="W254" s="3" t="s">
        <x:v>332</x:v>
      </x:c>
      <x:c r="X254" s="3" t="s">
        <x:v>180</x:v>
      </x:c>
      <x:c r="Y254" s="3" t="s">
        <x:v>333</x:v>
      </x:c>
      <x:c r="Z254" s="3" t="s">
        <x:v>346</x:v>
      </x:c>
      <x:c r="AA254" s="3" t="s">
        <x:v>118</x:v>
      </x:c>
      <x:c r="AB254" s="7" t="n">
        <x:v>46263.7111111111</x:v>
      </x:c>
      <x:c r="AC254" s="7" t="n">
        <x:v>46263.7152777778</x:v>
      </x:c>
      <x:c r="AD254" s="7" t="n">
        <x:v>46263.7166666667</x:v>
      </x:c>
      <x:c r="AE254" s="7" t="n">
        <x:v>46263.7222222222</x:v>
      </x:c>
      <x:c r="AF254" s="7" t="n">
        <x:v>46263.7673611111</x:v>
      </x:c>
      <x:c r="AG254" s="3" t="n">
        <x:v>16</x:v>
      </x:c>
      <x:c r="AH254" s="3" t="n">
        <x:v>57</x:v>
      </x:c>
      <x:c r="AI254" s="3" t="s">
        <x:v>135</x:v>
      </x:c>
      <x:c r="AJ254" s="3" t="s">
        <x:v>135</x:v>
      </x:c>
      <x:c r="AK254" s="3" t="n">
        <x:v>120</x:v>
      </x:c>
      <x:c r="AL254" s="3" t="n">
        <x:v>0</x:v>
      </x:c>
      <x:c r="AM254" s="8" t="n">
        <x:v>0.6083</x:v>
      </x:c>
      <x:c r="AN254" s="3" t="n">
        <x:v>0</x:v>
      </x:c>
      <x:c r="AO254" s="3" t="s">
        <x:v>14</x:v>
      </x:c>
      <x:c r="AP254" s="3" t="s">
        <x:v>347</x:v>
      </x:c>
      <x:c r="AQ254" s="3" t="s">
        <x:v>357</x:v>
      </x:c>
      <x:c r="AR254" s="9" t="n">
        <x:v>742.4</x:v>
      </x:c>
      <x:c r="AS254" s="3" t="s">
        <x:v>121</x:v>
      </x:c>
      <x:c r="AT254" s="7" t="n">
        <x:v>46301.9166666667</x:v>
      </x:c>
    </x:row>
    <x:row r="255" ht="31.299999237060547" hidden="0">
      <x:c r="A255" s="3" t="s">
        <x:v>750</x:v>
      </x:c>
      <x:c r="B255" s="3" t="s">
        <x:v>123</x:v>
      </x:c>
      <x:c r="C255" s="3" t="s">
        <x:v>124</x:v>
      </x:c>
      <x:c r="D255" s="3" t="s">
        <x:v>125</x:v>
      </x:c>
      <x:c r="E255" s="3" t="s">
        <x:v>249</x:v>
      </x:c>
      <x:c r="F255" s="3" t="s">
        <x:v>149</x:v>
      </x:c>
      <x:c r="G255" s="3" t="s">
        <x:v>447</x:v>
      </x:c>
      <x:c r="H255" s="3" t="s">
        <x:v>343</x:v>
      </x:c>
      <x:c r="I255" s="3" t="s">
        <x:v>102</x:v>
      </x:c>
      <x:c r="J255" s="3" t="s">
        <x:v>103</x:v>
      </x:c>
      <x:c r="K255" s="3" t="s">
        <x:v>104</x:v>
      </x:c>
      <x:c r="L255" s="3" t="s">
        <x:v>129</x:v>
      </x:c>
      <x:c r="M255" s="3" t="s">
        <x:v>130</x:v>
      </x:c>
      <x:c r="N255" s="3" t="s">
        <x:v>131</x:v>
      </x:c>
      <x:c r="O255" s="3" t="s">
        <x:v>132</x:v>
      </x:c>
      <x:c r="P255" s="3" t="s">
        <x:v>133</x:v>
      </x:c>
      <x:c r="Q255" s="3" t="s">
        <x:v>268</x:v>
      </x:c>
      <x:c r="R255" s="3" t="s">
        <x:v>344</x:v>
      </x:c>
      <x:c r="S255" s="3" t="s">
        <x:v>111</x:v>
      </x:c>
      <x:c r="T255" s="3" t="s">
        <x:v>111</x:v>
      </x:c>
      <x:c r="U255" s="3" t="s">
        <x:v>345</x:v>
      </x:c>
      <x:c r="V255" s="3" t="s">
        <x:v>178</x:v>
      </x:c>
      <x:c r="W255" s="3" t="s">
        <x:v>355</x:v>
      </x:c>
      <x:c r="X255" s="3" t="s">
        <x:v>180</x:v>
      </x:c>
      <x:c r="Y255" s="3" t="s">
        <x:v>356</x:v>
      </x:c>
      <x:c r="Z255" s="3" t="s">
        <x:v>346</x:v>
      </x:c>
      <x:c r="AA255" s="3" t="s">
        <x:v>118</x:v>
      </x:c>
      <x:c r="AB255" s="7" t="n">
        <x:v>46263.7263888889</x:v>
      </x:c>
      <x:c r="AC255" s="7" t="n">
        <x:v>46263.7277777778</x:v>
      </x:c>
      <x:c r="AD255" s="7" t="n">
        <x:v>46263.7340277778</x:v>
      </x:c>
      <x:c r="AE255" s="7" t="n">
        <x:v>46263.7569444444</x:v>
      </x:c>
      <x:c r="AF255" s="7" t="n">
        <x:v>46263.7784722222</x:v>
      </x:c>
      <x:c r="AG255" s="3" t="n">
        <x:v>44</x:v>
      </x:c>
      <x:c r="AH255" s="3" t="n">
        <x:v>25</x:v>
      </x:c>
      <x:c r="AI255" s="3" t="s">
        <x:v>135</x:v>
      </x:c>
      <x:c r="AJ255" s="3" t="s">
        <x:v>135</x:v>
      </x:c>
      <x:c r="AK255" s="3" t="n">
        <x:v>120</x:v>
      </x:c>
      <x:c r="AL255" s="3" t="n">
        <x:v>0</x:v>
      </x:c>
      <x:c r="AM255" s="8" t="n">
        <x:v>0.575</x:v>
      </x:c>
      <x:c r="AN255" s="3" t="n">
        <x:v>1</x:v>
      </x:c>
      <x:c r="AO255" s="3" t="s">
        <x:v>9</x:v>
      </x:c>
      <x:c r="AP255" s="3" t="s">
        <x:v>500</x:v>
      </x:c>
      <x:c r="AQ255" s="3" t="s">
        <x:v>472</x:v>
      </x:c>
      <x:c r="AR255" s="9" t="n">
        <x:v>638</x:v>
      </x:c>
      <x:c r="AS255" s="3" t="s">
        <x:v>185</x:v>
      </x:c>
      <x:c r="AT255" s="7" t="n">
        <x:v>46301.9166666667</x:v>
      </x:c>
    </x:row>
    <x:row r="256" ht="31.299999237060547" hidden="0">
      <x:c r="A256" s="3" t="s">
        <x:v>751</x:v>
      </x:c>
      <x:c r="B256" s="3" t="s">
        <x:v>166</x:v>
      </x:c>
      <x:c r="C256" s="3" t="s">
        <x:v>167</x:v>
      </x:c>
      <x:c r="D256" s="3" t="s">
        <x:v>168</x:v>
      </x:c>
      <x:c r="E256" s="3" t="s">
        <x:v>249</x:v>
      </x:c>
      <x:c r="F256" s="3" t="s">
        <x:v>169</x:v>
      </x:c>
      <x:c r="G256" s="3" t="s">
        <x:v>324</x:v>
      </x:c>
      <x:c r="H256" s="3" t="s">
        <x:v>301</x:v>
      </x:c>
      <x:c r="I256" s="3" t="s">
        <x:v>302</x:v>
      </x:c>
      <x:c r="J256" s="3" t="s">
        <x:v>303</x:v>
      </x:c>
      <x:c r="K256" s="3" t="s">
        <x:v>104</x:v>
      </x:c>
      <x:c r="L256" s="3" t="s">
        <x:v>171</x:v>
      </x:c>
      <x:c r="M256" s="3" t="s">
        <x:v>172</x:v>
      </x:c>
      <x:c r="N256" s="3" t="s">
        <x:v>173</x:v>
      </x:c>
      <x:c r="O256" s="3" t="s">
        <x:v>174</x:v>
      </x:c>
      <x:c r="P256" s="3" t="s">
        <x:v>175</x:v>
      </x:c>
      <x:c r="Q256" s="3" t="s">
        <x:v>271</x:v>
      </x:c>
      <x:c r="R256" s="3" t="s">
        <x:v>330</x:v>
      </x:c>
      <x:c r="S256" s="3" t="s">
        <x:v>135</x:v>
      </x:c>
      <x:c r="T256" s="3" t="s">
        <x:v>111</x:v>
      </x:c>
      <x:c r="U256" s="3" t="s">
        <x:v>331</x:v>
      </x:c>
      <x:c r="V256" s="3" t="s">
        <x:v>178</x:v>
      </x:c>
      <x:c r="W256" s="3" t="s">
        <x:v>355</x:v>
      </x:c>
      <x:c r="X256" s="3" t="s">
        <x:v>180</x:v>
      </x:c>
      <x:c r="Y256" s="3" t="s">
        <x:v>356</x:v>
      </x:c>
      <x:c r="Z256" s="3" t="s">
        <x:v>334</x:v>
      </x:c>
      <x:c r="AA256" s="3" t="s">
        <x:v>118</x:v>
      </x:c>
      <x:c r="AB256" s="7" t="n">
        <x:v>46263.7847222222</x:v>
      </x:c>
      <x:c r="AC256" s="7" t="n">
        <x:v>46263.7868055556</x:v>
      </x:c>
      <x:c r="AD256" s="7" t="n">
        <x:v>46263.7881944444</x:v>
      </x:c>
      <x:c r="AE256" s="7" t="n">
        <x:v>46263.7972222222</x:v>
      </x:c>
      <x:c r="AF256" s="7" t="n">
        <x:v>46263.8277777778</x:v>
      </x:c>
      <x:c r="AG256" s="3" t="n">
        <x:v>18</x:v>
      </x:c>
      <x:c r="AH256" s="3" t="n">
        <x:v>39</x:v>
      </x:c>
      <x:c r="AI256" s="3" t="s">
        <x:v>135</x:v>
      </x:c>
      <x:c r="AJ256" s="3" t="s">
        <x:v>135</x:v>
      </x:c>
      <x:c r="AK256" s="3" t="n">
        <x:v>180</x:v>
      </x:c>
      <x:c r="AL256" s="3" t="n">
        <x:v>0</x:v>
      </x:c>
      <x:c r="AM256" s="8" t="n">
        <x:v>0.3167</x:v>
      </x:c>
      <x:c r="AN256" s="3" t="n">
        <x:v>2</x:v>
      </x:c>
      <x:c r="AO256" s="3" t="s">
        <x:v>14</x:v>
      </x:c>
      <x:c r="AP256" s="3" t="s">
        <x:v>573</x:v>
      </x:c>
      <x:c r="AQ256" s="3" t="s">
        <x:v>501</x:v>
      </x:c>
      <x:c r="AR256" s="9" t="n">
        <x:v>1001.8</x:v>
      </x:c>
      <x:c r="AS256" s="3" t="s">
        <x:v>121</x:v>
      </x:c>
      <x:c r="AT256" s="7" t="n">
        <x:v>46301.9166666667</x:v>
      </x:c>
    </x:row>
    <x:row r="257" ht="31.299999237060547" hidden="0">
      <x:c r="A257" s="3" t="s">
        <x:v>752</x:v>
      </x:c>
      <x:c r="B257" s="3" t="s">
        <x:v>187</x:v>
      </x:c>
      <x:c r="C257" s="3" t="s">
        <x:v>188</x:v>
      </x:c>
      <x:c r="D257" s="3" t="s">
        <x:v>189</x:v>
      </x:c>
      <x:c r="E257" s="3" t="s">
        <x:v>249</x:v>
      </x:c>
      <x:c r="F257" s="3" t="s">
        <x:v>127</x:v>
      </x:c>
      <x:c r="G257" s="3" t="s">
        <x:v>364</x:v>
      </x:c>
      <x:c r="H257" s="3" t="s">
        <x:v>339</x:v>
      </x:c>
      <x:c r="I257" s="3" t="s">
        <x:v>102</x:v>
      </x:c>
      <x:c r="J257" s="3" t="s">
        <x:v>103</x:v>
      </x:c>
      <x:c r="K257" s="3" t="s">
        <x:v>104</x:v>
      </x:c>
      <x:c r="L257" s="3" t="s">
        <x:v>191</x:v>
      </x:c>
      <x:c r="M257" s="3" t="s">
        <x:v>192</x:v>
      </x:c>
      <x:c r="N257" s="3" t="s">
        <x:v>193</x:v>
      </x:c>
      <x:c r="O257" s="3" t="s">
        <x:v>194</x:v>
      </x:c>
      <x:c r="P257" s="3" t="s">
        <x:v>195</x:v>
      </x:c>
      <x:c r="Q257" s="3" t="s">
        <x:v>273</x:v>
      </x:c>
      <x:c r="R257" s="3" t="s">
        <x:v>196</x:v>
      </x:c>
      <x:c r="S257" s="3" t="s">
        <x:v>111</x:v>
      </x:c>
      <x:c r="T257" s="3" t="s">
        <x:v>111</x:v>
      </x:c>
      <x:c r="U257" s="3" t="s">
        <x:v>197</x:v>
      </x:c>
      <x:c r="V257" s="3" t="s">
        <x:v>198</x:v>
      </x:c>
      <x:c r="W257" s="3" t="s">
        <x:v>199</x:v>
      </x:c>
      <x:c r="X257" s="3" t="s">
        <x:v>366</x:v>
      </x:c>
      <x:c r="Y257" s="3" t="s">
        <x:v>527</x:v>
      </x:c>
      <x:c r="Z257" s="3" t="s">
        <x:v>201</x:v>
      </x:c>
      <x:c r="AA257" s="3" t="s">
        <x:v>368</x:v>
      </x:c>
      <x:c r="AB257" s="7" t="n">
        <x:v>46264.3541666667</x:v>
      </x:c>
      <x:c r="AC257" s="7" t="n">
        <x:v>46264.3555555556</x:v>
      </x:c>
      <x:c r="AD257" s="7" t="n">
        <x:v>46264.3590277778</x:v>
      </x:c>
      <x:c r="AE257" s="7" t="n">
        <x:v>46264.3645833333</x:v>
      </x:c>
      <x:c r="AF257" s="7" t="n">
        <x:v>46264.4256944444</x:v>
      </x:c>
      <x:c r="AG257" s="3" t="n">
        <x:v>15</x:v>
      </x:c>
      <x:c r="AH257" s="3" t="n">
        <x:v>79</x:v>
      </x:c>
      <x:c r="AI257" s="3" t="s">
        <x:v>135</x:v>
      </x:c>
      <x:c r="AJ257" s="3" t="s">
        <x:v>111</x:v>
      </x:c>
      <x:c r="AK257" s="3" t="n">
        <x:v>120</x:v>
      </x:c>
      <x:c r="AL257" s="3" t="n">
        <x:v>0</x:v>
      </x:c>
      <x:c r="AM257" s="8" t="n">
        <x:v>0.7833</x:v>
      </x:c>
      <x:c r="AN257" s="3" t="n">
        <x:v>1</x:v>
      </x:c>
      <x:c r="AO257" s="3" t="s">
        <x:v>14</x:v>
      </x:c>
      <x:c r="AP257" s="3" t="s">
        <x:v>664</x:v>
      </x:c>
      <x:c r="AQ257" s="3" t="s">
        <x:v>689</x:v>
      </x:c>
      <x:c r="AR257" s="9" t="n">
        <x:v>1276.3</x:v>
      </x:c>
      <x:c r="AS257" s="3" t="s">
        <x:v>185</x:v>
      </x:c>
      <x:c r="AT257" s="7" t="n">
        <x:v>46301.9166666667</x:v>
      </x:c>
    </x:row>
    <x:row r="258" ht="31.299999237060547" hidden="0">
      <x:c r="A258" s="3" t="s">
        <x:v>753</x:v>
      </x:c>
      <x:c r="B258" s="3" t="s">
        <x:v>187</x:v>
      </x:c>
      <x:c r="C258" s="3" t="s">
        <x:v>188</x:v>
      </x:c>
      <x:c r="D258" s="3" t="s">
        <x:v>189</x:v>
      </x:c>
      <x:c r="E258" s="3" t="s">
        <x:v>249</x:v>
      </x:c>
      <x:c r="F258" s="3" t="s">
        <x:v>127</x:v>
      </x:c>
      <x:c r="G258" s="3" t="s">
        <x:v>754</x:v>
      </x:c>
      <x:c r="H258" s="3" t="s">
        <x:v>101</x:v>
      </x:c>
      <x:c r="I258" s="3" t="s">
        <x:v>102</x:v>
      </x:c>
      <x:c r="J258" s="3" t="s">
        <x:v>103</x:v>
      </x:c>
      <x:c r="K258" s="3" t="s">
        <x:v>104</x:v>
      </x:c>
      <x:c r="L258" s="3" t="s">
        <x:v>191</x:v>
      </x:c>
      <x:c r="M258" s="3" t="s">
        <x:v>192</x:v>
      </x:c>
      <x:c r="N258" s="3" t="s">
        <x:v>193</x:v>
      </x:c>
      <x:c r="O258" s="3" t="s">
        <x:v>194</x:v>
      </x:c>
      <x:c r="P258" s="3" t="s">
        <x:v>195</x:v>
      </x:c>
      <x:c r="Q258" s="3" t="s">
        <x:v>273</x:v>
      </x:c>
      <x:c r="R258" s="3" t="s">
        <x:v>310</x:v>
      </x:c>
      <x:c r="S258" s="3" t="s">
        <x:v>135</x:v>
      </x:c>
      <x:c r="T258" s="3" t="s">
        <x:v>111</x:v>
      </x:c>
      <x:c r="U258" s="3" t="s">
        <x:v>311</x:v>
      </x:c>
      <x:c r="V258" s="3" t="s">
        <x:v>312</x:v>
      </x:c>
      <x:c r="W258" s="3" t="s">
        <x:v>351</x:v>
      </x:c>
      <x:c r="X258" s="3" t="s">
        <x:v>314</x:v>
      </x:c>
      <x:c r="Y258" s="3" t="s">
        <x:v>352</x:v>
      </x:c>
      <x:c r="Z258" s="3" t="s">
        <x:v>316</x:v>
      </x:c>
      <x:c r="AA258" s="3" t="s">
        <x:v>317</x:v>
      </x:c>
      <x:c r="AB258" s="7" t="n">
        <x:v>46264.5611111111</x:v>
      </x:c>
      <x:c r="AC258" s="7" t="n">
        <x:v>46264.5631944445</x:v>
      </x:c>
      <x:c r="AD258" s="7" t="n">
        <x:v>46264.5652777778</x:v>
      </x:c>
      <x:c r="AE258" s="7" t="n">
        <x:v>46264.5833333333</x:v>
      </x:c>
      <x:c r="AF258" s="7" t="n">
        <x:v>46264.6590277778</x:v>
      </x:c>
      <x:c r="AG258" s="3" t="n">
        <x:v>32</x:v>
      </x:c>
      <x:c r="AH258" s="3" t="n">
        <x:v>100</x:v>
      </x:c>
      <x:c r="AI258" s="3" t="s">
        <x:v>135</x:v>
      </x:c>
      <x:c r="AJ258" s="3" t="s">
        <x:v>111</x:v>
      </x:c>
      <x:c r="AK258" s="3" t="n">
        <x:v>150</x:v>
      </x:c>
      <x:c r="AL258" s="3" t="n">
        <x:v>0</x:v>
      </x:c>
      <x:c r="AM258" s="8" t="n">
        <x:v>0.88</x:v>
      </x:c>
      <x:c r="AN258" s="3" t="n">
        <x:v>0</x:v>
      </x:c>
      <x:c r="AO258" s="3" t="s">
        <x:v>19</x:v>
      </x:c>
      <x:c r="AP258" s="3" t="s">
        <x:v>444</x:v>
      </x:c>
      <x:c r="AQ258" s="3" t="s">
        <x:v>386</x:v>
      </x:c>
      <x:c r="AR258" s="9" t="n">
        <x:v>1504</x:v>
      </x:c>
      <x:c r="AS258" s="3" t="s">
        <x:v>185</x:v>
      </x:c>
      <x:c r="AT258" s="7" t="n">
        <x:v>46301.9166666667</x:v>
      </x:c>
    </x:row>
    <x:row r="259" ht="31.299999237060547" hidden="0">
      <x:c r="A259" s="3" t="s">
        <x:v>755</x:v>
      </x:c>
      <x:c r="B259" s="3" t="s">
        <x:v>321</x:v>
      </x:c>
      <x:c r="C259" s="3" t="s">
        <x:v>322</x:v>
      </x:c>
      <x:c r="D259" s="3" t="s">
        <x:v>323</x:v>
      </x:c>
      <x:c r="E259" s="3" t="s">
        <x:v>249</x:v>
      </x:c>
      <x:c r="F259" s="3" t="s">
        <x:v>169</x:v>
      </x:c>
      <x:c r="G259" s="3" t="s">
        <x:v>467</x:v>
      </x:c>
      <x:c r="H259" s="3" t="s">
        <x:v>301</x:v>
      </x:c>
      <x:c r="I259" s="3" t="s">
        <x:v>302</x:v>
      </x:c>
      <x:c r="J259" s="3" t="s">
        <x:v>303</x:v>
      </x:c>
      <x:c r="K259" s="3" t="s">
        <x:v>104</x:v>
      </x:c>
      <x:c r="L259" s="3" t="s">
        <x:v>325</x:v>
      </x:c>
      <x:c r="M259" s="3" t="s">
        <x:v>326</x:v>
      </x:c>
      <x:c r="N259" s="3" t="s">
        <x:v>131</x:v>
      </x:c>
      <x:c r="O259" s="3" t="s">
        <x:v>327</x:v>
      </x:c>
      <x:c r="P259" s="3" t="s">
        <x:v>328</x:v>
      </x:c>
      <x:c r="Q259" s="3" t="s">
        <x:v>329</x:v>
      </x:c>
      <x:c r="R259" s="3" t="s">
        <x:v>214</x:v>
      </x:c>
      <x:c r="S259" s="3" t="s">
        <x:v>135</x:v>
      </x:c>
      <x:c r="T259" s="3" t="s">
        <x:v>111</x:v>
      </x:c>
      <x:c r="U259" s="3" t="s">
        <x:v>215</x:v>
      </x:c>
      <x:c r="V259" s="3" t="s">
        <x:v>216</x:v>
      </x:c>
      <x:c r="W259" s="3" t="s">
        <x:v>429</x:v>
      </x:c>
      <x:c r="X259" s="3" t="s">
        <x:v>430</x:v>
      </x:c>
      <x:c r="Y259" s="3" t="s">
        <x:v>431</x:v>
      </x:c>
      <x:c r="Z259" s="3" t="s">
        <x:v>219</x:v>
      </x:c>
      <x:c r="AA259" s="3" t="s">
        <x:v>118</x:v>
      </x:c>
      <x:c r="AB259" s="7" t="n">
        <x:v>46264.5784722222</x:v>
      </x:c>
      <x:c r="AC259" s="7" t="n">
        <x:v>46264.5805555556</x:v>
      </x:c>
      <x:c r="AD259" s="7" t="n">
        <x:v>46264.5826388889</x:v>
      </x:c>
      <x:c r="AE259" s="7" t="n">
        <x:v>46264.6125</x:v>
      </x:c>
      <x:c r="AF259" s="7" t="n">
        <x:v>46264.625</x:v>
      </x:c>
      <x:c r="AG259" s="3" t="n">
        <x:v>49</x:v>
      </x:c>
      <x:c r="AH259" s="3" t="n">
        <x:v>15</x:v>
      </x:c>
      <x:c r="AI259" s="3" t="s">
        <x:v>135</x:v>
      </x:c>
      <x:c r="AJ259" s="3" t="s">
        <x:v>111</x:v>
      </x:c>
      <x:c r="AK259" s="3" t="n">
        <x:v>180</x:v>
      </x:c>
      <x:c r="AL259" s="3" t="n">
        <x:v>0</x:v>
      </x:c>
      <x:c r="AM259" s="8" t="n">
        <x:v>0.3556</x:v>
      </x:c>
      <x:c r="AN259" s="3" t="n">
        <x:v>2</x:v>
      </x:c>
      <x:c r="AO259" s="3" t="s">
        <x:v>14</x:v>
      </x:c>
      <x:c r="AP259" s="3" t="s">
        <x:v>636</x:v>
      </x:c>
      <x:c r="AQ259" s="3" t="s">
        <x:v>516</x:v>
      </x:c>
      <x:c r="AR259" s="9" t="n">
        <x:v>588.5</x:v>
      </x:c>
      <x:c r="AS259" s="3" t="s">
        <x:v>121</x:v>
      </x:c>
      <x:c r="AT259" s="7" t="n">
        <x:v>46301.9166666667</x:v>
      </x:c>
    </x:row>
    <x:row r="260" ht="31.299999237060547" hidden="0">
      <x:c r="A260" s="3" t="s">
        <x:v>756</x:v>
      </x:c>
      <x:c r="B260" s="3" t="s">
        <x:v>146</x:v>
      </x:c>
      <x:c r="C260" s="3" t="s">
        <x:v>147</x:v>
      </x:c>
      <x:c r="D260" s="3" t="s">
        <x:v>148</x:v>
      </x:c>
      <x:c r="E260" s="3" t="s">
        <x:v>249</x:v>
      </x:c>
      <x:c r="F260" s="3" t="s">
        <x:v>127</x:v>
      </x:c>
      <x:c r="G260" s="3" t="s">
        <x:v>461</x:v>
      </x:c>
      <x:c r="H260" s="3" t="s">
        <x:v>101</x:v>
      </x:c>
      <x:c r="I260" s="3" t="s">
        <x:v>102</x:v>
      </x:c>
      <x:c r="J260" s="3" t="s">
        <x:v>103</x:v>
      </x:c>
      <x:c r="K260" s="3" t="s">
        <x:v>104</x:v>
      </x:c>
      <x:c r="L260" s="3" t="s">
        <x:v>151</x:v>
      </x:c>
      <x:c r="M260" s="3" t="s">
        <x:v>152</x:v>
      </x:c>
      <x:c r="N260" s="3" t="s">
        <x:v>153</x:v>
      </x:c>
      <x:c r="O260" s="3" t="s">
        <x:v>154</x:v>
      </x:c>
      <x:c r="P260" s="3" t="s">
        <x:v>155</x:v>
      </x:c>
      <x:c r="Q260" s="3" t="s">
        <x:v>270</x:v>
      </x:c>
      <x:c r="R260" s="3" t="s">
        <x:v>156</x:v>
      </x:c>
      <x:c r="S260" s="3" t="s">
        <x:v>135</x:v>
      </x:c>
      <x:c r="T260" s="3" t="s">
        <x:v>111</x:v>
      </x:c>
      <x:c r="U260" s="3" t="s">
        <x:v>157</x:v>
      </x:c>
      <x:c r="V260" s="3" t="s">
        <x:v>158</x:v>
      </x:c>
      <x:c r="W260" s="3" t="s">
        <x:v>159</x:v>
      </x:c>
      <x:c r="X260" s="3" t="s">
        <x:v>160</x:v>
      </x:c>
      <x:c r="Y260" s="3" t="s">
        <x:v>360</x:v>
      </x:c>
      <x:c r="Z260" s="3" t="s">
        <x:v>162</x:v>
      </x:c>
      <x:c r="AA260" s="3" t="s">
        <x:v>118</x:v>
      </x:c>
      <x:c r="AB260" s="7" t="n">
        <x:v>46264.6020833333</x:v>
      </x:c>
      <x:c r="AC260" s="7" t="n">
        <x:v>46264.6034722222</x:v>
      </x:c>
      <x:c r="AD260" s="7" t="n">
        <x:v>46264.6048611111</x:v>
      </x:c>
      <x:c r="AE260" s="7" t="n">
        <x:v>46264.6256944445</x:v>
      </x:c>
      <x:c r="AF260" s="7" t="n">
        <x:v>46264.6597222222</x:v>
      </x:c>
      <x:c r="AG260" s="3" t="n">
        <x:v>34</x:v>
      </x:c>
      <x:c r="AH260" s="3" t="n">
        <x:v>40</x:v>
      </x:c>
      <x:c r="AI260" s="3" t="s">
        <x:v>135</x:v>
      </x:c>
      <x:c r="AJ260" s="3" t="s">
        <x:v>135</x:v>
      </x:c>
      <x:c r="AK260" s="3" t="n">
        <x:v>180</x:v>
      </x:c>
      <x:c r="AL260" s="3" t="n">
        <x:v>0</x:v>
      </x:c>
      <x:c r="AM260" s="8" t="n">
        <x:v>0.4111</x:v>
      </x:c>
      <x:c r="AN260" s="3" t="n">
        <x:v>2</x:v>
      </x:c>
      <x:c r="AO260" s="3" t="s">
        <x:v>14</x:v>
      </x:c>
      <x:c r="AP260" s="3" t="s">
        <x:v>573</x:v>
      </x:c>
      <x:c r="AQ260" s="3" t="s">
        <x:v>533</x:v>
      </x:c>
      <x:c r="AR260" s="9" t="n">
        <x:v>701</x:v>
      </x:c>
      <x:c r="AS260" s="3" t="s">
        <x:v>121</x:v>
      </x:c>
      <x:c r="AT260" s="7" t="n">
        <x:v>46301.9166666667</x:v>
      </x:c>
    </x:row>
    <x:row r="261" ht="31.299999237060547" hidden="0">
      <x:c r="A261" s="3" t="s">
        <x:v>757</x:v>
      </x:c>
      <x:c r="B261" s="3" t="s">
        <x:v>205</x:v>
      </x:c>
      <x:c r="C261" s="3" t="s">
        <x:v>206</x:v>
      </x:c>
      <x:c r="D261" s="3" t="s">
        <x:v>207</x:v>
      </x:c>
      <x:c r="E261" s="3" t="s">
        <x:v>249</x:v>
      </x:c>
      <x:c r="F261" s="3" t="s">
        <x:v>127</x:v>
      </x:c>
      <x:c r="G261" s="3" t="s">
        <x:v>477</x:v>
      </x:c>
      <x:c r="H261" s="3" t="s">
        <x:v>343</x:v>
      </x:c>
      <x:c r="I261" s="3" t="s">
        <x:v>102</x:v>
      </x:c>
      <x:c r="J261" s="3" t="s">
        <x:v>103</x:v>
      </x:c>
      <x:c r="K261" s="3" t="s">
        <x:v>104</x:v>
      </x:c>
      <x:c r="L261" s="3" t="s">
        <x:v>209</x:v>
      </x:c>
      <x:c r="M261" s="3" t="s">
        <x:v>210</x:v>
      </x:c>
      <x:c r="N261" s="3" t="s">
        <x:v>211</x:v>
      </x:c>
      <x:c r="O261" s="3" t="s">
        <x:v>212</x:v>
      </x:c>
      <x:c r="P261" s="3" t="s">
        <x:v>213</x:v>
      </x:c>
      <x:c r="Q261" s="3" t="s">
        <x:v>254</x:v>
      </x:c>
      <x:c r="R261" s="3" t="s">
        <x:v>214</x:v>
      </x:c>
      <x:c r="S261" s="3" t="s">
        <x:v>135</x:v>
      </x:c>
      <x:c r="T261" s="3" t="s">
        <x:v>111</x:v>
      </x:c>
      <x:c r="U261" s="3" t="s">
        <x:v>215</x:v>
      </x:c>
      <x:c r="V261" s="3" t="s">
        <x:v>216</x:v>
      </x:c>
      <x:c r="W261" s="3" t="s">
        <x:v>429</x:v>
      </x:c>
      <x:c r="X261" s="3" t="s">
        <x:v>430</x:v>
      </x:c>
      <x:c r="Y261" s="3" t="s">
        <x:v>431</x:v>
      </x:c>
      <x:c r="Z261" s="3" t="s">
        <x:v>219</x:v>
      </x:c>
      <x:c r="AA261" s="3" t="s">
        <x:v>118</x:v>
      </x:c>
      <x:c r="AB261" s="7" t="n">
        <x:v>46264.63125</x:v>
      </x:c>
      <x:c r="AC261" s="7" t="n">
        <x:v>46264.6340277778</x:v>
      </x:c>
      <x:c r="AD261" s="7" t="n">
        <x:v>46264.6354166667</x:v>
      </x:c>
      <x:c r="AE261" s="7" t="n">
        <x:v>46264.6590277778</x:v>
      </x:c>
      <x:c r="AF261" s="7" t="n">
        <x:v>46264.7104166667</x:v>
      </x:c>
      <x:c r="AG261" s="3" t="n">
        <x:v>40</x:v>
      </x:c>
      <x:c r="AH261" s="3" t="n">
        <x:v>66</x:v>
      </x:c>
      <x:c r="AI261" s="3" t="s">
        <x:v>135</x:v>
      </x:c>
      <x:c r="AJ261" s="3" t="s">
        <x:v>135</x:v>
      </x:c>
      <x:c r="AK261" s="3" t="n">
        <x:v>180</x:v>
      </x:c>
      <x:c r="AL261" s="3" t="n">
        <x:v>0</x:v>
      </x:c>
      <x:c r="AM261" s="8" t="n">
        <x:v>0.5889</x:v>
      </x:c>
      <x:c r="AN261" s="3" t="n">
        <x:v>1</x:v>
      </x:c>
      <x:c r="AO261" s="3" t="s">
        <x:v>9</x:v>
      </x:c>
      <x:c r="AP261" s="3" t="s">
        <x:v>500</x:v>
      </x:c>
      <x:c r="AQ261" s="3" t="s">
        <x:v>697</x:v>
      </x:c>
      <x:c r="AR261" s="9" t="n">
        <x:v>915.2</x:v>
      </x:c>
      <x:c r="AS261" s="3" t="s">
        <x:v>185</x:v>
      </x:c>
      <x:c r="AT261" s="7" t="n">
        <x:v>46301.9166666667</x:v>
      </x:c>
    </x:row>
    <x:row r="262" ht="31.299999237060547" hidden="0">
      <x:c r="A262" s="3" t="s">
        <x:v>758</x:v>
      </x:c>
      <x:c r="B262" s="3" t="s">
        <x:v>187</x:v>
      </x:c>
      <x:c r="C262" s="3" t="s">
        <x:v>188</x:v>
      </x:c>
      <x:c r="D262" s="3" t="s">
        <x:v>189</x:v>
      </x:c>
      <x:c r="E262" s="3" t="s">
        <x:v>249</x:v>
      </x:c>
      <x:c r="F262" s="3" t="s">
        <x:v>99</x:v>
      </x:c>
      <x:c r="G262" s="3" t="s">
        <x:v>498</x:v>
      </x:c>
      <x:c r="H262" s="3" t="s">
        <x:v>101</x:v>
      </x:c>
      <x:c r="I262" s="3" t="s">
        <x:v>102</x:v>
      </x:c>
      <x:c r="J262" s="3" t="s">
        <x:v>103</x:v>
      </x:c>
      <x:c r="K262" s="3" t="s">
        <x:v>104</x:v>
      </x:c>
      <x:c r="L262" s="3" t="s">
        <x:v>191</x:v>
      </x:c>
      <x:c r="M262" s="3" t="s">
        <x:v>192</x:v>
      </x:c>
      <x:c r="N262" s="3" t="s">
        <x:v>193</x:v>
      </x:c>
      <x:c r="O262" s="3" t="s">
        <x:v>194</x:v>
      </x:c>
      <x:c r="P262" s="3" t="s">
        <x:v>195</x:v>
      </x:c>
      <x:c r="Q262" s="3" t="s">
        <x:v>273</x:v>
      </x:c>
      <x:c r="R262" s="3" t="s">
        <x:v>310</x:v>
      </x:c>
      <x:c r="S262" s="3" t="s">
        <x:v>135</x:v>
      </x:c>
      <x:c r="T262" s="3" t="s">
        <x:v>111</x:v>
      </x:c>
      <x:c r="U262" s="3" t="s">
        <x:v>311</x:v>
      </x:c>
      <x:c r="V262" s="3" t="s">
        <x:v>312</x:v>
      </x:c>
      <x:c r="W262" s="3" t="s">
        <x:v>382</x:v>
      </x:c>
      <x:c r="X262" s="3" t="s">
        <x:v>314</x:v>
      </x:c>
      <x:c r="Y262" s="3" t="s">
        <x:v>383</x:v>
      </x:c>
      <x:c r="Z262" s="3" t="s">
        <x:v>316</x:v>
      </x:c>
      <x:c r="AA262" s="3" t="s">
        <x:v>317</x:v>
      </x:c>
      <x:c r="AB262" s="7" t="n">
        <x:v>46264.6618055556</x:v>
      </x:c>
      <x:c r="AC262" s="7" t="n">
        <x:v>46264.6659722222</x:v>
      </x:c>
      <x:c r="AD262" s="7" t="n">
        <x:v>46264.6722222222</x:v>
      </x:c>
      <x:c r="AE262" s="7" t="n">
        <x:v>46264.7041666667</x:v>
      </x:c>
      <x:c r="AF262" s="7" t="n">
        <x:v>46264.7611111111</x:v>
      </x:c>
      <x:c r="AG262" s="3" t="n">
        <x:v>61</x:v>
      </x:c>
      <x:c r="AH262" s="3" t="n">
        <x:v>73</x:v>
      </x:c>
      <x:c r="AI262" s="3" t="s">
        <x:v>135</x:v>
      </x:c>
      <x:c r="AJ262" s="3" t="s">
        <x:v>111</x:v>
      </x:c>
      <x:c r="AK262" s="3" t="n">
        <x:v>150</x:v>
      </x:c>
      <x:c r="AL262" s="3" t="n">
        <x:v>0</x:v>
      </x:c>
      <x:c r="AM262" s="8" t="n">
        <x:v>0.8933</x:v>
      </x:c>
      <x:c r="AN262" s="3" t="n">
        <x:v>0</x:v>
      </x:c>
      <x:c r="AO262" s="3" t="s">
        <x:v>19</x:v>
      </x:c>
      <x:c r="AP262" s="3" t="s">
        <x:v>444</x:v>
      </x:c>
      <x:c r="AQ262" s="3" t="s">
        <x:v>677</x:v>
      </x:c>
      <x:c r="AR262" s="9" t="n">
        <x:v>1440.1</x:v>
      </x:c>
      <x:c r="AS262" s="3" t="s">
        <x:v>121</x:v>
      </x:c>
      <x:c r="AT262" s="7" t="n">
        <x:v>46301.9166666667</x:v>
      </x:c>
    </x:row>
    <x:row r="263" ht="31.299999237060547" hidden="0">
      <x:c r="A263" s="3" t="s">
        <x:v>759</x:v>
      </x:c>
      <x:c r="B263" s="3" t="s">
        <x:v>233</x:v>
      </x:c>
      <x:c r="C263" s="3" t="s">
        <x:v>234</x:v>
      </x:c>
      <x:c r="D263" s="3" t="s">
        <x:v>235</x:v>
      </x:c>
      <x:c r="E263" s="3" t="s">
        <x:v>249</x:v>
      </x:c>
      <x:c r="F263" s="3" t="s">
        <x:v>127</x:v>
      </x:c>
      <x:c r="G263" s="3" t="s">
        <x:v>535</x:v>
      </x:c>
      <x:c r="H263" s="3" t="s">
        <x:v>101</x:v>
      </x:c>
      <x:c r="I263" s="3" t="s">
        <x:v>102</x:v>
      </x:c>
      <x:c r="J263" s="3" t="s">
        <x:v>103</x:v>
      </x:c>
      <x:c r="K263" s="3" t="s">
        <x:v>104</x:v>
      </x:c>
      <x:c r="L263" s="3" t="s">
        <x:v>237</x:v>
      </x:c>
      <x:c r="M263" s="3" t="s">
        <x:v>172</x:v>
      </x:c>
      <x:c r="N263" s="3" t="s">
        <x:v>238</x:v>
      </x:c>
      <x:c r="O263" s="3" t="s">
        <x:v>239</x:v>
      </x:c>
      <x:c r="P263" s="3" t="s">
        <x:v>240</x:v>
      </x:c>
      <x:c r="Q263" s="3" t="s">
        <x:v>276</x:v>
      </x:c>
      <x:c r="R263" s="3" t="s">
        <x:v>176</x:v>
      </x:c>
      <x:c r="S263" s="3" t="s">
        <x:v>135</x:v>
      </x:c>
      <x:c r="T263" s="3" t="s">
        <x:v>135</x:v>
      </x:c>
      <x:c r="U263" s="3" t="s">
        <x:v>177</x:v>
      </x:c>
      <x:c r="V263" s="3" t="s">
        <x:v>178</x:v>
      </x:c>
      <x:c r="W263" s="3" t="s">
        <x:v>179</x:v>
      </x:c>
      <x:c r="X263" s="3" t="s">
        <x:v>180</x:v>
      </x:c>
      <x:c r="Y263" s="3" t="s">
        <x:v>414</x:v>
      </x:c>
      <x:c r="Z263" s="3" t="s">
        <x:v>182</x:v>
      </x:c>
      <x:c r="AA263" s="3" t="s">
        <x:v>118</x:v>
      </x:c>
      <x:c r="AB263" s="7" t="n">
        <x:v>46264.6826388889</x:v>
      </x:c>
      <x:c r="AC263" s="7" t="n">
        <x:v>46264.6847222222</x:v>
      </x:c>
      <x:c r="AD263" s="7" t="n">
        <x:v>46264.6875</x:v>
      </x:c>
      <x:c r="AE263" s="7" t="n">
        <x:v>46264.7083333333</x:v>
      </x:c>
      <x:c r="AF263" s="7" t="n">
        <x:v>46264.75</x:v>
      </x:c>
      <x:c r="AG263" s="3" t="n">
        <x:v>37</x:v>
      </x:c>
      <x:c r="AH263" s="3" t="n">
        <x:v>53</x:v>
      </x:c>
      <x:c r="AI263" s="3" t="s">
        <x:v>135</x:v>
      </x:c>
      <x:c r="AJ263" s="3" t="s">
        <x:v>111</x:v>
      </x:c>
      <x:c r="AK263" s="3" t="n">
        <x:v>150</x:v>
      </x:c>
      <x:c r="AL263" s="3" t="n">
        <x:v>0</x:v>
      </x:c>
      <x:c r="AM263" s="8" t="n">
        <x:v>0.6</x:v>
      </x:c>
      <x:c r="AN263" s="3" t="n">
        <x:v>1</x:v>
      </x:c>
      <x:c r="AO263" s="3" t="s">
        <x:v>14</x:v>
      </x:c>
      <x:c r="AP263" s="3" t="s">
        <x:v>664</x:v>
      </x:c>
      <x:c r="AQ263" s="3" t="s">
        <x:v>501</x:v>
      </x:c>
      <x:c r="AR263" s="9" t="n">
        <x:v>808.1</x:v>
      </x:c>
      <x:c r="AS263" s="3" t="s">
        <x:v>185</x:v>
      </x:c>
      <x:c r="AT263" s="7" t="n">
        <x:v>46301.9166666667</x:v>
      </x:c>
    </x:row>
    <x:row r="264" ht="31.299999237060547" hidden="0">
      <x:c r="A264" s="3" t="s">
        <x:v>760</x:v>
      </x:c>
      <x:c r="B264" s="3" t="s">
        <x:v>233</x:v>
      </x:c>
      <x:c r="C264" s="3" t="s">
        <x:v>234</x:v>
      </x:c>
      <x:c r="D264" s="3" t="s">
        <x:v>235</x:v>
      </x:c>
      <x:c r="E264" s="3" t="s">
        <x:v>249</x:v>
      </x:c>
      <x:c r="F264" s="3" t="s">
        <x:v>149</x:v>
      </x:c>
      <x:c r="G264" s="3" t="s">
        <x:v>443</x:v>
      </x:c>
      <x:c r="H264" s="3" t="s">
        <x:v>101</x:v>
      </x:c>
      <x:c r="I264" s="3" t="s">
        <x:v>102</x:v>
      </x:c>
      <x:c r="J264" s="3" t="s">
        <x:v>103</x:v>
      </x:c>
      <x:c r="K264" s="3" t="s">
        <x:v>104</x:v>
      </x:c>
      <x:c r="L264" s="3" t="s">
        <x:v>237</x:v>
      </x:c>
      <x:c r="M264" s="3" t="s">
        <x:v>172</x:v>
      </x:c>
      <x:c r="N264" s="3" t="s">
        <x:v>238</x:v>
      </x:c>
      <x:c r="O264" s="3" t="s">
        <x:v>239</x:v>
      </x:c>
      <x:c r="P264" s="3" t="s">
        <x:v>240</x:v>
      </x:c>
      <x:c r="Q264" s="3" t="s">
        <x:v>276</x:v>
      </x:c>
      <x:c r="R264" s="3" t="s">
        <x:v>330</x:v>
      </x:c>
      <x:c r="S264" s="3" t="s">
        <x:v>135</x:v>
      </x:c>
      <x:c r="T264" s="3" t="s">
        <x:v>111</x:v>
      </x:c>
      <x:c r="U264" s="3" t="s">
        <x:v>331</x:v>
      </x:c>
      <x:c r="V264" s="3" t="s">
        <x:v>178</x:v>
      </x:c>
      <x:c r="W264" s="3" t="s">
        <x:v>332</x:v>
      </x:c>
      <x:c r="X264" s="3" t="s">
        <x:v>180</x:v>
      </x:c>
      <x:c r="Y264" s="3" t="s">
        <x:v>333</x:v>
      </x:c>
      <x:c r="Z264" s="3" t="s">
        <x:v>334</x:v>
      </x:c>
      <x:c r="AA264" s="3" t="s">
        <x:v>118</x:v>
      </x:c>
      <x:c r="AB264" s="7" t="n">
        <x:v>46264.6854166667</x:v>
      </x:c>
      <x:c r="AC264" s="7" t="n">
        <x:v>46264.6902777778</x:v>
      </x:c>
      <x:c r="AD264" s="7" t="n">
        <x:v>46264.6916666667</x:v>
      </x:c>
      <x:c r="AE264" s="7" t="n">
        <x:v>46264.7131944444</x:v>
      </x:c>
      <x:c r="AF264" s="7" t="n">
        <x:v>46264.7458333333</x:v>
      </x:c>
      <x:c r="AG264" s="3" t="n">
        <x:v>40</x:v>
      </x:c>
      <x:c r="AH264" s="3" t="n">
        <x:v>39</x:v>
      </x:c>
      <x:c r="AI264" s="3" t="s">
        <x:v>135</x:v>
      </x:c>
      <x:c r="AJ264" s="3" t="s">
        <x:v>111</x:v>
      </x:c>
      <x:c r="AK264" s="3" t="n">
        <x:v>150</x:v>
      </x:c>
      <x:c r="AL264" s="3" t="n">
        <x:v>0</x:v>
      </x:c>
      <x:c r="AM264" s="8" t="n">
        <x:v>0.5267</x:v>
      </x:c>
      <x:c r="AN264" s="3" t="n">
        <x:v>0</x:v>
      </x:c>
      <x:c r="AO264" s="3" t="s">
        <x:v>9</x:v>
      </x:c>
      <x:c r="AP264" s="3" t="s">
        <x:v>335</x:v>
      </x:c>
      <x:c r="AQ264" s="3" t="s">
        <x:v>340</x:v>
      </x:c>
      <x:c r="AR264" s="9" t="n">
        <x:v>720.8</x:v>
      </x:c>
      <x:c r="AS264" s="3" t="s">
        <x:v>121</x:v>
      </x:c>
      <x:c r="AT264" s="7" t="n">
        <x:v>46301.9166666667</x:v>
      </x:c>
    </x:row>
    <x:row r="265" ht="31.299999237060547" hidden="0">
      <x:c r="A265" s="3" t="s">
        <x:v>761</x:v>
      </x:c>
      <x:c r="B265" s="3" t="s">
        <x:v>187</x:v>
      </x:c>
      <x:c r="C265" s="3" t="s">
        <x:v>188</x:v>
      </x:c>
      <x:c r="D265" s="3" t="s">
        <x:v>189</x:v>
      </x:c>
      <x:c r="E265" s="3" t="s">
        <x:v>249</x:v>
      </x:c>
      <x:c r="F265" s="3" t="s">
        <x:v>127</x:v>
      </x:c>
      <x:c r="G265" s="3" t="s">
        <x:v>379</x:v>
      </x:c>
      <x:c r="H265" s="3" t="s">
        <x:v>339</x:v>
      </x:c>
      <x:c r="I265" s="3" t="s">
        <x:v>102</x:v>
      </x:c>
      <x:c r="J265" s="3" t="s">
        <x:v>103</x:v>
      </x:c>
      <x:c r="K265" s="3" t="s">
        <x:v>104</x:v>
      </x:c>
      <x:c r="L265" s="3" t="s">
        <x:v>191</x:v>
      </x:c>
      <x:c r="M265" s="3" t="s">
        <x:v>192</x:v>
      </x:c>
      <x:c r="N265" s="3" t="s">
        <x:v>193</x:v>
      </x:c>
      <x:c r="O265" s="3" t="s">
        <x:v>194</x:v>
      </x:c>
      <x:c r="P265" s="3" t="s">
        <x:v>195</x:v>
      </x:c>
      <x:c r="Q265" s="3" t="s">
        <x:v>273</x:v>
      </x:c>
      <x:c r="R265" s="3" t="s">
        <x:v>380</x:v>
      </x:c>
      <x:c r="S265" s="3" t="s">
        <x:v>111</x:v>
      </x:c>
      <x:c r="T265" s="3" t="s">
        <x:v>111</x:v>
      </x:c>
      <x:c r="U265" s="3" t="s">
        <x:v>381</x:v>
      </x:c>
      <x:c r="V265" s="3" t="s">
        <x:v>312</x:v>
      </x:c>
      <x:c r="W265" s="3" t="s">
        <x:v>382</x:v>
      </x:c>
      <x:c r="X265" s="3" t="s">
        <x:v>314</x:v>
      </x:c>
      <x:c r="Y265" s="3" t="s">
        <x:v>383</x:v>
      </x:c>
      <x:c r="Z265" s="3" t="s">
        <x:v>384</x:v>
      </x:c>
      <x:c r="AA265" s="3" t="s">
        <x:v>385</x:v>
      </x:c>
      <x:c r="AB265" s="7" t="n">
        <x:v>46264.8666666667</x:v>
      </x:c>
      <x:c r="AC265" s="7" t="n">
        <x:v>46264.8708333333</x:v>
      </x:c>
      <x:c r="AD265" s="7" t="n">
        <x:v>46264.8729166667</x:v>
      </x:c>
      <x:c r="AE265" s="7" t="n">
        <x:v>46264.8944444444</x:v>
      </x:c>
      <x:c r="AF265" s="7" t="n">
        <x:v>46264.9430555556</x:v>
      </x:c>
      <x:c r="AG265" s="3" t="n">
        <x:v>40</x:v>
      </x:c>
      <x:c r="AH265" s="3" t="n">
        <x:v>67</x:v>
      </x:c>
      <x:c r="AI265" s="3" t="s">
        <x:v>135</x:v>
      </x:c>
      <x:c r="AJ265" s="3" t="s">
        <x:v>111</x:v>
      </x:c>
      <x:c r="AK265" s="3" t="n">
        <x:v>120</x:v>
      </x:c>
      <x:c r="AL265" s="3" t="n">
        <x:v>0</x:v>
      </x:c>
      <x:c r="AM265" s="8" t="n">
        <x:v>0.8917</x:v>
      </x:c>
      <x:c r="AN265" s="3" t="n">
        <x:v>1</x:v>
      </x:c>
      <x:c r="AO265" s="3" t="s">
        <x:v>19</x:v>
      </x:c>
      <x:c r="AP265" s="3" t="s">
        <x:v>515</x:v>
      </x:c>
      <x:c r="AQ265" s="3" t="s">
        <x:v>689</x:v>
      </x:c>
      <x:c r="AR265" s="9" t="n">
        <x:v>1302.4</x:v>
      </x:c>
      <x:c r="AS265" s="3" t="s">
        <x:v>185</x:v>
      </x:c>
      <x:c r="AT265" s="7" t="n">
        <x:v>46301.9166666667</x:v>
      </x:c>
    </x:row>
    <x:row r="266" ht="31.299999237060547" hidden="0">
      <x:c r="A266" s="3" t="s">
        <x:v>762</x:v>
      </x:c>
      <x:c r="B266" s="3" t="s">
        <x:v>205</x:v>
      </x:c>
      <x:c r="C266" s="3" t="s">
        <x:v>206</x:v>
      </x:c>
      <x:c r="D266" s="3" t="s">
        <x:v>207</x:v>
      </x:c>
      <x:c r="E266" s="3" t="s">
        <x:v>249</x:v>
      </x:c>
      <x:c r="F266" s="3" t="s">
        <x:v>149</x:v>
      </x:c>
      <x:c r="G266" s="3" t="s">
        <x:v>349</x:v>
      </x:c>
      <x:c r="H266" s="3" t="s">
        <x:v>343</x:v>
      </x:c>
      <x:c r="I266" s="3" t="s">
        <x:v>102</x:v>
      </x:c>
      <x:c r="J266" s="3" t="s">
        <x:v>103</x:v>
      </x:c>
      <x:c r="K266" s="3" t="s">
        <x:v>104</x:v>
      </x:c>
      <x:c r="L266" s="3" t="s">
        <x:v>209</x:v>
      </x:c>
      <x:c r="M266" s="3" t="s">
        <x:v>210</x:v>
      </x:c>
      <x:c r="N266" s="3" t="s">
        <x:v>211</x:v>
      </x:c>
      <x:c r="O266" s="3" t="s">
        <x:v>212</x:v>
      </x:c>
      <x:c r="P266" s="3" t="s">
        <x:v>213</x:v>
      </x:c>
      <x:c r="Q266" s="3" t="s">
        <x:v>254</x:v>
      </x:c>
      <x:c r="R266" s="3" t="s">
        <x:v>344</x:v>
      </x:c>
      <x:c r="S266" s="3" t="s">
        <x:v>111</x:v>
      </x:c>
      <x:c r="T266" s="3" t="s">
        <x:v>111</x:v>
      </x:c>
      <x:c r="U266" s="3" t="s">
        <x:v>345</x:v>
      </x:c>
      <x:c r="V266" s="3" t="s">
        <x:v>178</x:v>
      </x:c>
      <x:c r="W266" s="3" t="s">
        <x:v>355</x:v>
      </x:c>
      <x:c r="X266" s="3" t="s">
        <x:v>180</x:v>
      </x:c>
      <x:c r="Y266" s="3" t="s">
        <x:v>356</x:v>
      </x:c>
      <x:c r="Z266" s="3" t="s">
        <x:v>346</x:v>
      </x:c>
      <x:c r="AA266" s="3" t="s">
        <x:v>118</x:v>
      </x:c>
      <x:c r="AB266" s="7" t="n">
        <x:v>46265.31875</x:v>
      </x:c>
      <x:c r="AC266" s="7" t="n">
        <x:v>46265.3208333333</x:v>
      </x:c>
      <x:c r="AD266" s="7" t="n">
        <x:v>46265.325</x:v>
      </x:c>
      <x:c r="AE266" s="7" t="n">
        <x:v>46265.3388888889</x:v>
      </x:c>
      <x:c r="AF266" s="7" t="n">
        <x:v>46265.3701388889</x:v>
      </x:c>
      <x:c r="AG266" s="3" t="n">
        <x:v>29</x:v>
      </x:c>
      <x:c r="AH266" s="3" t="n">
        <x:v>38</x:v>
      </x:c>
      <x:c r="AI266" s="3" t="s">
        <x:v>135</x:v>
      </x:c>
      <x:c r="AJ266" s="3" t="s">
        <x:v>135</x:v>
      </x:c>
      <x:c r="AK266" s="3" t="n">
        <x:v>120</x:v>
      </x:c>
      <x:c r="AL266" s="3" t="n">
        <x:v>0</x:v>
      </x:c>
      <x:c r="AM266" s="8" t="n">
        <x:v>0.5583</x:v>
      </x:c>
      <x:c r="AN266" s="3" t="n">
        <x:v>1</x:v>
      </x:c>
      <x:c r="AO266" s="3" t="s">
        <x:v>9</x:v>
      </x:c>
      <x:c r="AP266" s="3" t="s">
        <x:v>500</x:v>
      </x:c>
      <x:c r="AQ266" s="3" t="s">
        <x:v>697</x:v>
      </x:c>
      <x:c r="AR266" s="9" t="n">
        <x:v>664.1</x:v>
      </x:c>
      <x:c r="AS266" s="3" t="s">
        <x:v>185</x:v>
      </x:c>
      <x:c r="AT266" s="7" t="n">
        <x:v>46301.9166666667</x:v>
      </x:c>
    </x:row>
    <x:row r="267" ht="31.299999237060547" hidden="0">
      <x:c r="A267" s="3" t="s">
        <x:v>763</x:v>
      </x:c>
      <x:c r="B267" s="3" t="s">
        <x:v>433</x:v>
      </x:c>
      <x:c r="C267" s="3" t="s">
        <x:v>434</x:v>
      </x:c>
      <x:c r="D267" s="3" t="s">
        <x:v>435</x:v>
      </x:c>
      <x:c r="E267" s="3" t="s">
        <x:v>249</x:v>
      </x:c>
      <x:c r="F267" s="3" t="s">
        <x:v>127</x:v>
      </x:c>
      <x:c r="G267" s="3" t="s">
        <x:v>390</x:v>
      </x:c>
      <x:c r="H267" s="3" t="s">
        <x:v>301</x:v>
      </x:c>
      <x:c r="I267" s="3" t="s">
        <x:v>302</x:v>
      </x:c>
      <x:c r="J267" s="3" t="s">
        <x:v>303</x:v>
      </x:c>
      <x:c r="K267" s="3" t="s">
        <x:v>104</x:v>
      </x:c>
      <x:c r="L267" s="3" t="s">
        <x:v>437</x:v>
      </x:c>
      <x:c r="M267" s="3" t="s">
        <x:v>106</x:v>
      </x:c>
      <x:c r="N267" s="3" t="s">
        <x:v>438</x:v>
      </x:c>
      <x:c r="O267" s="3" t="s">
        <x:v>439</x:v>
      </x:c>
      <x:c r="P267" s="3" t="s">
        <x:v>440</x:v>
      </x:c>
      <x:c r="Q267" s="3" t="s">
        <x:v>441</x:v>
      </x:c>
      <x:c r="R267" s="3" t="s">
        <x:v>391</x:v>
      </x:c>
      <x:c r="S267" s="3" t="s">
        <x:v>135</x:v>
      </x:c>
      <x:c r="T267" s="3" t="s">
        <x:v>135</x:v>
      </x:c>
      <x:c r="U267" s="3" t="s">
        <x:v>392</x:v>
      </x:c>
      <x:c r="V267" s="3" t="s">
        <x:v>312</x:v>
      </x:c>
      <x:c r="W267" s="3" t="s">
        <x:v>313</x:v>
      </x:c>
      <x:c r="X267" s="3" t="s">
        <x:v>314</x:v>
      </x:c>
      <x:c r="Y267" s="3" t="s">
        <x:v>315</x:v>
      </x:c>
      <x:c r="Z267" s="3" t="s">
        <x:v>393</x:v>
      </x:c>
      <x:c r="AA267" s="3" t="s">
        <x:v>394</x:v>
      </x:c>
      <x:c r="AB267" s="7" t="n">
        <x:v>46265.4104166667</x:v>
      </x:c>
      <x:c r="AC267" s="7" t="n">
        <x:v>46265.4152777778</x:v>
      </x:c>
      <x:c r="AD267" s="7" t="n">
        <x:v>46265.4215277778</x:v>
      </x:c>
      <x:c r="AE267" s="7" t="n">
        <x:v>46265.4534722222</x:v>
      </x:c>
      <x:c r="AF267" s="7" t="n">
        <x:v>46265.4965277778</x:v>
      </x:c>
      <x:c r="AG267" s="3" t="n">
        <x:v>62</x:v>
      </x:c>
      <x:c r="AH267" s="3" t="n">
        <x:v>55</x:v>
      </x:c>
      <x:c r="AI267" s="3" t="s">
        <x:v>135</x:v>
      </x:c>
      <x:c r="AJ267" s="3" t="s">
        <x:v>135</x:v>
      </x:c>
      <x:c r="AK267" s="3" t="n">
        <x:v>180</x:v>
      </x:c>
      <x:c r="AL267" s="3" t="n">
        <x:v>0</x:v>
      </x:c>
      <x:c r="AM267" s="8" t="n">
        <x:v>0.65</x:v>
      </x:c>
      <x:c r="AN267" s="3" t="n">
        <x:v>0</x:v>
      </x:c>
      <x:c r="AO267" s="3" t="s">
        <x:v>14</x:v>
      </x:c>
      <x:c r="AP267" s="3" t="s">
        <x:v>347</x:v>
      </x:c>
      <x:c r="AQ267" s="3" t="s">
        <x:v>422</x:v>
      </x:c>
      <x:c r="AR267" s="9" t="n">
        <x:v>935</x:v>
      </x:c>
      <x:c r="AS267" s="3" t="s">
        <x:v>121</x:v>
      </x:c>
      <x:c r="AT267" s="7" t="n">
        <x:v>46301.9166666667</x:v>
      </x:c>
    </x:row>
    <x:row r="268" ht="31.299999237060547" hidden="0">
      <x:c r="A268" s="3" t="s">
        <x:v>764</x:v>
      </x:c>
      <x:c r="B268" s="3" t="s">
        <x:v>187</x:v>
      </x:c>
      <x:c r="C268" s="3" t="s">
        <x:v>188</x:v>
      </x:c>
      <x:c r="D268" s="3" t="s">
        <x:v>189</x:v>
      </x:c>
      <x:c r="E268" s="3" t="s">
        <x:v>249</x:v>
      </x:c>
      <x:c r="F268" s="3" t="s">
        <x:v>149</x:v>
      </x:c>
      <x:c r="G268" s="3" t="s">
        <x:v>463</x:v>
      </x:c>
      <x:c r="H268" s="3" t="s">
        <x:v>101</x:v>
      </x:c>
      <x:c r="I268" s="3" t="s">
        <x:v>102</x:v>
      </x:c>
      <x:c r="J268" s="3" t="s">
        <x:v>103</x:v>
      </x:c>
      <x:c r="K268" s="3" t="s">
        <x:v>104</x:v>
      </x:c>
      <x:c r="L268" s="3" t="s">
        <x:v>191</x:v>
      </x:c>
      <x:c r="M268" s="3" t="s">
        <x:v>192</x:v>
      </x:c>
      <x:c r="N268" s="3" t="s">
        <x:v>193</x:v>
      </x:c>
      <x:c r="O268" s="3" t="s">
        <x:v>194</x:v>
      </x:c>
      <x:c r="P268" s="3" t="s">
        <x:v>195</x:v>
      </x:c>
      <x:c r="Q268" s="3" t="s">
        <x:v>273</x:v>
      </x:c>
      <x:c r="R268" s="3" t="s">
        <x:v>380</x:v>
      </x:c>
      <x:c r="S268" s="3" t="s">
        <x:v>111</x:v>
      </x:c>
      <x:c r="T268" s="3" t="s">
        <x:v>111</x:v>
      </x:c>
      <x:c r="U268" s="3" t="s">
        <x:v>381</x:v>
      </x:c>
      <x:c r="V268" s="3" t="s">
        <x:v>312</x:v>
      </x:c>
      <x:c r="W268" s="3" t="s">
        <x:v>351</x:v>
      </x:c>
      <x:c r="X268" s="3" t="s">
        <x:v>314</x:v>
      </x:c>
      <x:c r="Y268" s="3" t="s">
        <x:v>352</x:v>
      </x:c>
      <x:c r="Z268" s="3" t="s">
        <x:v>384</x:v>
      </x:c>
      <x:c r="AA268" s="3" t="s">
        <x:v>385</x:v>
      </x:c>
      <x:c r="AB268" s="7" t="n">
        <x:v>46265.4736111111</x:v>
      </x:c>
      <x:c r="AC268" s="7" t="n">
        <x:v>46265.475</x:v>
      </x:c>
      <x:c r="AD268" s="7" t="n">
        <x:v>46265.4777777778</x:v>
      </x:c>
      <x:c r="AE268" s="7" t="n">
        <x:v>46265.4965277778</x:v>
      </x:c>
      <x:c r="AF268" s="7" t="n">
        <x:v>46265.5555555556</x:v>
      </x:c>
      <x:c r="AG268" s="3" t="n">
        <x:v>33</x:v>
      </x:c>
      <x:c r="AH268" s="3" t="n">
        <x:v>75</x:v>
      </x:c>
      <x:c r="AI268" s="3" t="s">
        <x:v>135</x:v>
      </x:c>
      <x:c r="AJ268" s="3" t="s">
        <x:v>111</x:v>
      </x:c>
      <x:c r="AK268" s="3" t="n">
        <x:v>120</x:v>
      </x:c>
      <x:c r="AL268" s="3" t="n">
        <x:v>0</x:v>
      </x:c>
      <x:c r="AM268" s="8" t="n">
        <x:v>0.9</x:v>
      </x:c>
      <x:c r="AN268" s="3" t="n">
        <x:v>1</x:v>
      </x:c>
      <x:c r="AO268" s="3" t="s">
        <x:v>19</x:v>
      </x:c>
      <x:c r="AP268" s="3" t="s">
        <x:v>515</x:v>
      </x:c>
      <x:c r="AQ268" s="3" t="s">
        <x:v>689</x:v>
      </x:c>
      <x:c r="AR268" s="9" t="n">
        <x:v>1328.5</x:v>
      </x:c>
      <x:c r="AS268" s="3" t="s">
        <x:v>185</x:v>
      </x:c>
      <x:c r="AT268" s="7" t="n">
        <x:v>46301.9166666667</x:v>
      </x:c>
    </x:row>
    <x:row r="269" ht="31.299999237060547" hidden="0">
      <x:c r="A269" s="3" t="s">
        <x:v>765</x:v>
      </x:c>
      <x:c r="B269" s="3" t="s">
        <x:v>187</x:v>
      </x:c>
      <x:c r="C269" s="3" t="s">
        <x:v>188</x:v>
      </x:c>
      <x:c r="D269" s="3" t="s">
        <x:v>189</x:v>
      </x:c>
      <x:c r="E269" s="3" t="s">
        <x:v>249</x:v>
      </x:c>
      <x:c r="F269" s="3" t="s">
        <x:v>127</x:v>
      </x:c>
      <x:c r="G269" s="3" t="s">
        <x:v>447</x:v>
      </x:c>
      <x:c r="H269" s="3" t="s">
        <x:v>343</x:v>
      </x:c>
      <x:c r="I269" s="3" t="s">
        <x:v>102</x:v>
      </x:c>
      <x:c r="J269" s="3" t="s">
        <x:v>103</x:v>
      </x:c>
      <x:c r="K269" s="3" t="s">
        <x:v>104</x:v>
      </x:c>
      <x:c r="L269" s="3" t="s">
        <x:v>191</x:v>
      </x:c>
      <x:c r="M269" s="3" t="s">
        <x:v>192</x:v>
      </x:c>
      <x:c r="N269" s="3" t="s">
        <x:v>193</x:v>
      </x:c>
      <x:c r="O269" s="3" t="s">
        <x:v>194</x:v>
      </x:c>
      <x:c r="P269" s="3" t="s">
        <x:v>195</x:v>
      </x:c>
      <x:c r="Q269" s="3" t="s">
        <x:v>273</x:v>
      </x:c>
      <x:c r="R269" s="3" t="s">
        <x:v>344</x:v>
      </x:c>
      <x:c r="S269" s="3" t="s">
        <x:v>111</x:v>
      </x:c>
      <x:c r="T269" s="3" t="s">
        <x:v>111</x:v>
      </x:c>
      <x:c r="U269" s="3" t="s">
        <x:v>345</x:v>
      </x:c>
      <x:c r="V269" s="3" t="s">
        <x:v>178</x:v>
      </x:c>
      <x:c r="W269" s="3" t="s">
        <x:v>179</x:v>
      </x:c>
      <x:c r="X269" s="3" t="s">
        <x:v>180</x:v>
      </x:c>
      <x:c r="Y269" s="3" t="s">
        <x:v>414</x:v>
      </x:c>
      <x:c r="Z269" s="3" t="s">
        <x:v>346</x:v>
      </x:c>
      <x:c r="AA269" s="3" t="s">
        <x:v>118</x:v>
      </x:c>
      <x:c r="AB269" s="7" t="n">
        <x:v>46265.4972222222</x:v>
      </x:c>
      <x:c r="AC269" s="7" t="n">
        <x:v>46265.5013888889</x:v>
      </x:c>
      <x:c r="AD269" s="7" t="n">
        <x:v>46265.5041666667</x:v>
      </x:c>
      <x:c r="AE269" s="7" t="n">
        <x:v>46265.5152777778</x:v>
      </x:c>
      <x:c r="AF269" s="7" t="n">
        <x:v>46265.5854166667</x:v>
      </x:c>
      <x:c r="AG269" s="3" t="n">
        <x:v>26</x:v>
      </x:c>
      <x:c r="AH269" s="3" t="n">
        <x:v>94</x:v>
      </x:c>
      <x:c r="AI269" s="3" t="s">
        <x:v>135</x:v>
      </x:c>
      <x:c r="AJ269" s="3" t="s">
        <x:v>111</x:v>
      </x:c>
      <x:c r="AK269" s="3" t="n">
        <x:v>120</x:v>
      </x:c>
      <x:c r="AL269" s="3" t="n">
        <x:v>0</x:v>
      </x:c>
      <x:c r="AM269" s="8" t="n">
        <x:v>1</x:v>
      </x:c>
      <x:c r="AN269" s="3" t="n">
        <x:v>1</x:v>
      </x:c>
      <x:c r="AO269" s="3" t="s">
        <x:v>19</x:v>
      </x:c>
      <x:c r="AP269" s="3" t="s">
        <x:v>766</x:v>
      </x:c>
      <x:c r="AQ269" s="3" t="s">
        <x:v>689</x:v>
      </x:c>
      <x:c r="AR269" s="9" t="n">
        <x:v>1433.8</x:v>
      </x:c>
      <x:c r="AS269" s="3" t="s">
        <x:v>185</x:v>
      </x:c>
      <x:c r="AT269" s="7" t="n">
        <x:v>46301.9166666667</x:v>
      </x:c>
    </x:row>
    <x:row r="270" ht="31.299999237060547" hidden="0">
      <x:c r="A270" s="3" t="s">
        <x:v>767</x:v>
      </x:c>
      <x:c r="B270" s="3" t="s">
        <x:v>233</x:v>
      </x:c>
      <x:c r="C270" s="3" t="s">
        <x:v>234</x:v>
      </x:c>
      <x:c r="D270" s="3" t="s">
        <x:v>235</x:v>
      </x:c>
      <x:c r="E270" s="3" t="s">
        <x:v>249</x:v>
      </x:c>
      <x:c r="F270" s="3" t="s">
        <x:v>99</x:v>
      </x:c>
      <x:c r="G270" s="3" t="s">
        <x:v>416</x:v>
      </x:c>
      <x:c r="H270" s="3" t="s">
        <x:v>339</x:v>
      </x:c>
      <x:c r="I270" s="3" t="s">
        <x:v>102</x:v>
      </x:c>
      <x:c r="J270" s="3" t="s">
        <x:v>103</x:v>
      </x:c>
      <x:c r="K270" s="3" t="s">
        <x:v>104</x:v>
      </x:c>
      <x:c r="L270" s="3" t="s">
        <x:v>237</x:v>
      </x:c>
      <x:c r="M270" s="3" t="s">
        <x:v>172</x:v>
      </x:c>
      <x:c r="N270" s="3" t="s">
        <x:v>238</x:v>
      </x:c>
      <x:c r="O270" s="3" t="s">
        <x:v>239</x:v>
      </x:c>
      <x:c r="P270" s="3" t="s">
        <x:v>240</x:v>
      </x:c>
      <x:c r="Q270" s="3" t="s">
        <x:v>276</x:v>
      </x:c>
      <x:c r="R270" s="3" t="s">
        <x:v>373</x:v>
      </x:c>
      <x:c r="S270" s="3" t="s">
        <x:v>135</x:v>
      </x:c>
      <x:c r="T270" s="3" t="s">
        <x:v>111</x:v>
      </x:c>
      <x:c r="U270" s="3" t="s">
        <x:v>374</x:v>
      </x:c>
      <x:c r="V270" s="3" t="s">
        <x:v>178</x:v>
      </x:c>
      <x:c r="W270" s="3" t="s">
        <x:v>355</x:v>
      </x:c>
      <x:c r="X270" s="3" t="s">
        <x:v>180</x:v>
      </x:c>
      <x:c r="Y270" s="3" t="s">
        <x:v>356</x:v>
      </x:c>
      <x:c r="Z270" s="3" t="s">
        <x:v>375</x:v>
      </x:c>
      <x:c r="AA270" s="3" t="s">
        <x:v>118</x:v>
      </x:c>
      <x:c r="AB270" s="7" t="n">
        <x:v>46265.5215277778</x:v>
      </x:c>
      <x:c r="AC270" s="7" t="n">
        <x:v>46265.5256944444</x:v>
      </x:c>
      <x:c r="AD270" s="7" t="n">
        <x:v>46265.5298611111</x:v>
      </x:c>
      <x:c r="AE270" s="7" t="n">
        <x:v>46265.5506944444</x:v>
      </x:c>
      <x:c r="AF270" s="7" t="n">
        <x:v>46265.5638888889</x:v>
      </x:c>
      <x:c r="AG270" s="3" t="n">
        <x:v>42</x:v>
      </x:c>
      <x:c r="AH270" s="3" t="n">
        <x:v>14</x:v>
      </x:c>
      <x:c r="AI270" s="3" t="s">
        <x:v>135</x:v>
      </x:c>
      <x:c r="AJ270" s="3" t="s">
        <x:v>111</x:v>
      </x:c>
      <x:c r="AK270" s="3" t="n">
        <x:v>150</x:v>
      </x:c>
      <x:c r="AL270" s="3" t="n">
        <x:v>0</x:v>
      </x:c>
      <x:c r="AM270" s="8" t="n">
        <x:v>0.3733</x:v>
      </x:c>
      <x:c r="AN270" s="3" t="n">
        <x:v>1</x:v>
      </x:c>
      <x:c r="AO270" s="3" t="s">
        <x:v>9</x:v>
      </x:c>
      <x:c r="AP270" s="3" t="s">
        <x:v>584</x:v>
      </x:c>
      <x:c r="AQ270" s="3" t="s">
        <x:v>501</x:v>
      </x:c>
      <x:c r="AR270" s="9" t="n">
        <x:v>549.8</x:v>
      </x:c>
      <x:c r="AS270" s="3" t="s">
        <x:v>144</x:v>
      </x:c>
      <x:c r="AT270" s="7" t="n">
        <x:v>46301.9166666667</x:v>
      </x:c>
    </x:row>
    <x:row r="271" ht="31.299999237060547" hidden="0">
      <x:c r="A271" s="3" t="s">
        <x:v>768</x:v>
      </x:c>
      <x:c r="B271" s="3" t="s">
        <x:v>146</x:v>
      </x:c>
      <x:c r="C271" s="3" t="s">
        <x:v>147</x:v>
      </x:c>
      <x:c r="D271" s="3" t="s">
        <x:v>148</x:v>
      </x:c>
      <x:c r="E271" s="3" t="s">
        <x:v>249</x:v>
      </x:c>
      <x:c r="F271" s="3" t="s">
        <x:v>99</x:v>
      </x:c>
      <x:c r="G271" s="3" t="s">
        <x:v>461</x:v>
      </x:c>
      <x:c r="H271" s="3" t="s">
        <x:v>101</x:v>
      </x:c>
      <x:c r="I271" s="3" t="s">
        <x:v>102</x:v>
      </x:c>
      <x:c r="J271" s="3" t="s">
        <x:v>103</x:v>
      </x:c>
      <x:c r="K271" s="3" t="s">
        <x:v>104</x:v>
      </x:c>
      <x:c r="L271" s="3" t="s">
        <x:v>151</x:v>
      </x:c>
      <x:c r="M271" s="3" t="s">
        <x:v>152</x:v>
      </x:c>
      <x:c r="N271" s="3" t="s">
        <x:v>153</x:v>
      </x:c>
      <x:c r="O271" s="3" t="s">
        <x:v>154</x:v>
      </x:c>
      <x:c r="P271" s="3" t="s">
        <x:v>155</x:v>
      </x:c>
      <x:c r="Q271" s="3" t="s">
        <x:v>270</x:v>
      </x:c>
      <x:c r="R271" s="3" t="s">
        <x:v>156</x:v>
      </x:c>
      <x:c r="S271" s="3" t="s">
        <x:v>135</x:v>
      </x:c>
      <x:c r="T271" s="3" t="s">
        <x:v>111</x:v>
      </x:c>
      <x:c r="U271" s="3" t="s">
        <x:v>157</x:v>
      </x:c>
      <x:c r="V271" s="3" t="s">
        <x:v>158</x:v>
      </x:c>
      <x:c r="W271" s="3" t="s">
        <x:v>450</x:v>
      </x:c>
      <x:c r="X271" s="3" t="s">
        <x:v>160</x:v>
      </x:c>
      <x:c r="Y271" s="3" t="s">
        <x:v>451</x:v>
      </x:c>
      <x:c r="Z271" s="3" t="s">
        <x:v>162</x:v>
      </x:c>
      <x:c r="AA271" s="3" t="s">
        <x:v>118</x:v>
      </x:c>
      <x:c r="AB271" s="7" t="n">
        <x:v>46265.6597222222</x:v>
      </x:c>
      <x:c r="AC271" s="7" t="n">
        <x:v>46265.6625</x:v>
      </x:c>
      <x:c r="AD271" s="7" t="n">
        <x:v>46265.6638888889</x:v>
      </x:c>
      <x:c r="AE271" s="7" t="n">
        <x:v>46265.6854166667</x:v>
      </x:c>
      <x:c r="AF271" s="7" t="n">
        <x:v>46265.7361111111</x:v>
      </x:c>
      <x:c r="AG271" s="3" t="n">
        <x:v>37</x:v>
      </x:c>
      <x:c r="AH271" s="3" t="n">
        <x:v>63</x:v>
      </x:c>
      <x:c r="AI271" s="3" t="s">
        <x:v>135</x:v>
      </x:c>
      <x:c r="AJ271" s="3" t="s">
        <x:v>135</x:v>
      </x:c>
      <x:c r="AK271" s="3" t="n">
        <x:v>180</x:v>
      </x:c>
      <x:c r="AL271" s="3" t="n">
        <x:v>0</x:v>
      </x:c>
      <x:c r="AM271" s="8" t="n">
        <x:v>0.5556</x:v>
      </x:c>
      <x:c r="AN271" s="3" t="n">
        <x:v>3</x:v>
      </x:c>
      <x:c r="AO271" s="3" t="s">
        <x:v>14</x:v>
      </x:c>
      <x:c r="AP271" s="3" t="s">
        <x:v>183</x:v>
      </x:c>
      <x:c r="AQ271" s="3" t="s">
        <x:v>769</x:v>
      </x:c>
      <x:c r="AR271" s="9" t="n">
        <x:v>1130.1</x:v>
      </x:c>
      <x:c r="AS271" s="3" t="s">
        <x:v>185</x:v>
      </x:c>
      <x:c r="AT271" s="7" t="n">
        <x:v>46301.9166666667</x:v>
      </x:c>
    </x:row>
    <x:row r="272" ht="31.299999237060547" hidden="0">
      <x:c r="A272" s="3" t="s">
        <x:v>770</x:v>
      </x:c>
      <x:c r="B272" s="3" t="s">
        <x:v>166</x:v>
      </x:c>
      <x:c r="C272" s="3" t="s">
        <x:v>167</x:v>
      </x:c>
      <x:c r="D272" s="3" t="s">
        <x:v>168</x:v>
      </x:c>
      <x:c r="E272" s="3" t="s">
        <x:v>249</x:v>
      </x:c>
      <x:c r="F272" s="3" t="s">
        <x:v>169</x:v>
      </x:c>
      <x:c r="G272" s="3" t="s">
        <x:v>379</x:v>
      </x:c>
      <x:c r="H272" s="3" t="s">
        <x:v>339</x:v>
      </x:c>
      <x:c r="I272" s="3" t="s">
        <x:v>102</x:v>
      </x:c>
      <x:c r="J272" s="3" t="s">
        <x:v>103</x:v>
      </x:c>
      <x:c r="K272" s="3" t="s">
        <x:v>104</x:v>
      </x:c>
      <x:c r="L272" s="3" t="s">
        <x:v>171</x:v>
      </x:c>
      <x:c r="M272" s="3" t="s">
        <x:v>172</x:v>
      </x:c>
      <x:c r="N272" s="3" t="s">
        <x:v>173</x:v>
      </x:c>
      <x:c r="O272" s="3" t="s">
        <x:v>174</x:v>
      </x:c>
      <x:c r="P272" s="3" t="s">
        <x:v>175</x:v>
      </x:c>
      <x:c r="Q272" s="3" t="s">
        <x:v>271</x:v>
      </x:c>
      <x:c r="R272" s="3" t="s">
        <x:v>380</x:v>
      </x:c>
      <x:c r="S272" s="3" t="s">
        <x:v>111</x:v>
      </x:c>
      <x:c r="T272" s="3" t="s">
        <x:v>111</x:v>
      </x:c>
      <x:c r="U272" s="3" t="s">
        <x:v>381</x:v>
      </x:c>
      <x:c r="V272" s="3" t="s">
        <x:v>312</x:v>
      </x:c>
      <x:c r="W272" s="3" t="s">
        <x:v>313</x:v>
      </x:c>
      <x:c r="X272" s="3" t="s">
        <x:v>314</x:v>
      </x:c>
      <x:c r="Y272" s="3" t="s">
        <x:v>315</x:v>
      </x:c>
      <x:c r="Z272" s="3" t="s">
        <x:v>384</x:v>
      </x:c>
      <x:c r="AA272" s="3" t="s">
        <x:v>385</x:v>
      </x:c>
      <x:c r="AB272" s="7" t="n">
        <x:v>46265.7520833333</x:v>
      </x:c>
      <x:c r="AC272" s="7" t="n">
        <x:v>46265.7555555556</x:v>
      </x:c>
      <x:c r="AD272" s="7" t="n">
        <x:v>46265.7590277778</x:v>
      </x:c>
      <x:c r="AE272" s="7" t="n">
        <x:v>46265.7798611111</x:v>
      </x:c>
      <x:c r="AF272" s="7" t="n">
        <x:v>46265.8361111111</x:v>
      </x:c>
      <x:c r="AG272" s="3" t="n">
        <x:v>40</x:v>
      </x:c>
      <x:c r="AH272" s="3" t="n">
        <x:v>77</x:v>
      </x:c>
      <x:c r="AI272" s="3" t="s">
        <x:v>135</x:v>
      </x:c>
      <x:c r="AJ272" s="3" t="s">
        <x:v>135</x:v>
      </x:c>
      <x:c r="AK272" s="3" t="n">
        <x:v>120</x:v>
      </x:c>
      <x:c r="AL272" s="3" t="n">
        <x:v>0</x:v>
      </x:c>
      <x:c r="AM272" s="8" t="n">
        <x:v>0.975</x:v>
      </x:c>
      <x:c r="AN272" s="3" t="n">
        <x:v>2</x:v>
      </x:c>
      <x:c r="AO272" s="3" t="s">
        <x:v>19</x:v>
      </x:c>
      <x:c r="AP272" s="3" t="s">
        <x:v>771</x:v>
      </x:c>
      <x:c r="AQ272" s="3" t="s">
        <x:v>501</x:v>
      </x:c>
      <x:c r="AR272" s="9" t="n">
        <x:v>1374.4</x:v>
      </x:c>
      <x:c r="AS272" s="3" t="s">
        <x:v>185</x:v>
      </x:c>
      <x:c r="AT272" s="7" t="n">
        <x:v>46301.9166666667</x:v>
      </x:c>
    </x:row>
    <x:row r="273" ht="31.299999237060547" hidden="0">
      <x:c r="A273" s="3" t="s">
        <x:v>772</x:v>
      </x:c>
      <x:c r="B273" s="3" t="s">
        <x:v>433</x:v>
      </x:c>
      <x:c r="C273" s="3" t="s">
        <x:v>434</x:v>
      </x:c>
      <x:c r="D273" s="3" t="s">
        <x:v>435</x:v>
      </x:c>
      <x:c r="E273" s="3" t="s">
        <x:v>249</x:v>
      </x:c>
      <x:c r="F273" s="3" t="s">
        <x:v>169</x:v>
      </x:c>
      <x:c r="G273" s="3" t="s">
        <x:v>324</x:v>
      </x:c>
      <x:c r="H273" s="3" t="s">
        <x:v>301</x:v>
      </x:c>
      <x:c r="I273" s="3" t="s">
        <x:v>302</x:v>
      </x:c>
      <x:c r="J273" s="3" t="s">
        <x:v>303</x:v>
      </x:c>
      <x:c r="K273" s="3" t="s">
        <x:v>104</x:v>
      </x:c>
      <x:c r="L273" s="3" t="s">
        <x:v>437</x:v>
      </x:c>
      <x:c r="M273" s="3" t="s">
        <x:v>106</x:v>
      </x:c>
      <x:c r="N273" s="3" t="s">
        <x:v>438</x:v>
      </x:c>
      <x:c r="O273" s="3" t="s">
        <x:v>439</x:v>
      </x:c>
      <x:c r="P273" s="3" t="s">
        <x:v>440</x:v>
      </x:c>
      <x:c r="Q273" s="3" t="s">
        <x:v>441</x:v>
      </x:c>
      <x:c r="R273" s="3" t="s">
        <x:v>330</x:v>
      </x:c>
      <x:c r="S273" s="3" t="s">
        <x:v>135</x:v>
      </x:c>
      <x:c r="T273" s="3" t="s">
        <x:v>111</x:v>
      </x:c>
      <x:c r="U273" s="3" t="s">
        <x:v>331</x:v>
      </x:c>
      <x:c r="V273" s="3" t="s">
        <x:v>178</x:v>
      </x:c>
      <x:c r="W273" s="3" t="s">
        <x:v>355</x:v>
      </x:c>
      <x:c r="X273" s="3" t="s">
        <x:v>180</x:v>
      </x:c>
      <x:c r="Y273" s="3" t="s">
        <x:v>356</x:v>
      </x:c>
      <x:c r="Z273" s="3" t="s">
        <x:v>334</x:v>
      </x:c>
      <x:c r="AA273" s="3" t="s">
        <x:v>118</x:v>
      </x:c>
      <x:c r="AB273" s="7" t="n">
        <x:v>46265.7548611111</x:v>
      </x:c>
      <x:c r="AC273" s="7" t="n">
        <x:v>46265.7590277778</x:v>
      </x:c>
      <x:c r="AD273" s="7" t="n">
        <x:v>46265.7604166667</x:v>
      </x:c>
      <x:c r="AE273" s="7" t="n">
        <x:v>46265.7736111111</x:v>
      </x:c>
      <x:c r="AF273" s="7" t="n">
        <x:v>46265.8013888889</x:v>
      </x:c>
      <x:c r="AG273" s="3" t="n">
        <x:v>27</x:v>
      </x:c>
      <x:c r="AH273" s="3" t="n">
        <x:v>32</x:v>
      </x:c>
      <x:c r="AI273" s="3" t="s">
        <x:v>135</x:v>
      </x:c>
      <x:c r="AJ273" s="3" t="s">
        <x:v>135</x:v>
      </x:c>
      <x:c r="AK273" s="3" t="n">
        <x:v>180</x:v>
      </x:c>
      <x:c r="AL273" s="3" t="n">
        <x:v>0</x:v>
      </x:c>
      <x:c r="AM273" s="8" t="n">
        <x:v>0.3278</x:v>
      </x:c>
      <x:c r="AN273" s="3" t="n">
        <x:v>2</x:v>
      </x:c>
      <x:c r="AO273" s="3" t="s">
        <x:v>14</x:v>
      </x:c>
      <x:c r="AP273" s="3" t="s">
        <x:v>573</x:v>
      </x:c>
      <x:c r="AQ273" s="3" t="s">
        <x:v>562</x:v>
      </x:c>
      <x:c r="AR273" s="9" t="n">
        <x:v>611.9</x:v>
      </x:c>
      <x:c r="AS273" s="3" t="s">
        <x:v>121</x:v>
      </x:c>
      <x:c r="AT273" s="7" t="n">
        <x:v>46301.9166666667</x:v>
      </x:c>
    </x:row>
    <x:row r="274" ht="31.299999237060547" hidden="0">
      <x:c r="A274" s="3" t="s">
        <x:v>773</x:v>
      </x:c>
      <x:c r="B274" s="3" t="s">
        <x:v>397</x:v>
      </x:c>
      <x:c r="C274" s="3" t="s">
        <x:v>398</x:v>
      </x:c>
      <x:c r="D274" s="3" t="s">
        <x:v>399</x:v>
      </x:c>
      <x:c r="E274" s="3" t="s">
        <x:v>249</x:v>
      </x:c>
      <x:c r="F274" s="3" t="s">
        <x:v>127</x:v>
      </x:c>
      <x:c r="G274" s="3" t="s">
        <x:v>469</x:v>
      </x:c>
      <x:c r="H274" s="3" t="s">
        <x:v>301</x:v>
      </x:c>
      <x:c r="I274" s="3" t="s">
        <x:v>302</x:v>
      </x:c>
      <x:c r="J274" s="3" t="s">
        <x:v>303</x:v>
      </x:c>
      <x:c r="K274" s="3" t="s">
        <x:v>104</x:v>
      </x:c>
      <x:c r="L274" s="3" t="s">
        <x:v>401</x:v>
      </x:c>
      <x:c r="M274" s="3" t="s">
        <x:v>402</x:v>
      </x:c>
      <x:c r="N274" s="3" t="s">
        <x:v>403</x:v>
      </x:c>
      <x:c r="O274" s="3" t="s">
        <x:v>404</x:v>
      </x:c>
      <x:c r="P274" s="3" t="s">
        <x:v>405</x:v>
      </x:c>
      <x:c r="Q274" s="3" t="s">
        <x:v>406</x:v>
      </x:c>
      <x:c r="R274" s="3" t="s">
        <x:v>110</x:v>
      </x:c>
      <x:c r="S274" s="3" t="s">
        <x:v>111</x:v>
      </x:c>
      <x:c r="T274" s="3" t="s">
        <x:v>111</x:v>
      </x:c>
      <x:c r="U274" s="3" t="s">
        <x:v>112</x:v>
      </x:c>
      <x:c r="V274" s="3" t="s">
        <x:v>113</x:v>
      </x:c>
      <x:c r="W274" s="3" t="s">
        <x:v>114</x:v>
      </x:c>
      <x:c r="X274" s="3" t="s">
        <x:v>115</x:v>
      </x:c>
      <x:c r="Y274" s="3" t="s">
        <x:v>116</x:v>
      </x:c>
      <x:c r="Z274" s="3" t="s">
        <x:v>117</x:v>
      </x:c>
      <x:c r="AA274" s="3" t="s">
        <x:v>118</x:v>
      </x:c>
      <x:c r="AB274" s="7" t="n">
        <x:v>46265.8041666667</x:v>
      </x:c>
      <x:c r="AC274" s="7" t="n">
        <x:v>46265.80625</x:v>
      </x:c>
      <x:c r="AD274" s="7" t="n">
        <x:v>46265.8097222222</x:v>
      </x:c>
      <x:c r="AE274" s="7" t="n">
        <x:v>46265.83125</x:v>
      </x:c>
      <x:c r="AF274" s="7" t="n">
        <x:v>46265.8604166667</x:v>
      </x:c>
      <x:c r="AG274" s="3" t="n">
        <x:v>39</x:v>
      </x:c>
      <x:c r="AH274" s="3" t="n">
        <x:v>39</x:v>
      </x:c>
      <x:c r="AI274" s="3" t="s">
        <x:v>135</x:v>
      </x:c>
      <x:c r="AJ274" s="3" t="s">
        <x:v>135</x:v>
      </x:c>
      <x:c r="AK274" s="3" t="n">
        <x:v>120</x:v>
      </x:c>
      <x:c r="AL274" s="3" t="n">
        <x:v>0</x:v>
      </x:c>
      <x:c r="AM274" s="8" t="n">
        <x:v>0.65</x:v>
      </x:c>
      <x:c r="AN274" s="3" t="n">
        <x:v>2</x:v>
      </x:c>
      <x:c r="AO274" s="3" t="s">
        <x:v>14</x:v>
      </x:c>
      <x:c r="AP274" s="3" t="s">
        <x:v>717</x:v>
      </x:c>
      <x:c r="AQ274" s="3" t="s">
        <x:v>539</x:v>
      </x:c>
      <x:c r="AR274" s="9" t="n">
        <x:v>716.3</x:v>
      </x:c>
      <x:c r="AS274" s="3" t="s">
        <x:v>185</x:v>
      </x:c>
      <x:c r="AT274" s="7" t="n">
        <x:v>46301.9166666667</x:v>
      </x:c>
    </x:row>
    <x:row r="275" ht="31.299999237060547" hidden="0">
      <x:c r="A275" s="3" t="s">
        <x:v>774</x:v>
      </x:c>
      <x:c r="B275" s="3" t="s">
        <x:v>166</x:v>
      </x:c>
      <x:c r="C275" s="3" t="s">
        <x:v>167</x:v>
      </x:c>
      <x:c r="D275" s="3" t="s">
        <x:v>168</x:v>
      </x:c>
      <x:c r="E275" s="3" t="s">
        <x:v>249</x:v>
      </x:c>
      <x:c r="F275" s="3" t="s">
        <x:v>149</x:v>
      </x:c>
      <x:c r="G275" s="3" t="s">
        <x:v>349</x:v>
      </x:c>
      <x:c r="H275" s="3" t="s">
        <x:v>343</x:v>
      </x:c>
      <x:c r="I275" s="3" t="s">
        <x:v>102</x:v>
      </x:c>
      <x:c r="J275" s="3" t="s">
        <x:v>103</x:v>
      </x:c>
      <x:c r="K275" s="3" t="s">
        <x:v>104</x:v>
      </x:c>
      <x:c r="L275" s="3" t="s">
        <x:v>171</x:v>
      </x:c>
      <x:c r="M275" s="3" t="s">
        <x:v>172</x:v>
      </x:c>
      <x:c r="N275" s="3" t="s">
        <x:v>173</x:v>
      </x:c>
      <x:c r="O275" s="3" t="s">
        <x:v>174</x:v>
      </x:c>
      <x:c r="P275" s="3" t="s">
        <x:v>175</x:v>
      </x:c>
      <x:c r="Q275" s="3" t="s">
        <x:v>271</x:v>
      </x:c>
      <x:c r="R275" s="3" t="s">
        <x:v>344</x:v>
      </x:c>
      <x:c r="S275" s="3" t="s">
        <x:v>111</x:v>
      </x:c>
      <x:c r="T275" s="3" t="s">
        <x:v>111</x:v>
      </x:c>
      <x:c r="U275" s="3" t="s">
        <x:v>345</x:v>
      </x:c>
      <x:c r="V275" s="3" t="s">
        <x:v>178</x:v>
      </x:c>
      <x:c r="W275" s="3" t="s">
        <x:v>179</x:v>
      </x:c>
      <x:c r="X275" s="3" t="s">
        <x:v>180</x:v>
      </x:c>
      <x:c r="Y275" s="3" t="s">
        <x:v>414</x:v>
      </x:c>
      <x:c r="Z275" s="3" t="s">
        <x:v>346</x:v>
      </x:c>
      <x:c r="AA275" s="3" t="s">
        <x:v>118</x:v>
      </x:c>
      <x:c r="AB275" s="7" t="n">
        <x:v>46265.8243055556</x:v>
      </x:c>
      <x:c r="AC275" s="7" t="n">
        <x:v>46265.8256944444</x:v>
      </x:c>
      <x:c r="AD275" s="7" t="n">
        <x:v>46265.8291666667</x:v>
      </x:c>
      <x:c r="AE275" s="7" t="n">
        <x:v>46265.8479166667</x:v>
      </x:c>
      <x:c r="AF275" s="7" t="n">
        <x:v>46265.9020833333</x:v>
      </x:c>
      <x:c r="AG275" s="3" t="n">
        <x:v>34</x:v>
      </x:c>
      <x:c r="AH275" s="3" t="n">
        <x:v>71</x:v>
      </x:c>
      <x:c r="AI275" s="3" t="s">
        <x:v>135</x:v>
      </x:c>
      <x:c r="AJ275" s="3" t="s">
        <x:v>135</x:v>
      </x:c>
      <x:c r="AK275" s="3" t="n">
        <x:v>120</x:v>
      </x:c>
      <x:c r="AL275" s="3" t="n">
        <x:v>0</x:v>
      </x:c>
      <x:c r="AM275" s="8" t="n">
        <x:v>0.875</x:v>
      </x:c>
      <x:c r="AN275" s="3" t="n">
        <x:v>2</x:v>
      </x:c>
      <x:c r="AO275" s="3" t="s">
        <x:v>19</x:v>
      </x:c>
      <x:c r="AP275" s="3" t="s">
        <x:v>771</x:v>
      </x:c>
      <x:c r="AQ275" s="3" t="s">
        <x:v>501</x:v>
      </x:c>
      <x:c r="AR275" s="9" t="n">
        <x:v>1304.2</x:v>
      </x:c>
      <x:c r="AS275" s="3" t="s">
        <x:v>185</x:v>
      </x:c>
      <x:c r="AT275" s="7" t="n">
        <x:v>46301.9166666667</x:v>
      </x:c>
    </x:row>
    <x:row r="276" ht="31.299999237060547" hidden="0">
      <x:c r="A276" s="3" t="s">
        <x:v>775</x:v>
      </x:c>
      <x:c r="B276" s="3" t="s">
        <x:v>83</x:v>
      </x:c>
      <x:c r="C276" s="3" t="s">
        <x:v>96</x:v>
      </x:c>
      <x:c r="D276" s="3" t="s">
        <x:v>97</x:v>
      </x:c>
      <x:c r="E276" s="3" t="s">
        <x:v>249</x:v>
      </x:c>
      <x:c r="F276" s="3" t="s">
        <x:v>99</x:v>
      </x:c>
      <x:c r="G276" s="3" t="s">
        <x:v>364</x:v>
      </x:c>
      <x:c r="H276" s="3" t="s">
        <x:v>339</x:v>
      </x:c>
      <x:c r="I276" s="3" t="s">
        <x:v>102</x:v>
      </x:c>
      <x:c r="J276" s="3" t="s">
        <x:v>103</x:v>
      </x:c>
      <x:c r="K276" s="3" t="s">
        <x:v>104</x:v>
      </x:c>
      <x:c r="L276" s="3" t="s">
        <x:v>105</x:v>
      </x:c>
      <x:c r="M276" s="3" t="s">
        <x:v>106</x:v>
      </x:c>
      <x:c r="N276" s="3" t="s">
        <x:v>107</x:v>
      </x:c>
      <x:c r="O276" s="3" t="s">
        <x:v>108</x:v>
      </x:c>
      <x:c r="P276" s="3" t="s">
        <x:v>109</x:v>
      </x:c>
      <x:c r="Q276" s="3" t="s">
        <x:v>250</x:v>
      </x:c>
      <x:c r="R276" s="3" t="s">
        <x:v>196</x:v>
      </x:c>
      <x:c r="S276" s="3" t="s">
        <x:v>111</x:v>
      </x:c>
      <x:c r="T276" s="3" t="s">
        <x:v>111</x:v>
      </x:c>
      <x:c r="U276" s="3" t="s">
        <x:v>197</x:v>
      </x:c>
      <x:c r="V276" s="3" t="s">
        <x:v>198</x:v>
      </x:c>
      <x:c r="W276" s="3" t="s">
        <x:v>365</x:v>
      </x:c>
      <x:c r="X276" s="3" t="s">
        <x:v>366</x:v>
      </x:c>
      <x:c r="Y276" s="3" t="s">
        <x:v>367</x:v>
      </x:c>
      <x:c r="Z276" s="3" t="s">
        <x:v>201</x:v>
      </x:c>
      <x:c r="AA276" s="3" t="s">
        <x:v>368</x:v>
      </x:c>
      <x:c r="AB276" s="7" t="n">
        <x:v>46265.8736111111</x:v>
      </x:c>
      <x:c r="AC276" s="7" t="n">
        <x:v>46265.8756944445</x:v>
      </x:c>
      <x:c r="AD276" s="7" t="n">
        <x:v>46265.8770833333</x:v>
      </x:c>
      <x:c r="AE276" s="7" t="n">
        <x:v>46265.8972222222</x:v>
      </x:c>
      <x:c r="AF276" s="7" t="n">
        <x:v>46265.9138888889</x:v>
      </x:c>
      <x:c r="AG276" s="3" t="n">
        <x:v>34</x:v>
      </x:c>
      <x:c r="AH276" s="3" t="n">
        <x:v>18</x:v>
      </x:c>
      <x:c r="AI276" s="3" t="s">
        <x:v>111</x:v>
      </x:c>
      <x:c r="AJ276" s="3" t="s">
        <x:v>111</x:v>
      </x:c>
      <x:c r="AK276" s="3" t="n">
        <x:v>60</x:v>
      </x:c>
      <x:c r="AL276" s="3" t="n">
        <x:v>0</x:v>
      </x:c>
      <x:c r="AM276" s="8" t="n">
        <x:v>0.8667</x:v>
      </x:c>
      <x:c r="AN276" s="3" t="n">
        <x:v>2</x:v>
      </x:c>
      <x:c r="AO276" s="3" t="s">
        <x:v>19</x:v>
      </x:c>
      <x:c r="AP276" s="3" t="s">
        <x:v>776</x:v>
      </x:c>
      <x:c r="AQ276" s="3" t="s">
        <x:v>562</x:v>
      </x:c>
      <x:c r="AR276" s="9" t="n">
        <x:v>862.6</x:v>
      </x:c>
      <x:c r="AS276" s="3" t="s">
        <x:v>185</x:v>
      </x:c>
      <x:c r="AT276" s="7" t="n">
        <x:v>46301.9166666667</x:v>
      </x:c>
    </x:row>
    <x:row r="277" ht="31.299999237060547" hidden="0">
      <x:c r="A277" s="3" t="s">
        <x:v>777</x:v>
      </x:c>
      <x:c r="B277" s="3" t="s">
        <x:v>297</x:v>
      </x:c>
      <x:c r="C277" s="3" t="s">
        <x:v>298</x:v>
      </x:c>
      <x:c r="D277" s="3" t="s">
        <x:v>299</x:v>
      </x:c>
      <x:c r="E277" s="3" t="s">
        <x:v>249</x:v>
      </x:c>
      <x:c r="F277" s="3" t="s">
        <x:v>149</x:v>
      </x:c>
      <x:c r="G277" s="3" t="s">
        <x:v>324</x:v>
      </x:c>
      <x:c r="H277" s="3" t="s">
        <x:v>301</x:v>
      </x:c>
      <x:c r="I277" s="3" t="s">
        <x:v>302</x:v>
      </x:c>
      <x:c r="J277" s="3" t="s">
        <x:v>303</x:v>
      </x:c>
      <x:c r="K277" s="3" t="s">
        <x:v>104</x:v>
      </x:c>
      <x:c r="L277" s="3" t="s">
        <x:v>304</x:v>
      </x:c>
      <x:c r="M277" s="3" t="s">
        <x:v>305</x:v>
      </x:c>
      <x:c r="N277" s="3" t="s">
        <x:v>306</x:v>
      </x:c>
      <x:c r="O277" s="3" t="s">
        <x:v>307</x:v>
      </x:c>
      <x:c r="P277" s="3" t="s">
        <x:v>308</x:v>
      </x:c>
      <x:c r="Q277" s="3" t="s">
        <x:v>309</x:v>
      </x:c>
      <x:c r="R277" s="3" t="s">
        <x:v>330</x:v>
      </x:c>
      <x:c r="S277" s="3" t="s">
        <x:v>135</x:v>
      </x:c>
      <x:c r="T277" s="3" t="s">
        <x:v>111</x:v>
      </x:c>
      <x:c r="U277" s="3" t="s">
        <x:v>331</x:v>
      </x:c>
      <x:c r="V277" s="3" t="s">
        <x:v>178</x:v>
      </x:c>
      <x:c r="W277" s="3" t="s">
        <x:v>332</x:v>
      </x:c>
      <x:c r="X277" s="3" t="s">
        <x:v>180</x:v>
      </x:c>
      <x:c r="Y277" s="3" t="s">
        <x:v>333</x:v>
      </x:c>
      <x:c r="Z277" s="3" t="s">
        <x:v>334</x:v>
      </x:c>
      <x:c r="AA277" s="3" t="s">
        <x:v>118</x:v>
      </x:c>
      <x:c r="AB277" s="7" t="n">
        <x:v>46266.2951388889</x:v>
      </x:c>
      <x:c r="AC277" s="7" t="n">
        <x:v>46266.2979166667</x:v>
      </x:c>
      <x:c r="AD277" s="7" t="n">
        <x:v>46266.2993055556</x:v>
      </x:c>
      <x:c r="AE277" s="7" t="n">
        <x:v>46266.3236111111</x:v>
      </x:c>
      <x:c r="AF277" s="7" t="n">
        <x:v>46266.3951388889</x:v>
      </x:c>
      <x:c r="AG277" s="3" t="n">
        <x:v>41</x:v>
      </x:c>
      <x:c r="AH277" s="3" t="n">
        <x:v>97</x:v>
      </x:c>
      <x:c r="AI277" s="3" t="s">
        <x:v>135</x:v>
      </x:c>
      <x:c r="AJ277" s="3" t="s">
        <x:v>111</x:v>
      </x:c>
      <x:c r="AK277" s="3" t="n">
        <x:v>180</x:v>
      </x:c>
      <x:c r="AL277" s="3" t="n">
        <x:v>0</x:v>
      </x:c>
      <x:c r="AM277" s="8" t="n">
        <x:v>0.7667</x:v>
      </x:c>
      <x:c r="AN277" s="3" t="n">
        <x:v>1</x:v>
      </x:c>
      <x:c r="AO277" s="3" t="s">
        <x:v>14</x:v>
      </x:c>
      <x:c r="AP277" s="3" t="s">
        <x:v>664</x:v>
      </x:c>
      <x:c r="AQ277" s="3" t="s">
        <x:v>603</x:v>
      </x:c>
      <x:c r="AR277" s="9" t="n">
        <x:v>1522.9</x:v>
      </x:c>
      <x:c r="AS277" s="3" t="s">
        <x:v>185</x:v>
      </x:c>
      <x:c r="AT277" s="7" t="n">
        <x:v>46301.9166666667</x:v>
      </x:c>
    </x:row>
    <x:row r="278" ht="31.299999237060547" hidden="0">
      <x:c r="A278" s="3" t="s">
        <x:v>778</x:v>
      </x:c>
      <x:c r="B278" s="3" t="s">
        <x:v>166</x:v>
      </x:c>
      <x:c r="C278" s="3" t="s">
        <x:v>167</x:v>
      </x:c>
      <x:c r="D278" s="3" t="s">
        <x:v>168</x:v>
      </x:c>
      <x:c r="E278" s="3" t="s">
        <x:v>249</x:v>
      </x:c>
      <x:c r="F278" s="3" t="s">
        <x:v>127</x:v>
      </x:c>
      <x:c r="G278" s="3" t="s">
        <x:v>390</x:v>
      </x:c>
      <x:c r="H278" s="3" t="s">
        <x:v>301</x:v>
      </x:c>
      <x:c r="I278" s="3" t="s">
        <x:v>302</x:v>
      </x:c>
      <x:c r="J278" s="3" t="s">
        <x:v>303</x:v>
      </x:c>
      <x:c r="K278" s="3" t="s">
        <x:v>104</x:v>
      </x:c>
      <x:c r="L278" s="3" t="s">
        <x:v>171</x:v>
      </x:c>
      <x:c r="M278" s="3" t="s">
        <x:v>172</x:v>
      </x:c>
      <x:c r="N278" s="3" t="s">
        <x:v>173</x:v>
      </x:c>
      <x:c r="O278" s="3" t="s">
        <x:v>174</x:v>
      </x:c>
      <x:c r="P278" s="3" t="s">
        <x:v>175</x:v>
      </x:c>
      <x:c r="Q278" s="3" t="s">
        <x:v>271</x:v>
      </x:c>
      <x:c r="R278" s="3" t="s">
        <x:v>391</x:v>
      </x:c>
      <x:c r="S278" s="3" t="s">
        <x:v>135</x:v>
      </x:c>
      <x:c r="T278" s="3" t="s">
        <x:v>135</x:v>
      </x:c>
      <x:c r="U278" s="3" t="s">
        <x:v>392</x:v>
      </x:c>
      <x:c r="V278" s="3" t="s">
        <x:v>312</x:v>
      </x:c>
      <x:c r="W278" s="3" t="s">
        <x:v>351</x:v>
      </x:c>
      <x:c r="X278" s="3" t="s">
        <x:v>314</x:v>
      </x:c>
      <x:c r="Y278" s="3" t="s">
        <x:v>352</x:v>
      </x:c>
      <x:c r="Z278" s="3" t="s">
        <x:v>393</x:v>
      </x:c>
      <x:c r="AA278" s="3" t="s">
        <x:v>394</x:v>
      </x:c>
      <x:c r="AB278" s="7" t="n">
        <x:v>46266.3076388889</x:v>
      </x:c>
      <x:c r="AC278" s="7" t="n">
        <x:v>46266.3104166667</x:v>
      </x:c>
      <x:c r="AD278" s="7" t="n">
        <x:v>46266.3166666667</x:v>
      </x:c>
      <x:c r="AE278" s="7" t="n">
        <x:v>46266.3229166667</x:v>
      </x:c>
      <x:c r="AF278" s="7" t="n">
        <x:v>46266.3569444444</x:v>
      </x:c>
      <x:c r="AG278" s="3" t="n">
        <x:v>22</x:v>
      </x:c>
      <x:c r="AH278" s="3" t="n">
        <x:v>40</x:v>
      </x:c>
      <x:c r="AI278" s="3" t="s">
        <x:v>135</x:v>
      </x:c>
      <x:c r="AJ278" s="3" t="s">
        <x:v>135</x:v>
      </x:c>
      <x:c r="AK278" s="3" t="n">
        <x:v>180</x:v>
      </x:c>
      <x:c r="AL278" s="3" t="n">
        <x:v>0</x:v>
      </x:c>
      <x:c r="AM278" s="8" t="n">
        <x:v>0.3444</x:v>
      </x:c>
      <x:c r="AN278" s="3" t="n">
        <x:v>2</x:v>
      </x:c>
      <x:c r="AO278" s="3" t="s">
        <x:v>14</x:v>
      </x:c>
      <x:c r="AP278" s="3" t="s">
        <x:v>573</x:v>
      </x:c>
      <x:c r="AQ278" s="3" t="s">
        <x:v>501</x:v>
      </x:c>
      <x:c r="AR278" s="9" t="n">
        <x:v>1027</x:v>
      </x:c>
      <x:c r="AS278" s="3" t="s">
        <x:v>121</x:v>
      </x:c>
      <x:c r="AT278" s="7" t="n">
        <x:v>46301.9166666667</x:v>
      </x:c>
    </x:row>
    <x:row r="279" ht="31.299999237060547" hidden="0">
      <x:c r="A279" s="3" t="s">
        <x:v>779</x:v>
      </x:c>
      <x:c r="B279" s="3" t="s">
        <x:v>123</x:v>
      </x:c>
      <x:c r="C279" s="3" t="s">
        <x:v>124</x:v>
      </x:c>
      <x:c r="D279" s="3" t="s">
        <x:v>125</x:v>
      </x:c>
      <x:c r="E279" s="3" t="s">
        <x:v>249</x:v>
      </x:c>
      <x:c r="F279" s="3" t="s">
        <x:v>169</x:v>
      </x:c>
      <x:c r="G279" s="3" t="s">
        <x:v>359</x:v>
      </x:c>
      <x:c r="H279" s="3" t="s">
        <x:v>101</x:v>
      </x:c>
      <x:c r="I279" s="3" t="s">
        <x:v>102</x:v>
      </x:c>
      <x:c r="J279" s="3" t="s">
        <x:v>103</x:v>
      </x:c>
      <x:c r="K279" s="3" t="s">
        <x:v>104</x:v>
      </x:c>
      <x:c r="L279" s="3" t="s">
        <x:v>129</x:v>
      </x:c>
      <x:c r="M279" s="3" t="s">
        <x:v>130</x:v>
      </x:c>
      <x:c r="N279" s="3" t="s">
        <x:v>131</x:v>
      </x:c>
      <x:c r="O279" s="3" t="s">
        <x:v>132</x:v>
      </x:c>
      <x:c r="P279" s="3" t="s">
        <x:v>133</x:v>
      </x:c>
      <x:c r="Q279" s="3" t="s">
        <x:v>268</x:v>
      </x:c>
      <x:c r="R279" s="3" t="s">
        <x:v>156</x:v>
      </x:c>
      <x:c r="S279" s="3" t="s">
        <x:v>135</x:v>
      </x:c>
      <x:c r="T279" s="3" t="s">
        <x:v>111</x:v>
      </x:c>
      <x:c r="U279" s="3" t="s">
        <x:v>157</x:v>
      </x:c>
      <x:c r="V279" s="3" t="s">
        <x:v>158</x:v>
      </x:c>
      <x:c r="W279" s="3" t="s">
        <x:v>159</x:v>
      </x:c>
      <x:c r="X279" s="3" t="s">
        <x:v>160</x:v>
      </x:c>
      <x:c r="Y279" s="3" t="s">
        <x:v>360</x:v>
      </x:c>
      <x:c r="Z279" s="3" t="s">
        <x:v>162</x:v>
      </x:c>
      <x:c r="AA279" s="3" t="s">
        <x:v>118</x:v>
      </x:c>
      <x:c r="AB279" s="7" t="n">
        <x:v>46266.3159722222</x:v>
      </x:c>
      <x:c r="AC279" s="7" t="n">
        <x:v>46266.31875</x:v>
      </x:c>
      <x:c r="AD279" s="7" t="n">
        <x:v>46266.3243055556</x:v>
      </x:c>
      <x:c r="AE279" s="7" t="n">
        <x:v>46266.3465277778</x:v>
      </x:c>
      <x:c r="AF279" s="7" t="n">
        <x:v>46266.3875</x:v>
      </x:c>
      <x:c r="AG279" s="3" t="n">
        <x:v>44</x:v>
      </x:c>
      <x:c r="AH279" s="3" t="n">
        <x:v>56</x:v>
      </x:c>
      <x:c r="AI279" s="3" t="s">
        <x:v>135</x:v>
      </x:c>
      <x:c r="AJ279" s="3" t="s">
        <x:v>135</x:v>
      </x:c>
      <x:c r="AK279" s="3" t="n">
        <x:v>180</x:v>
      </x:c>
      <x:c r="AL279" s="3" t="n">
        <x:v>0</x:v>
      </x:c>
      <x:c r="AM279" s="8" t="n">
        <x:v>0.5556</x:v>
      </x:c>
      <x:c r="AN279" s="3" t="n">
        <x:v>1</x:v>
      </x:c>
      <x:c r="AO279" s="3" t="s">
        <x:v>9</x:v>
      </x:c>
      <x:c r="AP279" s="3" t="s">
        <x:v>500</x:v>
      </x:c>
      <x:c r="AQ279" s="3" t="s">
        <x:v>472</x:v>
      </x:c>
      <x:c r="AR279" s="9" t="n">
        <x:v>861.2</x:v>
      </x:c>
      <x:c r="AS279" s="3" t="s">
        <x:v>185</x:v>
      </x:c>
      <x:c r="AT279" s="7" t="n">
        <x:v>46301.9166666667</x:v>
      </x:c>
    </x:row>
    <x:row r="280" ht="31.299999237060547" hidden="0">
      <x:c r="A280" s="3" t="s">
        <x:v>780</x:v>
      </x:c>
      <x:c r="B280" s="3" t="s">
        <x:v>433</x:v>
      </x:c>
      <x:c r="C280" s="3" t="s">
        <x:v>434</x:v>
      </x:c>
      <x:c r="D280" s="3" t="s">
        <x:v>435</x:v>
      </x:c>
      <x:c r="E280" s="3" t="s">
        <x:v>249</x:v>
      </x:c>
      <x:c r="F280" s="3" t="s">
        <x:v>149</x:v>
      </x:c>
      <x:c r="G280" s="3" t="s">
        <x:v>390</x:v>
      </x:c>
      <x:c r="H280" s="3" t="s">
        <x:v>301</x:v>
      </x:c>
      <x:c r="I280" s="3" t="s">
        <x:v>302</x:v>
      </x:c>
      <x:c r="J280" s="3" t="s">
        <x:v>303</x:v>
      </x:c>
      <x:c r="K280" s="3" t="s">
        <x:v>104</x:v>
      </x:c>
      <x:c r="L280" s="3" t="s">
        <x:v>437</x:v>
      </x:c>
      <x:c r="M280" s="3" t="s">
        <x:v>106</x:v>
      </x:c>
      <x:c r="N280" s="3" t="s">
        <x:v>438</x:v>
      </x:c>
      <x:c r="O280" s="3" t="s">
        <x:v>439</x:v>
      </x:c>
      <x:c r="P280" s="3" t="s">
        <x:v>440</x:v>
      </x:c>
      <x:c r="Q280" s="3" t="s">
        <x:v>441</x:v>
      </x:c>
      <x:c r="R280" s="3" t="s">
        <x:v>391</x:v>
      </x:c>
      <x:c r="S280" s="3" t="s">
        <x:v>135</x:v>
      </x:c>
      <x:c r="T280" s="3" t="s">
        <x:v>135</x:v>
      </x:c>
      <x:c r="U280" s="3" t="s">
        <x:v>392</x:v>
      </x:c>
      <x:c r="V280" s="3" t="s">
        <x:v>312</x:v>
      </x:c>
      <x:c r="W280" s="3" t="s">
        <x:v>351</x:v>
      </x:c>
      <x:c r="X280" s="3" t="s">
        <x:v>314</x:v>
      </x:c>
      <x:c r="Y280" s="3" t="s">
        <x:v>352</x:v>
      </x:c>
      <x:c r="Z280" s="3" t="s">
        <x:v>393</x:v>
      </x:c>
      <x:c r="AA280" s="3" t="s">
        <x:v>394</x:v>
      </x:c>
      <x:c r="AB280" s="7" t="n">
        <x:v>46266.34375</x:v>
      </x:c>
      <x:c r="AC280" s="7" t="n">
        <x:v>46266.3458333333</x:v>
      </x:c>
      <x:c r="AD280" s="7" t="n">
        <x:v>46266.3472222222</x:v>
      </x:c>
      <x:c r="AE280" s="7" t="n">
        <x:v>46266.3715277778</x:v>
      </x:c>
      <x:c r="AF280" s="7" t="n">
        <x:v>46266.4055555556</x:v>
      </x:c>
      <x:c r="AG280" s="3" t="n">
        <x:v>40</x:v>
      </x:c>
      <x:c r="AH280" s="3" t="n">
        <x:v>46</x:v>
      </x:c>
      <x:c r="AI280" s="3" t="s">
        <x:v>135</x:v>
      </x:c>
      <x:c r="AJ280" s="3" t="s">
        <x:v>135</x:v>
      </x:c>
      <x:c r="AK280" s="3" t="n">
        <x:v>180</x:v>
      </x:c>
      <x:c r="AL280" s="3" t="n">
        <x:v>0</x:v>
      </x:c>
      <x:c r="AM280" s="8" t="n">
        <x:v>0.4778</x:v>
      </x:c>
      <x:c r="AN280" s="3" t="n">
        <x:v>1</x:v>
      </x:c>
      <x:c r="AO280" s="3" t="s">
        <x:v>9</x:v>
      </x:c>
      <x:c r="AP280" s="3" t="s">
        <x:v>500</x:v>
      </x:c>
      <x:c r="AQ280" s="3" t="s">
        <x:v>562</x:v>
      </x:c>
      <x:c r="AR280" s="9" t="n">
        <x:v>771.2</x:v>
      </x:c>
      <x:c r="AS280" s="3" t="s">
        <x:v>144</x:v>
      </x:c>
      <x:c r="AT280" s="7" t="n">
        <x:v>46301.9166666667</x:v>
      </x:c>
    </x:row>
    <x:row r="281" ht="31.299999237060547" hidden="0">
      <x:c r="A281" s="3" t="s">
        <x:v>781</x:v>
      </x:c>
      <x:c r="B281" s="3" t="s">
        <x:v>205</x:v>
      </x:c>
      <x:c r="C281" s="3" t="s">
        <x:v>206</x:v>
      </x:c>
      <x:c r="D281" s="3" t="s">
        <x:v>207</x:v>
      </x:c>
      <x:c r="E281" s="3" t="s">
        <x:v>249</x:v>
      </x:c>
      <x:c r="F281" s="3" t="s">
        <x:v>99</x:v>
      </x:c>
      <x:c r="G281" s="3" t="s">
        <x:v>372</x:v>
      </x:c>
      <x:c r="H281" s="3" t="s">
        <x:v>101</x:v>
      </x:c>
      <x:c r="I281" s="3" t="s">
        <x:v>102</x:v>
      </x:c>
      <x:c r="J281" s="3" t="s">
        <x:v>103</x:v>
      </x:c>
      <x:c r="K281" s="3" t="s">
        <x:v>104</x:v>
      </x:c>
      <x:c r="L281" s="3" t="s">
        <x:v>209</x:v>
      </x:c>
      <x:c r="M281" s="3" t="s">
        <x:v>210</x:v>
      </x:c>
      <x:c r="N281" s="3" t="s">
        <x:v>211</x:v>
      </x:c>
      <x:c r="O281" s="3" t="s">
        <x:v>212</x:v>
      </x:c>
      <x:c r="P281" s="3" t="s">
        <x:v>213</x:v>
      </x:c>
      <x:c r="Q281" s="3" t="s">
        <x:v>254</x:v>
      </x:c>
      <x:c r="R281" s="3" t="s">
        <x:v>373</x:v>
      </x:c>
      <x:c r="S281" s="3" t="s">
        <x:v>135</x:v>
      </x:c>
      <x:c r="T281" s="3" t="s">
        <x:v>111</x:v>
      </x:c>
      <x:c r="U281" s="3" t="s">
        <x:v>374</x:v>
      </x:c>
      <x:c r="V281" s="3" t="s">
        <x:v>178</x:v>
      </x:c>
      <x:c r="W281" s="3" t="s">
        <x:v>179</x:v>
      </x:c>
      <x:c r="X281" s="3" t="s">
        <x:v>180</x:v>
      </x:c>
      <x:c r="Y281" s="3" t="s">
        <x:v>414</x:v>
      </x:c>
      <x:c r="Z281" s="3" t="s">
        <x:v>375</x:v>
      </x:c>
      <x:c r="AA281" s="3" t="s">
        <x:v>118</x:v>
      </x:c>
      <x:c r="AB281" s="7" t="n">
        <x:v>46266.375</x:v>
      </x:c>
      <x:c r="AC281" s="7" t="n">
        <x:v>46266.3777777778</x:v>
      </x:c>
      <x:c r="AD281" s="7" t="n">
        <x:v>46266.3791666667</x:v>
      </x:c>
      <x:c r="AE281" s="7" t="n">
        <x:v>46266.3972222222</x:v>
      </x:c>
      <x:c r="AF281" s="7" t="n">
        <x:v>46266.4243055556</x:v>
      </x:c>
      <x:c r="AG281" s="3" t="n">
        <x:v>32</x:v>
      </x:c>
      <x:c r="AH281" s="3" t="n">
        <x:v>32</x:v>
      </x:c>
      <x:c r="AI281" s="3" t="s">
        <x:v>135</x:v>
      </x:c>
      <x:c r="AJ281" s="3" t="s">
        <x:v>135</x:v>
      </x:c>
      <x:c r="AK281" s="3" t="n">
        <x:v>180</x:v>
      </x:c>
      <x:c r="AL281" s="3" t="n">
        <x:v>0</x:v>
      </x:c>
      <x:c r="AM281" s="8" t="n">
        <x:v>0.3556</x:v>
      </x:c>
      <x:c r="AN281" s="3" t="n">
        <x:v>1</x:v>
      </x:c>
      <x:c r="AO281" s="3" t="s">
        <x:v>9</x:v>
      </x:c>
      <x:c r="AP281" s="3" t="s">
        <x:v>500</x:v>
      </x:c>
      <x:c r="AQ281" s="3" t="s">
        <x:v>697</x:v>
      </x:c>
      <x:c r="AR281" s="9" t="n">
        <x:v>634.4</x:v>
      </x:c>
      <x:c r="AS281" s="3" t="s">
        <x:v>144</x:v>
      </x:c>
      <x:c r="AT281" s="7" t="n">
        <x:v>46301.9166666667</x:v>
      </x:c>
    </x:row>
    <x:row r="282" ht="31.299999237060547" hidden="0">
      <x:c r="A282" s="3" t="s">
        <x:v>782</x:v>
      </x:c>
      <x:c r="B282" s="3" t="s">
        <x:v>166</x:v>
      </x:c>
      <x:c r="C282" s="3" t="s">
        <x:v>167</x:v>
      </x:c>
      <x:c r="D282" s="3" t="s">
        <x:v>168</x:v>
      </x:c>
      <x:c r="E282" s="3" t="s">
        <x:v>249</x:v>
      </x:c>
      <x:c r="F282" s="3" t="s">
        <x:v>149</x:v>
      </x:c>
      <x:c r="G282" s="3" t="s">
        <x:v>324</x:v>
      </x:c>
      <x:c r="H282" s="3" t="s">
        <x:v>301</x:v>
      </x:c>
      <x:c r="I282" s="3" t="s">
        <x:v>302</x:v>
      </x:c>
      <x:c r="J282" s="3" t="s">
        <x:v>303</x:v>
      </x:c>
      <x:c r="K282" s="3" t="s">
        <x:v>104</x:v>
      </x:c>
      <x:c r="L282" s="3" t="s">
        <x:v>171</x:v>
      </x:c>
      <x:c r="M282" s="3" t="s">
        <x:v>172</x:v>
      </x:c>
      <x:c r="N282" s="3" t="s">
        <x:v>173</x:v>
      </x:c>
      <x:c r="O282" s="3" t="s">
        <x:v>174</x:v>
      </x:c>
      <x:c r="P282" s="3" t="s">
        <x:v>175</x:v>
      </x:c>
      <x:c r="Q282" s="3" t="s">
        <x:v>271</x:v>
      </x:c>
      <x:c r="R282" s="3" t="s">
        <x:v>330</x:v>
      </x:c>
      <x:c r="S282" s="3" t="s">
        <x:v>135</x:v>
      </x:c>
      <x:c r="T282" s="3" t="s">
        <x:v>111</x:v>
      </x:c>
      <x:c r="U282" s="3" t="s">
        <x:v>331</x:v>
      </x:c>
      <x:c r="V282" s="3" t="s">
        <x:v>178</x:v>
      </x:c>
      <x:c r="W282" s="3" t="s">
        <x:v>355</x:v>
      </x:c>
      <x:c r="X282" s="3" t="s">
        <x:v>180</x:v>
      </x:c>
      <x:c r="Y282" s="3" t="s">
        <x:v>356</x:v>
      </x:c>
      <x:c r="Z282" s="3" t="s">
        <x:v>334</x:v>
      </x:c>
      <x:c r="AA282" s="3" t="s">
        <x:v>118</x:v>
      </x:c>
      <x:c r="AB282" s="7" t="n">
        <x:v>46266.4416666667</x:v>
      </x:c>
      <x:c r="AC282" s="7" t="n">
        <x:v>46266.4430555556</x:v>
      </x:c>
      <x:c r="AD282" s="7" t="n">
        <x:v>46266.4444444444</x:v>
      </x:c>
      <x:c r="AE282" s="7" t="n">
        <x:v>46266.4645833333</x:v>
      </x:c>
      <x:c r="AF282" s="7" t="n">
        <x:v>46266.5159722222</x:v>
      </x:c>
      <x:c r="AG282" s="3" t="n">
        <x:v>33</x:v>
      </x:c>
      <x:c r="AH282" s="3" t="n">
        <x:v>64</x:v>
      </x:c>
      <x:c r="AI282" s="3" t="s">
        <x:v>135</x:v>
      </x:c>
      <x:c r="AJ282" s="3" t="s">
        <x:v>135</x:v>
      </x:c>
      <x:c r="AK282" s="3" t="n">
        <x:v>180</x:v>
      </x:c>
      <x:c r="AL282" s="3" t="n">
        <x:v>0</x:v>
      </x:c>
      <x:c r="AM282" s="8" t="n">
        <x:v>0.5389</x:v>
      </x:c>
      <x:c r="AN282" s="3" t="n">
        <x:v>3</x:v>
      </x:c>
      <x:c r="AO282" s="3" t="s">
        <x:v>14</x:v>
      </x:c>
      <x:c r="AP282" s="3" t="s">
        <x:v>183</x:v>
      </x:c>
      <x:c r="AQ282" s="3" t="s">
        <x:v>783</x:v>
      </x:c>
      <x:c r="AR282" s="9" t="n">
        <x:v>1499.3</x:v>
      </x:c>
      <x:c r="AS282" s="3" t="s">
        <x:v>185</x:v>
      </x:c>
      <x:c r="AT282" s="7" t="n">
        <x:v>46301.9166666667</x:v>
      </x:c>
    </x:row>
    <x:row r="283" ht="31.299999237060547" hidden="0">
      <x:c r="A283" s="3" t="s">
        <x:v>784</x:v>
      </x:c>
      <x:c r="B283" s="3" t="s">
        <x:v>187</x:v>
      </x:c>
      <x:c r="C283" s="3" t="s">
        <x:v>188</x:v>
      </x:c>
      <x:c r="D283" s="3" t="s">
        <x:v>189</x:v>
      </x:c>
      <x:c r="E283" s="3" t="s">
        <x:v>249</x:v>
      </x:c>
      <x:c r="F283" s="3" t="s">
        <x:v>99</x:v>
      </x:c>
      <x:c r="G283" s="3" t="s">
        <x:v>491</x:v>
      </x:c>
      <x:c r="H283" s="3" t="s">
        <x:v>101</x:v>
      </x:c>
      <x:c r="I283" s="3" t="s">
        <x:v>102</x:v>
      </x:c>
      <x:c r="J283" s="3" t="s">
        <x:v>103</x:v>
      </x:c>
      <x:c r="K283" s="3" t="s">
        <x:v>104</x:v>
      </x:c>
      <x:c r="L283" s="3" t="s">
        <x:v>191</x:v>
      </x:c>
      <x:c r="M283" s="3" t="s">
        <x:v>192</x:v>
      </x:c>
      <x:c r="N283" s="3" t="s">
        <x:v>193</x:v>
      </x:c>
      <x:c r="O283" s="3" t="s">
        <x:v>194</x:v>
      </x:c>
      <x:c r="P283" s="3" t="s">
        <x:v>195</x:v>
      </x:c>
      <x:c r="Q283" s="3" t="s">
        <x:v>273</x:v>
      </x:c>
      <x:c r="R283" s="3" t="s">
        <x:v>373</x:v>
      </x:c>
      <x:c r="S283" s="3" t="s">
        <x:v>135</x:v>
      </x:c>
      <x:c r="T283" s="3" t="s">
        <x:v>111</x:v>
      </x:c>
      <x:c r="U283" s="3" t="s">
        <x:v>374</x:v>
      </x:c>
      <x:c r="V283" s="3" t="s">
        <x:v>178</x:v>
      </x:c>
      <x:c r="W283" s="3" t="s">
        <x:v>355</x:v>
      </x:c>
      <x:c r="X283" s="3" t="s">
        <x:v>180</x:v>
      </x:c>
      <x:c r="Y283" s="3" t="s">
        <x:v>356</x:v>
      </x:c>
      <x:c r="Z283" s="3" t="s">
        <x:v>375</x:v>
      </x:c>
      <x:c r="AA283" s="3" t="s">
        <x:v>118</x:v>
      </x:c>
      <x:c r="AB283" s="7" t="n">
        <x:v>46266.5479166667</x:v>
      </x:c>
      <x:c r="AC283" s="7" t="n">
        <x:v>46266.5520833333</x:v>
      </x:c>
      <x:c r="AD283" s="7" t="n">
        <x:v>46266.5569444444</x:v>
      </x:c>
      <x:c r="AE283" s="7" t="n">
        <x:v>46266.5729166667</x:v>
      </x:c>
      <x:c r="AF283" s="7" t="n">
        <x:v>46266.6222222222</x:v>
      </x:c>
      <x:c r="AG283" s="3" t="n">
        <x:v>36</x:v>
      </x:c>
      <x:c r="AH283" s="3" t="n">
        <x:v>68</x:v>
      </x:c>
      <x:c r="AI283" s="3" t="s">
        <x:v>135</x:v>
      </x:c>
      <x:c r="AJ283" s="3" t="s">
        <x:v>111</x:v>
      </x:c>
      <x:c r="AK283" s="3" t="n">
        <x:v>150</x:v>
      </x:c>
      <x:c r="AL283" s="3" t="n">
        <x:v>0</x:v>
      </x:c>
      <x:c r="AM283" s="8" t="n">
        <x:v>0.6933</x:v>
      </x:c>
      <x:c r="AN283" s="3" t="n">
        <x:v>1</x:v>
      </x:c>
      <x:c r="AO283" s="3" t="s">
        <x:v>14</x:v>
      </x:c>
      <x:c r="AP283" s="3" t="s">
        <x:v>664</x:v>
      </x:c>
      <x:c r="AQ283" s="3" t="s">
        <x:v>689</x:v>
      </x:c>
      <x:c r="AR283" s="9" t="n">
        <x:v>1291.6</x:v>
      </x:c>
      <x:c r="AS283" s="3" t="s">
        <x:v>121</x:v>
      </x:c>
      <x:c r="AT283" s="7" t="n">
        <x:v>46301.9166666667</x:v>
      </x:c>
    </x:row>
    <x:row r="284" ht="31.299999237060547" hidden="0">
      <x:c r="A284" s="3" t="s">
        <x:v>785</x:v>
      </x:c>
      <x:c r="B284" s="3" t="s">
        <x:v>83</x:v>
      </x:c>
      <x:c r="C284" s="3" t="s">
        <x:v>96</x:v>
      </x:c>
      <x:c r="D284" s="3" t="s">
        <x:v>97</x:v>
      </x:c>
      <x:c r="E284" s="3" t="s">
        <x:v>249</x:v>
      </x:c>
      <x:c r="F284" s="3" t="s">
        <x:v>149</x:v>
      </x:c>
      <x:c r="G284" s="3" t="s">
        <x:v>416</x:v>
      </x:c>
      <x:c r="H284" s="3" t="s">
        <x:v>339</x:v>
      </x:c>
      <x:c r="I284" s="3" t="s">
        <x:v>102</x:v>
      </x:c>
      <x:c r="J284" s="3" t="s">
        <x:v>103</x:v>
      </x:c>
      <x:c r="K284" s="3" t="s">
        <x:v>104</x:v>
      </x:c>
      <x:c r="L284" s="3" t="s">
        <x:v>105</x:v>
      </x:c>
      <x:c r="M284" s="3" t="s">
        <x:v>106</x:v>
      </x:c>
      <x:c r="N284" s="3" t="s">
        <x:v>107</x:v>
      </x:c>
      <x:c r="O284" s="3" t="s">
        <x:v>108</x:v>
      </x:c>
      <x:c r="P284" s="3" t="s">
        <x:v>109</x:v>
      </x:c>
      <x:c r="Q284" s="3" t="s">
        <x:v>250</x:v>
      </x:c>
      <x:c r="R284" s="3" t="s">
        <x:v>373</x:v>
      </x:c>
      <x:c r="S284" s="3" t="s">
        <x:v>135</x:v>
      </x:c>
      <x:c r="T284" s="3" t="s">
        <x:v>111</x:v>
      </x:c>
      <x:c r="U284" s="3" t="s">
        <x:v>374</x:v>
      </x:c>
      <x:c r="V284" s="3" t="s">
        <x:v>178</x:v>
      </x:c>
      <x:c r="W284" s="3" t="s">
        <x:v>332</x:v>
      </x:c>
      <x:c r="X284" s="3" t="s">
        <x:v>180</x:v>
      </x:c>
      <x:c r="Y284" s="3" t="s">
        <x:v>333</x:v>
      </x:c>
      <x:c r="Z284" s="3" t="s">
        <x:v>375</x:v>
      </x:c>
      <x:c r="AA284" s="3" t="s">
        <x:v>118</x:v>
      </x:c>
      <x:c r="AB284" s="7" t="n">
        <x:v>46266.5486111111</x:v>
      </x:c>
      <x:c r="AC284" s="7" t="n">
        <x:v>46266.5520833333</x:v>
      </x:c>
      <x:c r="AD284" s="7" t="n">
        <x:v>46266.5555555556</x:v>
      </x:c>
      <x:c r="AE284" s="7" t="n">
        <x:v>46266.5715277778</x:v>
      </x:c>
      <x:c r="AF284" s="7" t="n">
        <x:v>46266.6034722222</x:v>
      </x:c>
      <x:c r="AG284" s="3" t="n">
        <x:v>33</x:v>
      </x:c>
      <x:c r="AH284" s="3" t="n">
        <x:v>37</x:v>
      </x:c>
      <x:c r="AI284" s="3" t="s">
        <x:v>111</x:v>
      </x:c>
      <x:c r="AJ284" s="3" t="s">
        <x:v>111</x:v>
      </x:c>
      <x:c r="AK284" s="3" t="n">
        <x:v>60</x:v>
      </x:c>
      <x:c r="AL284" s="3" t="n">
        <x:v>0</x:v>
      </x:c>
      <x:c r="AM284" s="8" t="n">
        <x:v>1.1667</x:v>
      </x:c>
      <x:c r="AN284" s="3" t="n">
        <x:v>2</x:v>
      </x:c>
      <x:c r="AO284" s="3" t="s">
        <x:v>24</x:v>
      </x:c>
      <x:c r="AP284" s="3" t="s">
        <x:v>729</x:v>
      </x:c>
      <x:c r="AQ284" s="3" t="s">
        <x:v>562</x:v>
      </x:c>
      <x:c r="AR284" s="9" t="n">
        <x:v>994.9</x:v>
      </x:c>
      <x:c r="AS284" s="3" t="s">
        <x:v>185</x:v>
      </x:c>
      <x:c r="AT284" s="7" t="n">
        <x:v>46301.9166666667</x:v>
      </x:c>
    </x:row>
    <x:row r="285" ht="31.299999237060547" hidden="0">
      <x:c r="A285" s="3" t="s">
        <x:v>786</x:v>
      </x:c>
      <x:c r="B285" s="3" t="s">
        <x:v>222</x:v>
      </x:c>
      <x:c r="C285" s="3" t="s">
        <x:v>223</x:v>
      </x:c>
      <x:c r="D285" s="3" t="s">
        <x:v>224</x:v>
      </x:c>
      <x:c r="E285" s="3" t="s">
        <x:v>249</x:v>
      </x:c>
      <x:c r="F285" s="3" t="s">
        <x:v>127</x:v>
      </x:c>
      <x:c r="G285" s="3" t="s">
        <x:v>461</x:v>
      </x:c>
      <x:c r="H285" s="3" t="s">
        <x:v>101</x:v>
      </x:c>
      <x:c r="I285" s="3" t="s">
        <x:v>102</x:v>
      </x:c>
      <x:c r="J285" s="3" t="s">
        <x:v>103</x:v>
      </x:c>
      <x:c r="K285" s="3" t="s">
        <x:v>104</x:v>
      </x:c>
      <x:c r="L285" s="3" t="s">
        <x:v>226</x:v>
      </x:c>
      <x:c r="M285" s="3" t="s">
        <x:v>227</x:v>
      </x:c>
      <x:c r="N285" s="3" t="s">
        <x:v>228</x:v>
      </x:c>
      <x:c r="O285" s="3" t="s">
        <x:v>229</x:v>
      </x:c>
      <x:c r="P285" s="3" t="s">
        <x:v>230</x:v>
      </x:c>
      <x:c r="Q285" s="3" t="s">
        <x:v>274</x:v>
      </x:c>
      <x:c r="R285" s="3" t="s">
        <x:v>156</x:v>
      </x:c>
      <x:c r="S285" s="3" t="s">
        <x:v>135</x:v>
      </x:c>
      <x:c r="T285" s="3" t="s">
        <x:v>111</x:v>
      </x:c>
      <x:c r="U285" s="3" t="s">
        <x:v>157</x:v>
      </x:c>
      <x:c r="V285" s="3" t="s">
        <x:v>158</x:v>
      </x:c>
      <x:c r="W285" s="3" t="s">
        <x:v>450</x:v>
      </x:c>
      <x:c r="X285" s="3" t="s">
        <x:v>160</x:v>
      </x:c>
      <x:c r="Y285" s="3" t="s">
        <x:v>451</x:v>
      </x:c>
      <x:c r="Z285" s="3" t="s">
        <x:v>162</x:v>
      </x:c>
      <x:c r="AA285" s="3" t="s">
        <x:v>118</x:v>
      </x:c>
      <x:c r="AB285" s="7" t="n">
        <x:v>46266.5590277778</x:v>
      </x:c>
      <x:c r="AC285" s="7" t="n">
        <x:v>46266.5638888889</x:v>
      </x:c>
      <x:c r="AD285" s="7" t="n">
        <x:v>46266.5652777778</x:v>
      </x:c>
      <x:c r="AE285" s="7" t="n">
        <x:v>46266.5840277778</x:v>
      </x:c>
      <x:c r="AF285" s="7" t="n">
        <x:v>46266.63125</x:v>
      </x:c>
      <x:c r="AG285" s="3" t="n">
        <x:v>36</x:v>
      </x:c>
      <x:c r="AH285" s="3" t="n">
        <x:v>63</x:v>
      </x:c>
      <x:c r="AI285" s="3" t="s">
        <x:v>135</x:v>
      </x:c>
      <x:c r="AJ285" s="3" t="s">
        <x:v>135</x:v>
      </x:c>
      <x:c r="AK285" s="3" t="n">
        <x:v>180</x:v>
      </x:c>
      <x:c r="AL285" s="3" t="n">
        <x:v>0</x:v>
      </x:c>
      <x:c r="AM285" s="8" t="n">
        <x:v>0.55</x:v>
      </x:c>
      <x:c r="AN285" s="3" t="n">
        <x:v>0</x:v>
      </x:c>
      <x:c r="AO285" s="3" t="s">
        <x:v>9</x:v>
      </x:c>
      <x:c r="AP285" s="3" t="s">
        <x:v>142</x:v>
      </x:c>
      <x:c r="AQ285" s="3" t="s">
        <x:v>452</x:v>
      </x:c>
      <x:c r="AR285" s="9" t="n">
        <x:v>875.6</x:v>
      </x:c>
      <x:c r="AS285" s="3" t="s">
        <x:v>121</x:v>
      </x:c>
      <x:c r="AT285" s="7" t="n">
        <x:v>46301.9166666667</x:v>
      </x:c>
    </x:row>
    <x:row r="286" ht="31.299999237060547" hidden="0">
      <x:c r="A286" s="3" t="s">
        <x:v>787</x:v>
      </x:c>
      <x:c r="B286" s="3" t="s">
        <x:v>205</x:v>
      </x:c>
      <x:c r="C286" s="3" t="s">
        <x:v>206</x:v>
      </x:c>
      <x:c r="D286" s="3" t="s">
        <x:v>207</x:v>
      </x:c>
      <x:c r="E286" s="3" t="s">
        <x:v>249</x:v>
      </x:c>
      <x:c r="F286" s="3" t="s">
        <x:v>149</x:v>
      </x:c>
      <x:c r="G286" s="3" t="s">
        <x:v>364</x:v>
      </x:c>
      <x:c r="H286" s="3" t="s">
        <x:v>339</x:v>
      </x:c>
      <x:c r="I286" s="3" t="s">
        <x:v>102</x:v>
      </x:c>
      <x:c r="J286" s="3" t="s">
        <x:v>103</x:v>
      </x:c>
      <x:c r="K286" s="3" t="s">
        <x:v>104</x:v>
      </x:c>
      <x:c r="L286" s="3" t="s">
        <x:v>209</x:v>
      </x:c>
      <x:c r="M286" s="3" t="s">
        <x:v>210</x:v>
      </x:c>
      <x:c r="N286" s="3" t="s">
        <x:v>211</x:v>
      </x:c>
      <x:c r="O286" s="3" t="s">
        <x:v>212</x:v>
      </x:c>
      <x:c r="P286" s="3" t="s">
        <x:v>213</x:v>
      </x:c>
      <x:c r="Q286" s="3" t="s">
        <x:v>254</x:v>
      </x:c>
      <x:c r="R286" s="3" t="s">
        <x:v>196</x:v>
      </x:c>
      <x:c r="S286" s="3" t="s">
        <x:v>111</x:v>
      </x:c>
      <x:c r="T286" s="3" t="s">
        <x:v>111</x:v>
      </x:c>
      <x:c r="U286" s="3" t="s">
        <x:v>197</x:v>
      </x:c>
      <x:c r="V286" s="3" t="s">
        <x:v>198</x:v>
      </x:c>
      <x:c r="W286" s="3" t="s">
        <x:v>199</x:v>
      </x:c>
      <x:c r="X286" s="3" t="s">
        <x:v>366</x:v>
      </x:c>
      <x:c r="Y286" s="3" t="s">
        <x:v>527</x:v>
      </x:c>
      <x:c r="Z286" s="3" t="s">
        <x:v>201</x:v>
      </x:c>
      <x:c r="AA286" s="3" t="s">
        <x:v>368</x:v>
      </x:c>
      <x:c r="AB286" s="7" t="n">
        <x:v>46266.6388888889</x:v>
      </x:c>
      <x:c r="AC286" s="7" t="n">
        <x:v>46266.6409722222</x:v>
      </x:c>
      <x:c r="AD286" s="7" t="n">
        <x:v>46266.6430555556</x:v>
      </x:c>
      <x:c r="AE286" s="7" t="n">
        <x:v>46266.6513888889</x:v>
      </x:c>
      <x:c r="AF286" s="7" t="n">
        <x:v>46266.7027777778</x:v>
      </x:c>
      <x:c r="AG286" s="3" t="n">
        <x:v>18</x:v>
      </x:c>
      <x:c r="AH286" s="3" t="n">
        <x:v>66</x:v>
      </x:c>
      <x:c r="AI286" s="3" t="s">
        <x:v>135</x:v>
      </x:c>
      <x:c r="AJ286" s="3" t="s">
        <x:v>135</x:v>
      </x:c>
      <x:c r="AK286" s="3" t="n">
        <x:v>120</x:v>
      </x:c>
      <x:c r="AL286" s="3" t="n">
        <x:v>0</x:v>
      </x:c>
      <x:c r="AM286" s="8" t="n">
        <x:v>0.7</x:v>
      </x:c>
      <x:c r="AN286" s="3" t="n">
        <x:v>1</x:v>
      </x:c>
      <x:c r="AO286" s="3" t="s">
        <x:v>14</x:v>
      </x:c>
      <x:c r="AP286" s="3" t="s">
        <x:v>471</x:v>
      </x:c>
      <x:c r="AQ286" s="3" t="s">
        <x:v>697</x:v>
      </x:c>
      <x:c r="AR286" s="9" t="n">
        <x:v>816.2</x:v>
      </x:c>
      <x:c r="AS286" s="3" t="s">
        <x:v>121</x:v>
      </x:c>
      <x:c r="AT286" s="7" t="n">
        <x:v>46301.9166666667</x:v>
      </x:c>
    </x:row>
    <x:row r="287" ht="31.299999237060547" hidden="0">
      <x:c r="A287" s="3" t="s">
        <x:v>788</x:v>
      </x:c>
      <x:c r="B287" s="3" t="s">
        <x:v>222</x:v>
      </x:c>
      <x:c r="C287" s="3" t="s">
        <x:v>223</x:v>
      </x:c>
      <x:c r="D287" s="3" t="s">
        <x:v>224</x:v>
      </x:c>
      <x:c r="E287" s="3" t="s">
        <x:v>249</x:v>
      </x:c>
      <x:c r="F287" s="3" t="s">
        <x:v>99</x:v>
      </x:c>
      <x:c r="G287" s="3" t="s">
        <x:v>349</x:v>
      </x:c>
      <x:c r="H287" s="3" t="s">
        <x:v>343</x:v>
      </x:c>
      <x:c r="I287" s="3" t="s">
        <x:v>102</x:v>
      </x:c>
      <x:c r="J287" s="3" t="s">
        <x:v>103</x:v>
      </x:c>
      <x:c r="K287" s="3" t="s">
        <x:v>104</x:v>
      </x:c>
      <x:c r="L287" s="3" t="s">
        <x:v>226</x:v>
      </x:c>
      <x:c r="M287" s="3" t="s">
        <x:v>227</x:v>
      </x:c>
      <x:c r="N287" s="3" t="s">
        <x:v>228</x:v>
      </x:c>
      <x:c r="O287" s="3" t="s">
        <x:v>229</x:v>
      </x:c>
      <x:c r="P287" s="3" t="s">
        <x:v>230</x:v>
      </x:c>
      <x:c r="Q287" s="3" t="s">
        <x:v>274</x:v>
      </x:c>
      <x:c r="R287" s="3" t="s">
        <x:v>344</x:v>
      </x:c>
      <x:c r="S287" s="3" t="s">
        <x:v>111</x:v>
      </x:c>
      <x:c r="T287" s="3" t="s">
        <x:v>111</x:v>
      </x:c>
      <x:c r="U287" s="3" t="s">
        <x:v>345</x:v>
      </x:c>
      <x:c r="V287" s="3" t="s">
        <x:v>178</x:v>
      </x:c>
      <x:c r="W287" s="3" t="s">
        <x:v>355</x:v>
      </x:c>
      <x:c r="X287" s="3" t="s">
        <x:v>180</x:v>
      </x:c>
      <x:c r="Y287" s="3" t="s">
        <x:v>356</x:v>
      </x:c>
      <x:c r="Z287" s="3" t="s">
        <x:v>346</x:v>
      </x:c>
      <x:c r="AA287" s="3" t="s">
        <x:v>118</x:v>
      </x:c>
      <x:c r="AB287" s="7" t="n">
        <x:v>46266.7131944444</x:v>
      </x:c>
      <x:c r="AC287" s="7" t="n">
        <x:v>46266.7166666667</x:v>
      </x:c>
      <x:c r="AD287" s="7" t="n">
        <x:v>46266.7194444445</x:v>
      </x:c>
      <x:c r="AE287" s="7" t="n">
        <x:v>46266.7319444444</x:v>
      </x:c>
      <x:c r="AF287" s="7" t="n">
        <x:v>46266.7819444445</x:v>
      </x:c>
      <x:c r="AG287" s="3" t="n">
        <x:v>27</x:v>
      </x:c>
      <x:c r="AH287" s="3" t="n">
        <x:v>64</x:v>
      </x:c>
      <x:c r="AI287" s="3" t="s">
        <x:v>135</x:v>
      </x:c>
      <x:c r="AJ287" s="3" t="s">
        <x:v>135</x:v>
      </x:c>
      <x:c r="AK287" s="3" t="n">
        <x:v>120</x:v>
      </x:c>
      <x:c r="AL287" s="3" t="n">
        <x:v>0</x:v>
      </x:c>
      <x:c r="AM287" s="8" t="n">
        <x:v>0.7583</x:v>
      </x:c>
      <x:c r="AN287" s="3" t="n">
        <x:v>1</x:v>
      </x:c>
      <x:c r="AO287" s="3" t="s">
        <x:v>14</x:v>
      </x:c>
      <x:c r="AP287" s="3" t="s">
        <x:v>471</x:v>
      </x:c>
      <x:c r="AQ287" s="3" t="s">
        <x:v>546</x:v>
      </x:c>
      <x:c r="AR287" s="9" t="n">
        <x:v>842.3</x:v>
      </x:c>
      <x:c r="AS287" s="3" t="s">
        <x:v>185</x:v>
      </x:c>
      <x:c r="AT287" s="7" t="n">
        <x:v>46301.9166666667</x:v>
      </x:c>
    </x:row>
    <x:row r="288" ht="31.299999237060547" hidden="0">
      <x:c r="A288" s="3" t="s">
        <x:v>789</x:v>
      </x:c>
      <x:c r="B288" s="3" t="s">
        <x:v>321</x:v>
      </x:c>
      <x:c r="C288" s="3" t="s">
        <x:v>322</x:v>
      </x:c>
      <x:c r="D288" s="3" t="s">
        <x:v>323</x:v>
      </x:c>
      <x:c r="E288" s="3" t="s">
        <x:v>249</x:v>
      </x:c>
      <x:c r="F288" s="3" t="s">
        <x:v>127</x:v>
      </x:c>
      <x:c r="G288" s="3" t="s">
        <x:v>467</x:v>
      </x:c>
      <x:c r="H288" s="3" t="s">
        <x:v>301</x:v>
      </x:c>
      <x:c r="I288" s="3" t="s">
        <x:v>302</x:v>
      </x:c>
      <x:c r="J288" s="3" t="s">
        <x:v>303</x:v>
      </x:c>
      <x:c r="K288" s="3" t="s">
        <x:v>104</x:v>
      </x:c>
      <x:c r="L288" s="3" t="s">
        <x:v>325</x:v>
      </x:c>
      <x:c r="M288" s="3" t="s">
        <x:v>326</x:v>
      </x:c>
      <x:c r="N288" s="3" t="s">
        <x:v>131</x:v>
      </x:c>
      <x:c r="O288" s="3" t="s">
        <x:v>327</x:v>
      </x:c>
      <x:c r="P288" s="3" t="s">
        <x:v>328</x:v>
      </x:c>
      <x:c r="Q288" s="3" t="s">
        <x:v>329</x:v>
      </x:c>
      <x:c r="R288" s="3" t="s">
        <x:v>214</x:v>
      </x:c>
      <x:c r="S288" s="3" t="s">
        <x:v>135</x:v>
      </x:c>
      <x:c r="T288" s="3" t="s">
        <x:v>111</x:v>
      </x:c>
      <x:c r="U288" s="3" t="s">
        <x:v>215</x:v>
      </x:c>
      <x:c r="V288" s="3" t="s">
        <x:v>216</x:v>
      </x:c>
      <x:c r="W288" s="3" t="s">
        <x:v>429</x:v>
      </x:c>
      <x:c r="X288" s="3" t="s">
        <x:v>430</x:v>
      </x:c>
      <x:c r="Y288" s="3" t="s">
        <x:v>431</x:v>
      </x:c>
      <x:c r="Z288" s="3" t="s">
        <x:v>219</x:v>
      </x:c>
      <x:c r="AA288" s="3" t="s">
        <x:v>118</x:v>
      </x:c>
      <x:c r="AB288" s="7" t="n">
        <x:v>46266.7361111111</x:v>
      </x:c>
      <x:c r="AC288" s="7" t="n">
        <x:v>46266.7409722222</x:v>
      </x:c>
      <x:c r="AD288" s="7" t="n">
        <x:v>46266.7458333333</x:v>
      </x:c>
      <x:c r="AE288" s="7" t="n">
        <x:v>46266.7659722222</x:v>
      </x:c>
      <x:c r="AF288" s="7" t="n">
        <x:v>46266.7923611111</x:v>
      </x:c>
      <x:c r="AG288" s="3" t="n">
        <x:v>43</x:v>
      </x:c>
      <x:c r="AH288" s="3" t="n">
        <x:v>32</x:v>
      </x:c>
      <x:c r="AI288" s="3" t="s">
        <x:v>135</x:v>
      </x:c>
      <x:c r="AJ288" s="3" t="s">
        <x:v>111</x:v>
      </x:c>
      <x:c r="AK288" s="3" t="n">
        <x:v>180</x:v>
      </x:c>
      <x:c r="AL288" s="3" t="n">
        <x:v>0</x:v>
      </x:c>
      <x:c r="AM288" s="8" t="n">
        <x:v>0.4167</x:v>
      </x:c>
      <x:c r="AN288" s="3" t="n">
        <x:v>3</x:v>
      </x:c>
      <x:c r="AO288" s="3" t="s">
        <x:v>14</x:v>
      </x:c>
      <x:c r="AP288" s="3" t="s">
        <x:v>684</x:v>
      </x:c>
      <x:c r="AQ288" s="3" t="s">
        <x:v>790</x:v>
      </x:c>
      <x:c r="AR288" s="9" t="n">
        <x:v>933.9</x:v>
      </x:c>
      <x:c r="AS288" s="3" t="s">
        <x:v>185</x:v>
      </x:c>
      <x:c r="AT288" s="7" t="n">
        <x:v>46301.9166666667</x:v>
      </x:c>
    </x:row>
    <x:row r="289" ht="31.299999237060547" hidden="0">
      <x:c r="A289" s="3" t="s">
        <x:v>791</x:v>
      </x:c>
      <x:c r="B289" s="3" t="s">
        <x:v>146</x:v>
      </x:c>
      <x:c r="C289" s="3" t="s">
        <x:v>147</x:v>
      </x:c>
      <x:c r="D289" s="3" t="s">
        <x:v>148</x:v>
      </x:c>
      <x:c r="E289" s="3" t="s">
        <x:v>249</x:v>
      </x:c>
      <x:c r="F289" s="3" t="s">
        <x:v>149</x:v>
      </x:c>
      <x:c r="G289" s="3" t="s">
        <x:v>359</x:v>
      </x:c>
      <x:c r="H289" s="3" t="s">
        <x:v>101</x:v>
      </x:c>
      <x:c r="I289" s="3" t="s">
        <x:v>102</x:v>
      </x:c>
      <x:c r="J289" s="3" t="s">
        <x:v>103</x:v>
      </x:c>
      <x:c r="K289" s="3" t="s">
        <x:v>104</x:v>
      </x:c>
      <x:c r="L289" s="3" t="s">
        <x:v>151</x:v>
      </x:c>
      <x:c r="M289" s="3" t="s">
        <x:v>152</x:v>
      </x:c>
      <x:c r="N289" s="3" t="s">
        <x:v>153</x:v>
      </x:c>
      <x:c r="O289" s="3" t="s">
        <x:v>154</x:v>
      </x:c>
      <x:c r="P289" s="3" t="s">
        <x:v>155</x:v>
      </x:c>
      <x:c r="Q289" s="3" t="s">
        <x:v>270</x:v>
      </x:c>
      <x:c r="R289" s="3" t="s">
        <x:v>156</x:v>
      </x:c>
      <x:c r="S289" s="3" t="s">
        <x:v>135</x:v>
      </x:c>
      <x:c r="T289" s="3" t="s">
        <x:v>111</x:v>
      </x:c>
      <x:c r="U289" s="3" t="s">
        <x:v>157</x:v>
      </x:c>
      <x:c r="V289" s="3" t="s">
        <x:v>158</x:v>
      </x:c>
      <x:c r="W289" s="3" t="s">
        <x:v>450</x:v>
      </x:c>
      <x:c r="X289" s="3" t="s">
        <x:v>160</x:v>
      </x:c>
      <x:c r="Y289" s="3" t="s">
        <x:v>451</x:v>
      </x:c>
      <x:c r="Z289" s="3" t="s">
        <x:v>162</x:v>
      </x:c>
      <x:c r="AA289" s="3" t="s">
        <x:v>118</x:v>
      </x:c>
      <x:c r="AB289" s="7" t="n">
        <x:v>46266.7375</x:v>
      </x:c>
      <x:c r="AC289" s="7" t="n">
        <x:v>46266.7409722222</x:v>
      </x:c>
      <x:c r="AD289" s="7" t="n">
        <x:v>46266.7430555556</x:v>
      </x:c>
      <x:c r="AE289" s="7" t="n">
        <x:v>46266.7555555556</x:v>
      </x:c>
      <x:c r="AF289" s="7" t="n">
        <x:v>46266.7770833333</x:v>
      </x:c>
      <x:c r="AG289" s="3" t="n">
        <x:v>26</x:v>
      </x:c>
      <x:c r="AH289" s="3" t="n">
        <x:v>21</x:v>
      </x:c>
      <x:c r="AI289" s="3" t="s">
        <x:v>135</x:v>
      </x:c>
      <x:c r="AJ289" s="3" t="s">
        <x:v>135</x:v>
      </x:c>
      <x:c r="AK289" s="3" t="n">
        <x:v>180</x:v>
      </x:c>
      <x:c r="AL289" s="3" t="n">
        <x:v>0</x:v>
      </x:c>
      <x:c r="AM289" s="8" t="n">
        <x:v>0.2611</x:v>
      </x:c>
      <x:c r="AN289" s="3" t="n">
        <x:v>2</x:v>
      </x:c>
      <x:c r="AO289" s="3" t="s">
        <x:v>14</x:v>
      </x:c>
      <x:c r="AP289" s="3" t="s">
        <x:v>573</x:v>
      </x:c>
      <x:c r="AQ289" s="3" t="s">
        <x:v>533</x:v>
      </x:c>
      <x:c r="AR289" s="9" t="n">
        <x:v>528.2</x:v>
      </x:c>
      <x:c r="AS289" s="3" t="s">
        <x:v>121</x:v>
      </x:c>
      <x:c r="AT289" s="7" t="n">
        <x:v>46301.9166666667</x:v>
      </x:c>
    </x:row>
    <x:row r="290" ht="31.299999237060547" hidden="0">
      <x:c r="A290" s="3" t="s">
        <x:v>792</x:v>
      </x:c>
      <x:c r="B290" s="3" t="s">
        <x:v>123</x:v>
      </x:c>
      <x:c r="C290" s="3" t="s">
        <x:v>124</x:v>
      </x:c>
      <x:c r="D290" s="3" t="s">
        <x:v>125</x:v>
      </x:c>
      <x:c r="E290" s="3" t="s">
        <x:v>249</x:v>
      </x:c>
      <x:c r="F290" s="3" t="s">
        <x:v>169</x:v>
      </x:c>
      <x:c r="G290" s="3" t="s">
        <x:v>447</x:v>
      </x:c>
      <x:c r="H290" s="3" t="s">
        <x:v>343</x:v>
      </x:c>
      <x:c r="I290" s="3" t="s">
        <x:v>102</x:v>
      </x:c>
      <x:c r="J290" s="3" t="s">
        <x:v>103</x:v>
      </x:c>
      <x:c r="K290" s="3" t="s">
        <x:v>104</x:v>
      </x:c>
      <x:c r="L290" s="3" t="s">
        <x:v>129</x:v>
      </x:c>
      <x:c r="M290" s="3" t="s">
        <x:v>130</x:v>
      </x:c>
      <x:c r="N290" s="3" t="s">
        <x:v>131</x:v>
      </x:c>
      <x:c r="O290" s="3" t="s">
        <x:v>132</x:v>
      </x:c>
      <x:c r="P290" s="3" t="s">
        <x:v>133</x:v>
      </x:c>
      <x:c r="Q290" s="3" t="s">
        <x:v>268</x:v>
      </x:c>
      <x:c r="R290" s="3" t="s">
        <x:v>344</x:v>
      </x:c>
      <x:c r="S290" s="3" t="s">
        <x:v>111</x:v>
      </x:c>
      <x:c r="T290" s="3" t="s">
        <x:v>111</x:v>
      </x:c>
      <x:c r="U290" s="3" t="s">
        <x:v>345</x:v>
      </x:c>
      <x:c r="V290" s="3" t="s">
        <x:v>178</x:v>
      </x:c>
      <x:c r="W290" s="3" t="s">
        <x:v>355</x:v>
      </x:c>
      <x:c r="X290" s="3" t="s">
        <x:v>180</x:v>
      </x:c>
      <x:c r="Y290" s="3" t="s">
        <x:v>356</x:v>
      </x:c>
      <x:c r="Z290" s="3" t="s">
        <x:v>346</x:v>
      </x:c>
      <x:c r="AA290" s="3" t="s">
        <x:v>118</x:v>
      </x:c>
      <x:c r="AB290" s="7" t="n">
        <x:v>46266.7763888889</x:v>
      </x:c>
      <x:c r="AC290" s="7" t="n">
        <x:v>46266.7784722222</x:v>
      </x:c>
      <x:c r="AD290" s="7" t="n">
        <x:v>46266.7805555556</x:v>
      </x:c>
      <x:c r="AE290" s="7" t="n">
        <x:v>46266.7972222222</x:v>
      </x:c>
      <x:c r="AF290" s="7" t="n">
        <x:v>46266.8305555556</x:v>
      </x:c>
      <x:c r="AG290" s="3" t="n">
        <x:v>30</x:v>
      </x:c>
      <x:c r="AH290" s="3" t="n">
        <x:v>38</x:v>
      </x:c>
      <x:c r="AI290" s="3" t="s">
        <x:v>135</x:v>
      </x:c>
      <x:c r="AJ290" s="3" t="s">
        <x:v>135</x:v>
      </x:c>
      <x:c r="AK290" s="3" t="n">
        <x:v>120</x:v>
      </x:c>
      <x:c r="AL290" s="3" t="n">
        <x:v>0</x:v>
      </x:c>
      <x:c r="AM290" s="8" t="n">
        <x:v>0.5667</x:v>
      </x:c>
      <x:c r="AN290" s="3" t="n">
        <x:v>2</x:v>
      </x:c>
      <x:c r="AO290" s="3" t="s">
        <x:v>14</x:v>
      </x:c>
      <x:c r="AP290" s="3" t="s">
        <x:v>573</x:v>
      </x:c>
      <x:c r="AQ290" s="3" t="s">
        <x:v>472</x:v>
      </x:c>
      <x:c r="AR290" s="9" t="n">
        <x:v>668.6</x:v>
      </x:c>
      <x:c r="AS290" s="3" t="s">
        <x:v>185</x:v>
      </x:c>
      <x:c r="AT290" s="7" t="n">
        <x:v>46301.9166666667</x:v>
      </x:c>
    </x:row>
    <x:row r="291" ht="31.299999237060547" hidden="0">
      <x:c r="A291" s="3" t="s">
        <x:v>793</x:v>
      </x:c>
      <x:c r="B291" s="3" t="s">
        <x:v>123</x:v>
      </x:c>
      <x:c r="C291" s="3" t="s">
        <x:v>124</x:v>
      </x:c>
      <x:c r="D291" s="3" t="s">
        <x:v>125</x:v>
      </x:c>
      <x:c r="E291" s="3" t="s">
        <x:v>249</x:v>
      </x:c>
      <x:c r="F291" s="3" t="s">
        <x:v>99</x:v>
      </x:c>
      <x:c r="G291" s="3" t="s">
        <x:v>535</x:v>
      </x:c>
      <x:c r="H291" s="3" t="s">
        <x:v>101</x:v>
      </x:c>
      <x:c r="I291" s="3" t="s">
        <x:v>102</x:v>
      </x:c>
      <x:c r="J291" s="3" t="s">
        <x:v>103</x:v>
      </x:c>
      <x:c r="K291" s="3" t="s">
        <x:v>104</x:v>
      </x:c>
      <x:c r="L291" s="3" t="s">
        <x:v>129</x:v>
      </x:c>
      <x:c r="M291" s="3" t="s">
        <x:v>130</x:v>
      </x:c>
      <x:c r="N291" s="3" t="s">
        <x:v>131</x:v>
      </x:c>
      <x:c r="O291" s="3" t="s">
        <x:v>132</x:v>
      </x:c>
      <x:c r="P291" s="3" t="s">
        <x:v>133</x:v>
      </x:c>
      <x:c r="Q291" s="3" t="s">
        <x:v>268</x:v>
      </x:c>
      <x:c r="R291" s="3" t="s">
        <x:v>176</x:v>
      </x:c>
      <x:c r="S291" s="3" t="s">
        <x:v>135</x:v>
      </x:c>
      <x:c r="T291" s="3" t="s">
        <x:v>135</x:v>
      </x:c>
      <x:c r="U291" s="3" t="s">
        <x:v>177</x:v>
      </x:c>
      <x:c r="V291" s="3" t="s">
        <x:v>178</x:v>
      </x:c>
      <x:c r="W291" s="3" t="s">
        <x:v>332</x:v>
      </x:c>
      <x:c r="X291" s="3" t="s">
        <x:v>180</x:v>
      </x:c>
      <x:c r="Y291" s="3" t="s">
        <x:v>333</x:v>
      </x:c>
      <x:c r="Z291" s="3" t="s">
        <x:v>182</x:v>
      </x:c>
      <x:c r="AA291" s="3" t="s">
        <x:v>118</x:v>
      </x:c>
      <x:c r="AB291" s="7" t="n">
        <x:v>46267.3388888889</x:v>
      </x:c>
      <x:c r="AC291" s="7" t="n">
        <x:v>46267.3423611111</x:v>
      </x:c>
      <x:c r="AD291" s="7" t="n">
        <x:v>46267.3444444445</x:v>
      </x:c>
      <x:c r="AE291" s="7" t="n">
        <x:v>46267.3645833333</x:v>
      </x:c>
      <x:c r="AF291" s="7" t="n">
        <x:v>46267.3951388889</x:v>
      </x:c>
      <x:c r="AG291" s="3" t="n">
        <x:v>37</x:v>
      </x:c>
      <x:c r="AH291" s="3" t="n">
        <x:v>41</x:v>
      </x:c>
      <x:c r="AI291" s="3" t="s">
        <x:v>135</x:v>
      </x:c>
      <x:c r="AJ291" s="3" t="s">
        <x:v>135</x:v>
      </x:c>
      <x:c r="AK291" s="3" t="n">
        <x:v>180</x:v>
      </x:c>
      <x:c r="AL291" s="3" t="n">
        <x:v>0</x:v>
      </x:c>
      <x:c r="AM291" s="8" t="n">
        <x:v>0.4333</x:v>
      </x:c>
      <x:c r="AN291" s="3" t="n">
        <x:v>1</x:v>
      </x:c>
      <x:c r="AO291" s="3" t="s">
        <x:v>9</x:v>
      </x:c>
      <x:c r="AP291" s="3" t="s">
        <x:v>500</x:v>
      </x:c>
      <x:c r="AQ291" s="3" t="s">
        <x:v>472</x:v>
      </x:c>
      <x:c r="AR291" s="9" t="n">
        <x:v>721.7</x:v>
      </x:c>
      <x:c r="AS291" s="3" t="s">
        <x:v>121</x:v>
      </x:c>
      <x:c r="AT291" s="7" t="n">
        <x:v>46301.9166666667</x:v>
      </x:c>
    </x:row>
    <x:row r="292" ht="31.299999237060547" hidden="0">
      <x:c r="A292" s="3" t="s">
        <x:v>794</x:v>
      </x:c>
      <x:c r="B292" s="3" t="s">
        <x:v>297</x:v>
      </x:c>
      <x:c r="C292" s="3" t="s">
        <x:v>298</x:v>
      </x:c>
      <x:c r="D292" s="3" t="s">
        <x:v>299</x:v>
      </x:c>
      <x:c r="E292" s="3" t="s">
        <x:v>249</x:v>
      </x:c>
      <x:c r="F292" s="3" t="s">
        <x:v>169</x:v>
      </x:c>
      <x:c r="G292" s="3" t="s">
        <x:v>575</x:v>
      </x:c>
      <x:c r="H292" s="3" t="s">
        <x:v>301</x:v>
      </x:c>
      <x:c r="I292" s="3" t="s">
        <x:v>302</x:v>
      </x:c>
      <x:c r="J292" s="3" t="s">
        <x:v>303</x:v>
      </x:c>
      <x:c r="K292" s="3" t="s">
        <x:v>104</x:v>
      </x:c>
      <x:c r="L292" s="3" t="s">
        <x:v>304</x:v>
      </x:c>
      <x:c r="M292" s="3" t="s">
        <x:v>305</x:v>
      </x:c>
      <x:c r="N292" s="3" t="s">
        <x:v>306</x:v>
      </x:c>
      <x:c r="O292" s="3" t="s">
        <x:v>307</x:v>
      </x:c>
      <x:c r="P292" s="3" t="s">
        <x:v>308</x:v>
      </x:c>
      <x:c r="Q292" s="3" t="s">
        <x:v>309</x:v>
      </x:c>
      <x:c r="R292" s="3" t="s">
        <x:v>196</x:v>
      </x:c>
      <x:c r="S292" s="3" t="s">
        <x:v>111</x:v>
      </x:c>
      <x:c r="T292" s="3" t="s">
        <x:v>111</x:v>
      </x:c>
      <x:c r="U292" s="3" t="s">
        <x:v>197</x:v>
      </x:c>
      <x:c r="V292" s="3" t="s">
        <x:v>198</x:v>
      </x:c>
      <x:c r="W292" s="3" t="s">
        <x:v>365</x:v>
      </x:c>
      <x:c r="X292" s="3" t="s">
        <x:v>366</x:v>
      </x:c>
      <x:c r="Y292" s="3" t="s">
        <x:v>367</x:v>
      </x:c>
      <x:c r="Z292" s="3" t="s">
        <x:v>201</x:v>
      </x:c>
      <x:c r="AA292" s="3" t="s">
        <x:v>368</x:v>
      </x:c>
      <x:c r="AB292" s="7" t="n">
        <x:v>46267.3652777778</x:v>
      </x:c>
      <x:c r="AC292" s="7" t="n">
        <x:v>46267.3666666667</x:v>
      </x:c>
      <x:c r="AD292" s="7" t="n">
        <x:v>46267.3680555556</x:v>
      </x:c>
      <x:c r="AE292" s="7" t="n">
        <x:v>46267.38125</x:v>
      </x:c>
      <x:c r="AF292" s="7" t="n">
        <x:v>46267.4347222222</x:v>
      </x:c>
      <x:c r="AG292" s="3" t="n">
        <x:v>23</x:v>
      </x:c>
      <x:c r="AH292" s="3" t="n">
        <x:v>74</x:v>
      </x:c>
      <x:c r="AI292" s="3" t="s">
        <x:v>135</x:v>
      </x:c>
      <x:c r="AJ292" s="3" t="s">
        <x:v>111</x:v>
      </x:c>
      <x:c r="AK292" s="3" t="n">
        <x:v>120</x:v>
      </x:c>
      <x:c r="AL292" s="3" t="n">
        <x:v>0</x:v>
      </x:c>
      <x:c r="AM292" s="8" t="n">
        <x:v>0.8083</x:v>
      </x:c>
      <x:c r="AN292" s="3" t="n">
        <x:v>0</x:v>
      </x:c>
      <x:c r="AO292" s="3" t="s">
        <x:v>14</x:v>
      </x:c>
      <x:c r="AP292" s="3" t="s">
        <x:v>318</x:v>
      </x:c>
      <x:c r="AQ292" s="3" t="s">
        <x:v>319</x:v>
      </x:c>
      <x:c r="AR292" s="9" t="n">
        <x:v>1276.3</x:v>
      </x:c>
      <x:c r="AS292" s="3" t="s">
        <x:v>185</x:v>
      </x:c>
      <x:c r="AT292" s="7" t="n">
        <x:v>46301.9166666667</x:v>
      </x:c>
    </x:row>
    <x:row r="293" ht="31.299999237060547" hidden="0">
      <x:c r="A293" s="3" t="s">
        <x:v>795</x:v>
      </x:c>
      <x:c r="B293" s="3" t="s">
        <x:v>321</x:v>
      </x:c>
      <x:c r="C293" s="3" t="s">
        <x:v>322</x:v>
      </x:c>
      <x:c r="D293" s="3" t="s">
        <x:v>323</x:v>
      </x:c>
      <x:c r="E293" s="3" t="s">
        <x:v>249</x:v>
      </x:c>
      <x:c r="F293" s="3" t="s">
        <x:v>99</x:v>
      </x:c>
      <x:c r="G293" s="3" t="s">
        <x:v>324</x:v>
      </x:c>
      <x:c r="H293" s="3" t="s">
        <x:v>301</x:v>
      </x:c>
      <x:c r="I293" s="3" t="s">
        <x:v>302</x:v>
      </x:c>
      <x:c r="J293" s="3" t="s">
        <x:v>303</x:v>
      </x:c>
      <x:c r="K293" s="3" t="s">
        <x:v>104</x:v>
      </x:c>
      <x:c r="L293" s="3" t="s">
        <x:v>325</x:v>
      </x:c>
      <x:c r="M293" s="3" t="s">
        <x:v>326</x:v>
      </x:c>
      <x:c r="N293" s="3" t="s">
        <x:v>131</x:v>
      </x:c>
      <x:c r="O293" s="3" t="s">
        <x:v>327</x:v>
      </x:c>
      <x:c r="P293" s="3" t="s">
        <x:v>328</x:v>
      </x:c>
      <x:c r="Q293" s="3" t="s">
        <x:v>329</x:v>
      </x:c>
      <x:c r="R293" s="3" t="s">
        <x:v>330</x:v>
      </x:c>
      <x:c r="S293" s="3" t="s">
        <x:v>135</x:v>
      </x:c>
      <x:c r="T293" s="3" t="s">
        <x:v>111</x:v>
      </x:c>
      <x:c r="U293" s="3" t="s">
        <x:v>331</x:v>
      </x:c>
      <x:c r="V293" s="3" t="s">
        <x:v>178</x:v>
      </x:c>
      <x:c r="W293" s="3" t="s">
        <x:v>355</x:v>
      </x:c>
      <x:c r="X293" s="3" t="s">
        <x:v>180</x:v>
      </x:c>
      <x:c r="Y293" s="3" t="s">
        <x:v>356</x:v>
      </x:c>
      <x:c r="Z293" s="3" t="s">
        <x:v>334</x:v>
      </x:c>
      <x:c r="AA293" s="3" t="s">
        <x:v>118</x:v>
      </x:c>
      <x:c r="AB293" s="7" t="n">
        <x:v>46267.3743055556</x:v>
      </x:c>
      <x:c r="AC293" s="7" t="n">
        <x:v>46267.3756944445</x:v>
      </x:c>
      <x:c r="AD293" s="7" t="n">
        <x:v>46267.38125</x:v>
      </x:c>
      <x:c r="AE293" s="7" t="n">
        <x:v>46267.3902777778</x:v>
      </x:c>
      <x:c r="AF293" s="7" t="n">
        <x:v>46267.4319444444</x:v>
      </x:c>
      <x:c r="AG293" s="3" t="n">
        <x:v>23</x:v>
      </x:c>
      <x:c r="AH293" s="3" t="n">
        <x:v>54</x:v>
      </x:c>
      <x:c r="AI293" s="3" t="s">
        <x:v>135</x:v>
      </x:c>
      <x:c r="AJ293" s="3" t="s">
        <x:v>111</x:v>
      </x:c>
      <x:c r="AK293" s="3" t="n">
        <x:v>180</x:v>
      </x:c>
      <x:c r="AL293" s="3" t="n">
        <x:v>0</x:v>
      </x:c>
      <x:c r="AM293" s="8" t="n">
        <x:v>0.4278</x:v>
      </x:c>
      <x:c r="AN293" s="3" t="n">
        <x:v>4</x:v>
      </x:c>
      <x:c r="AO293" s="3" t="s">
        <x:v>14</x:v>
      </x:c>
      <x:c r="AP293" s="3" t="s">
        <x:v>796</x:v>
      </x:c>
      <x:c r="AQ293" s="3" t="s">
        <x:v>685</x:v>
      </x:c>
      <x:c r="AR293" s="9" t="n">
        <x:v>1002.3</x:v>
      </x:c>
      <x:c r="AS293" s="3" t="s">
        <x:v>185</x:v>
      </x:c>
      <x:c r="AT293" s="7" t="n">
        <x:v>46301.9166666667</x:v>
      </x:c>
    </x:row>
    <x:row r="294" ht="31.299999237060547" hidden="0">
      <x:c r="A294" s="3" t="s">
        <x:v>797</x:v>
      </x:c>
      <x:c r="B294" s="3" t="s">
        <x:v>166</x:v>
      </x:c>
      <x:c r="C294" s="3" t="s">
        <x:v>167</x:v>
      </x:c>
      <x:c r="D294" s="3" t="s">
        <x:v>168</x:v>
      </x:c>
      <x:c r="E294" s="3" t="s">
        <x:v>249</x:v>
      </x:c>
      <x:c r="F294" s="3" t="s">
        <x:v>99</x:v>
      </x:c>
      <x:c r="G294" s="3" t="s">
        <x:v>359</x:v>
      </x:c>
      <x:c r="H294" s="3" t="s">
        <x:v>101</x:v>
      </x:c>
      <x:c r="I294" s="3" t="s">
        <x:v>102</x:v>
      </x:c>
      <x:c r="J294" s="3" t="s">
        <x:v>103</x:v>
      </x:c>
      <x:c r="K294" s="3" t="s">
        <x:v>104</x:v>
      </x:c>
      <x:c r="L294" s="3" t="s">
        <x:v>171</x:v>
      </x:c>
      <x:c r="M294" s="3" t="s">
        <x:v>172</x:v>
      </x:c>
      <x:c r="N294" s="3" t="s">
        <x:v>173</x:v>
      </x:c>
      <x:c r="O294" s="3" t="s">
        <x:v>174</x:v>
      </x:c>
      <x:c r="P294" s="3" t="s">
        <x:v>175</x:v>
      </x:c>
      <x:c r="Q294" s="3" t="s">
        <x:v>271</x:v>
      </x:c>
      <x:c r="R294" s="3" t="s">
        <x:v>156</x:v>
      </x:c>
      <x:c r="S294" s="3" t="s">
        <x:v>135</x:v>
      </x:c>
      <x:c r="T294" s="3" t="s">
        <x:v>111</x:v>
      </x:c>
      <x:c r="U294" s="3" t="s">
        <x:v>157</x:v>
      </x:c>
      <x:c r="V294" s="3" t="s">
        <x:v>158</x:v>
      </x:c>
      <x:c r="W294" s="3" t="s">
        <x:v>159</x:v>
      </x:c>
      <x:c r="X294" s="3" t="s">
        <x:v>160</x:v>
      </x:c>
      <x:c r="Y294" s="3" t="s">
        <x:v>360</x:v>
      </x:c>
      <x:c r="Z294" s="3" t="s">
        <x:v>162</x:v>
      </x:c>
      <x:c r="AA294" s="3" t="s">
        <x:v>118</x:v>
      </x:c>
      <x:c r="AB294" s="7" t="n">
        <x:v>46267.4138888889</x:v>
      </x:c>
      <x:c r="AC294" s="7" t="n">
        <x:v>46267.4173611111</x:v>
      </x:c>
      <x:c r="AD294" s="7" t="n">
        <x:v>46267.4222222222</x:v>
      </x:c>
      <x:c r="AE294" s="7" t="n">
        <x:v>46267.4277777778</x:v>
      </x:c>
      <x:c r="AF294" s="7" t="n">
        <x:v>46267.4944444444</x:v>
      </x:c>
      <x:c r="AG294" s="3" t="n">
        <x:v>20</x:v>
      </x:c>
      <x:c r="AH294" s="3" t="n">
        <x:v>88</x:v>
      </x:c>
      <x:c r="AI294" s="3" t="s">
        <x:v>135</x:v>
      </x:c>
      <x:c r="AJ294" s="3" t="s">
        <x:v>135</x:v>
      </x:c>
      <x:c r="AK294" s="3" t="n">
        <x:v>150</x:v>
      </x:c>
      <x:c r="AL294" s="3" t="n">
        <x:v>0</x:v>
      </x:c>
      <x:c r="AM294" s="8" t="n">
        <x:v>0.72</x:v>
      </x:c>
      <x:c r="AN294" s="3" t="n">
        <x:v>2</x:v>
      </x:c>
      <x:c r="AO294" s="3" t="s">
        <x:v>14</x:v>
      </x:c>
      <x:c r="AP294" s="3" t="s">
        <x:v>717</x:v>
      </x:c>
      <x:c r="AQ294" s="3" t="s">
        <x:v>501</x:v>
      </x:c>
      <x:c r="AR294" s="9" t="n">
        <x:v>1363.6</x:v>
      </x:c>
      <x:c r="AS294" s="3" t="s">
        <x:v>121</x:v>
      </x:c>
      <x:c r="AT294" s="7" t="n">
        <x:v>46301.9166666667</x:v>
      </x:c>
    </x:row>
    <x:row r="295" ht="31.299999237060547" hidden="0">
      <x:c r="A295" s="3" t="s">
        <x:v>798</x:v>
      </x:c>
      <x:c r="B295" s="3" t="s">
        <x:v>397</x:v>
      </x:c>
      <x:c r="C295" s="3" t="s">
        <x:v>398</x:v>
      </x:c>
      <x:c r="D295" s="3" t="s">
        <x:v>399</x:v>
      </x:c>
      <x:c r="E295" s="3" t="s">
        <x:v>249</x:v>
      </x:c>
      <x:c r="F295" s="3" t="s">
        <x:v>149</x:v>
      </x:c>
      <x:c r="G295" s="3" t="s">
        <x:v>480</x:v>
      </x:c>
      <x:c r="H295" s="3" t="s">
        <x:v>301</x:v>
      </x:c>
      <x:c r="I295" s="3" t="s">
        <x:v>302</x:v>
      </x:c>
      <x:c r="J295" s="3" t="s">
        <x:v>303</x:v>
      </x:c>
      <x:c r="K295" s="3" t="s">
        <x:v>104</x:v>
      </x:c>
      <x:c r="L295" s="3" t="s">
        <x:v>401</x:v>
      </x:c>
      <x:c r="M295" s="3" t="s">
        <x:v>402</x:v>
      </x:c>
      <x:c r="N295" s="3" t="s">
        <x:v>403</x:v>
      </x:c>
      <x:c r="O295" s="3" t="s">
        <x:v>404</x:v>
      </x:c>
      <x:c r="P295" s="3" t="s">
        <x:v>405</x:v>
      </x:c>
      <x:c r="Q295" s="3" t="s">
        <x:v>406</x:v>
      </x:c>
      <x:c r="R295" s="3" t="s">
        <x:v>134</x:v>
      </x:c>
      <x:c r="S295" s="3" t="s">
        <x:v>135</x:v>
      </x:c>
      <x:c r="T295" s="3" t="s">
        <x:v>111</x:v>
      </x:c>
      <x:c r="U295" s="3" t="s">
        <x:v>136</x:v>
      </x:c>
      <x:c r="V295" s="3" t="s">
        <x:v>137</x:v>
      </x:c>
      <x:c r="W295" s="3" t="s">
        <x:v>138</x:v>
      </x:c>
      <x:c r="X295" s="3" t="s">
        <x:v>139</x:v>
      </x:c>
      <x:c r="Y295" s="3" t="s">
        <x:v>454</x:v>
      </x:c>
      <x:c r="Z295" s="3" t="s">
        <x:v>141</x:v>
      </x:c>
      <x:c r="AA295" s="3" t="s">
        <x:v>118</x:v>
      </x:c>
      <x:c r="AB295" s="7" t="n">
        <x:v>46267.4173611111</x:v>
      </x:c>
      <x:c r="AC295" s="7" t="n">
        <x:v>46267.41875</x:v>
      </x:c>
      <x:c r="AD295" s="7" t="n">
        <x:v>46267.4208333333</x:v>
      </x:c>
      <x:c r="AE295" s="7" t="n">
        <x:v>46267.4354166667</x:v>
      </x:c>
      <x:c r="AF295" s="7" t="n">
        <x:v>46267.4819444444</x:v>
      </x:c>
      <x:c r="AG295" s="3" t="n">
        <x:v>26</x:v>
      </x:c>
      <x:c r="AH295" s="3" t="n">
        <x:v>58</x:v>
      </x:c>
      <x:c r="AI295" s="3" t="s">
        <x:v>135</x:v>
      </x:c>
      <x:c r="AJ295" s="3" t="s">
        <x:v>135</x:v>
      </x:c>
      <x:c r="AK295" s="3" t="n">
        <x:v>180</x:v>
      </x:c>
      <x:c r="AL295" s="3" t="n">
        <x:v>0</x:v>
      </x:c>
      <x:c r="AM295" s="8" t="n">
        <x:v>0.4667</x:v>
      </x:c>
      <x:c r="AN295" s="3" t="n">
        <x:v>0</x:v>
      </x:c>
      <x:c r="AO295" s="3" t="s">
        <x:v>9</x:v>
      </x:c>
      <x:c r="AP295" s="3" t="s">
        <x:v>142</x:v>
      </x:c>
      <x:c r="AQ295" s="3" t="s">
        <x:v>550</x:v>
      </x:c>
      <x:c r="AR295" s="9" t="n">
        <x:v>794.6</x:v>
      </x:c>
      <x:c r="AS295" s="3" t="s">
        <x:v>121</x:v>
      </x:c>
      <x:c r="AT295" s="7" t="n">
        <x:v>46301.9166666667</x:v>
      </x:c>
    </x:row>
    <x:row r="296" ht="31.299999237060547" hidden="0">
      <x:c r="A296" s="3" t="s">
        <x:v>799</x:v>
      </x:c>
      <x:c r="B296" s="3" t="s">
        <x:v>397</x:v>
      </x:c>
      <x:c r="C296" s="3" t="s">
        <x:v>398</x:v>
      </x:c>
      <x:c r="D296" s="3" t="s">
        <x:v>399</x:v>
      </x:c>
      <x:c r="E296" s="3" t="s">
        <x:v>249</x:v>
      </x:c>
      <x:c r="F296" s="3" t="s">
        <x:v>149</x:v>
      </x:c>
      <x:c r="G296" s="3" t="s">
        <x:v>581</x:v>
      </x:c>
      <x:c r="H296" s="3" t="s">
        <x:v>301</x:v>
      </x:c>
      <x:c r="I296" s="3" t="s">
        <x:v>302</x:v>
      </x:c>
      <x:c r="J296" s="3" t="s">
        <x:v>303</x:v>
      </x:c>
      <x:c r="K296" s="3" t="s">
        <x:v>104</x:v>
      </x:c>
      <x:c r="L296" s="3" t="s">
        <x:v>401</x:v>
      </x:c>
      <x:c r="M296" s="3" t="s">
        <x:v>402</x:v>
      </x:c>
      <x:c r="N296" s="3" t="s">
        <x:v>403</x:v>
      </x:c>
      <x:c r="O296" s="3" t="s">
        <x:v>404</x:v>
      </x:c>
      <x:c r="P296" s="3" t="s">
        <x:v>405</x:v>
      </x:c>
      <x:c r="Q296" s="3" t="s">
        <x:v>406</x:v>
      </x:c>
      <x:c r="R296" s="3" t="s">
        <x:v>380</x:v>
      </x:c>
      <x:c r="S296" s="3" t="s">
        <x:v>111</x:v>
      </x:c>
      <x:c r="T296" s="3" t="s">
        <x:v>111</x:v>
      </x:c>
      <x:c r="U296" s="3" t="s">
        <x:v>381</x:v>
      </x:c>
      <x:c r="V296" s="3" t="s">
        <x:v>312</x:v>
      </x:c>
      <x:c r="W296" s="3" t="s">
        <x:v>313</x:v>
      </x:c>
      <x:c r="X296" s="3" t="s">
        <x:v>314</x:v>
      </x:c>
      <x:c r="Y296" s="3" t="s">
        <x:v>315</x:v>
      </x:c>
      <x:c r="Z296" s="3" t="s">
        <x:v>384</x:v>
      </x:c>
      <x:c r="AA296" s="3" t="s">
        <x:v>385</x:v>
      </x:c>
      <x:c r="AB296" s="7" t="n">
        <x:v>46267.4423611111</x:v>
      </x:c>
      <x:c r="AC296" s="7" t="n">
        <x:v>46267.4458333333</x:v>
      </x:c>
      <x:c r="AD296" s="7" t="n">
        <x:v>46267.4520833333</x:v>
      </x:c>
      <x:c r="AE296" s="7" t="n">
        <x:v>46267.4673611111</x:v>
      </x:c>
      <x:c r="AF296" s="7" t="n">
        <x:v>46267.5333333333</x:v>
      </x:c>
      <x:c r="AG296" s="3" t="n">
        <x:v>36</x:v>
      </x:c>
      <x:c r="AH296" s="3" t="n">
        <x:v>91</x:v>
      </x:c>
      <x:c r="AI296" s="3" t="s">
        <x:v>135</x:v>
      </x:c>
      <x:c r="AJ296" s="3" t="s">
        <x:v>135</x:v>
      </x:c>
      <x:c r="AK296" s="3" t="n">
        <x:v>120</x:v>
      </x:c>
      <x:c r="AL296" s="3" t="n">
        <x:v>0</x:v>
      </x:c>
      <x:c r="AM296" s="8" t="n">
        <x:v>1.0583</x:v>
      </x:c>
      <x:c r="AN296" s="3" t="n">
        <x:v>0</x:v>
      </x:c>
      <x:c r="AO296" s="3" t="s">
        <x:v>19</x:v>
      </x:c>
      <x:c r="AP296" s="3" t="s">
        <x:v>495</x:v>
      </x:c>
      <x:c r="AQ296" s="3" t="s">
        <x:v>550</x:v>
      </x:c>
      <x:c r="AR296" s="9" t="n">
        <x:v>1077.2</x:v>
      </x:c>
      <x:c r="AS296" s="3" t="s">
        <x:v>185</x:v>
      </x:c>
      <x:c r="AT296" s="7" t="n">
        <x:v>46301.9166666667</x:v>
      </x:c>
    </x:row>
    <x:row r="297" ht="31.299999237060547" hidden="0">
      <x:c r="A297" s="3" t="s">
        <x:v>800</x:v>
      </x:c>
      <x:c r="B297" s="3" t="s">
        <x:v>297</x:v>
      </x:c>
      <x:c r="C297" s="3" t="s">
        <x:v>298</x:v>
      </x:c>
      <x:c r="D297" s="3" t="s">
        <x:v>299</x:v>
      </x:c>
      <x:c r="E297" s="3" t="s">
        <x:v>249</x:v>
      </x:c>
      <x:c r="F297" s="3" t="s">
        <x:v>99</x:v>
      </x:c>
      <x:c r="G297" s="3" t="s">
        <x:v>436</x:v>
      </x:c>
      <x:c r="H297" s="3" t="s">
        <x:v>301</x:v>
      </x:c>
      <x:c r="I297" s="3" t="s">
        <x:v>302</x:v>
      </x:c>
      <x:c r="J297" s="3" t="s">
        <x:v>303</x:v>
      </x:c>
      <x:c r="K297" s="3" t="s">
        <x:v>104</x:v>
      </x:c>
      <x:c r="L297" s="3" t="s">
        <x:v>304</x:v>
      </x:c>
      <x:c r="M297" s="3" t="s">
        <x:v>305</x:v>
      </x:c>
      <x:c r="N297" s="3" t="s">
        <x:v>306</x:v>
      </x:c>
      <x:c r="O297" s="3" t="s">
        <x:v>307</x:v>
      </x:c>
      <x:c r="P297" s="3" t="s">
        <x:v>308</x:v>
      </x:c>
      <x:c r="Q297" s="3" t="s">
        <x:v>309</x:v>
      </x:c>
      <x:c r="R297" s="3" t="s">
        <x:v>391</x:v>
      </x:c>
      <x:c r="S297" s="3" t="s">
        <x:v>135</x:v>
      </x:c>
      <x:c r="T297" s="3" t="s">
        <x:v>135</x:v>
      </x:c>
      <x:c r="U297" s="3" t="s">
        <x:v>392</x:v>
      </x:c>
      <x:c r="V297" s="3" t="s">
        <x:v>312</x:v>
      </x:c>
      <x:c r="W297" s="3" t="s">
        <x:v>313</x:v>
      </x:c>
      <x:c r="X297" s="3" t="s">
        <x:v>314</x:v>
      </x:c>
      <x:c r="Y297" s="3" t="s">
        <x:v>315</x:v>
      </x:c>
      <x:c r="Z297" s="3" t="s">
        <x:v>393</x:v>
      </x:c>
      <x:c r="AA297" s="3" t="s">
        <x:v>394</x:v>
      </x:c>
      <x:c r="AB297" s="7" t="n">
        <x:v>46267.4493055556</x:v>
      </x:c>
      <x:c r="AC297" s="7" t="n">
        <x:v>46267.4527777778</x:v>
      </x:c>
      <x:c r="AD297" s="7" t="n">
        <x:v>46267.4583333333</x:v>
      </x:c>
      <x:c r="AE297" s="7" t="n">
        <x:v>46267.4763888889</x:v>
      </x:c>
      <x:c r="AF297" s="7" t="n">
        <x:v>46267.5131944444</x:v>
      </x:c>
      <x:c r="AG297" s="3" t="n">
        <x:v>39</x:v>
      </x:c>
      <x:c r="AH297" s="3" t="n">
        <x:v>47</x:v>
      </x:c>
      <x:c r="AI297" s="3" t="s">
        <x:v>135</x:v>
      </x:c>
      <x:c r="AJ297" s="3" t="s">
        <x:v>111</x:v>
      </x:c>
      <x:c r="AK297" s="3" t="n">
        <x:v>180</x:v>
      </x:c>
      <x:c r="AL297" s="3" t="n">
        <x:v>0</x:v>
      </x:c>
      <x:c r="AM297" s="8" t="n">
        <x:v>0.4778</x:v>
      </x:c>
      <x:c r="AN297" s="3" t="n">
        <x:v>0</x:v>
      </x:c>
      <x:c r="AO297" s="3" t="s">
        <x:v>9</x:v>
      </x:c>
      <x:c r="AP297" s="3" t="s">
        <x:v>335</x:v>
      </x:c>
      <x:c r="AQ297" s="3" t="s">
        <x:v>395</x:v>
      </x:c>
      <x:c r="AR297" s="9" t="n">
        <x:v>1153.9</x:v>
      </x:c>
      <x:c r="AS297" s="3" t="s">
        <x:v>121</x:v>
      </x:c>
      <x:c r="AT297" s="7" t="n">
        <x:v>46301.9166666667</x:v>
      </x:c>
    </x:row>
    <x:row r="298" ht="31.299999237060547" hidden="0">
      <x:c r="A298" s="3" t="s">
        <x:v>801</x:v>
      </x:c>
      <x:c r="B298" s="3" t="s">
        <x:v>166</x:v>
      </x:c>
      <x:c r="C298" s="3" t="s">
        <x:v>167</x:v>
      </x:c>
      <x:c r="D298" s="3" t="s">
        <x:v>168</x:v>
      </x:c>
      <x:c r="E298" s="3" t="s">
        <x:v>249</x:v>
      </x:c>
      <x:c r="F298" s="3" t="s">
        <x:v>127</x:v>
      </x:c>
      <x:c r="G298" s="3" t="s">
        <x:v>390</x:v>
      </x:c>
      <x:c r="H298" s="3" t="s">
        <x:v>301</x:v>
      </x:c>
      <x:c r="I298" s="3" t="s">
        <x:v>302</x:v>
      </x:c>
      <x:c r="J298" s="3" t="s">
        <x:v>303</x:v>
      </x:c>
      <x:c r="K298" s="3" t="s">
        <x:v>104</x:v>
      </x:c>
      <x:c r="L298" s="3" t="s">
        <x:v>171</x:v>
      </x:c>
      <x:c r="M298" s="3" t="s">
        <x:v>172</x:v>
      </x:c>
      <x:c r="N298" s="3" t="s">
        <x:v>173</x:v>
      </x:c>
      <x:c r="O298" s="3" t="s">
        <x:v>174</x:v>
      </x:c>
      <x:c r="P298" s="3" t="s">
        <x:v>175</x:v>
      </x:c>
      <x:c r="Q298" s="3" t="s">
        <x:v>271</x:v>
      </x:c>
      <x:c r="R298" s="3" t="s">
        <x:v>391</x:v>
      </x:c>
      <x:c r="S298" s="3" t="s">
        <x:v>135</x:v>
      </x:c>
      <x:c r="T298" s="3" t="s">
        <x:v>135</x:v>
      </x:c>
      <x:c r="U298" s="3" t="s">
        <x:v>392</x:v>
      </x:c>
      <x:c r="V298" s="3" t="s">
        <x:v>312</x:v>
      </x:c>
      <x:c r="W298" s="3" t="s">
        <x:v>313</x:v>
      </x:c>
      <x:c r="X298" s="3" t="s">
        <x:v>314</x:v>
      </x:c>
      <x:c r="Y298" s="3" t="s">
        <x:v>315</x:v>
      </x:c>
      <x:c r="Z298" s="3" t="s">
        <x:v>393</x:v>
      </x:c>
      <x:c r="AA298" s="3" t="s">
        <x:v>394</x:v>
      </x:c>
      <x:c r="AB298" s="7" t="n">
        <x:v>46267.4590277778</x:v>
      </x:c>
      <x:c r="AC298" s="7" t="n">
        <x:v>46267.4625</x:v>
      </x:c>
      <x:c r="AD298" s="7" t="n">
        <x:v>46267.4638888889</x:v>
      </x:c>
      <x:c r="AE298" s="7" t="n">
        <x:v>46267.4909722222</x:v>
      </x:c>
      <x:c r="AF298" s="7" t="n">
        <x:v>46267.5423611111</x:v>
      </x:c>
      <x:c r="AG298" s="3" t="n">
        <x:v>46</x:v>
      </x:c>
      <x:c r="AH298" s="3" t="n">
        <x:v>66</x:v>
      </x:c>
      <x:c r="AI298" s="3" t="s">
        <x:v>135</x:v>
      </x:c>
      <x:c r="AJ298" s="3" t="s">
        <x:v>135</x:v>
      </x:c>
      <x:c r="AK298" s="3" t="n">
        <x:v>180</x:v>
      </x:c>
      <x:c r="AL298" s="3" t="n">
        <x:v>0</x:v>
      </x:c>
      <x:c r="AM298" s="8" t="n">
        <x:v>0.6222</x:v>
      </x:c>
      <x:c r="AN298" s="3" t="n">
        <x:v>3</x:v>
      </x:c>
      <x:c r="AO298" s="3" t="s">
        <x:v>14</x:v>
      </x:c>
      <x:c r="AP298" s="3" t="s">
        <x:v>633</x:v>
      </x:c>
      <x:c r="AQ298" s="3" t="s">
        <x:v>802</x:v>
      </x:c>
      <x:c r="AR298" s="9" t="n">
        <x:v>1572.2</x:v>
      </x:c>
      <x:c r="AS298" s="3" t="s">
        <x:v>185</x:v>
      </x:c>
      <x:c r="AT298" s="7" t="n">
        <x:v>46301.9166666667</x:v>
      </x:c>
    </x:row>
    <x:row r="299" ht="31.299999237060547" hidden="0">
      <x:c r="A299" s="3" t="s">
        <x:v>803</x:v>
      </x:c>
      <x:c r="B299" s="3" t="s">
        <x:v>433</x:v>
      </x:c>
      <x:c r="C299" s="3" t="s">
        <x:v>434</x:v>
      </x:c>
      <x:c r="D299" s="3" t="s">
        <x:v>435</x:v>
      </x:c>
      <x:c r="E299" s="3" t="s">
        <x:v>249</x:v>
      </x:c>
      <x:c r="F299" s="3" t="s">
        <x:v>149</x:v>
      </x:c>
      <x:c r="G299" s="3" t="s">
        <x:v>300</x:v>
      </x:c>
      <x:c r="H299" s="3" t="s">
        <x:v>301</x:v>
      </x:c>
      <x:c r="I299" s="3" t="s">
        <x:v>302</x:v>
      </x:c>
      <x:c r="J299" s="3" t="s">
        <x:v>303</x:v>
      </x:c>
      <x:c r="K299" s="3" t="s">
        <x:v>104</x:v>
      </x:c>
      <x:c r="L299" s="3" t="s">
        <x:v>437</x:v>
      </x:c>
      <x:c r="M299" s="3" t="s">
        <x:v>106</x:v>
      </x:c>
      <x:c r="N299" s="3" t="s">
        <x:v>438</x:v>
      </x:c>
      <x:c r="O299" s="3" t="s">
        <x:v>439</x:v>
      </x:c>
      <x:c r="P299" s="3" t="s">
        <x:v>440</x:v>
      </x:c>
      <x:c r="Q299" s="3" t="s">
        <x:v>441</x:v>
      </x:c>
      <x:c r="R299" s="3" t="s">
        <x:v>310</x:v>
      </x:c>
      <x:c r="S299" s="3" t="s">
        <x:v>135</x:v>
      </x:c>
      <x:c r="T299" s="3" t="s">
        <x:v>111</x:v>
      </x:c>
      <x:c r="U299" s="3" t="s">
        <x:v>311</x:v>
      </x:c>
      <x:c r="V299" s="3" t="s">
        <x:v>312</x:v>
      </x:c>
      <x:c r="W299" s="3" t="s">
        <x:v>313</x:v>
      </x:c>
      <x:c r="X299" s="3" t="s">
        <x:v>314</x:v>
      </x:c>
      <x:c r="Y299" s="3" t="s">
        <x:v>315</x:v>
      </x:c>
      <x:c r="Z299" s="3" t="s">
        <x:v>316</x:v>
      </x:c>
      <x:c r="AA299" s="3" t="s">
        <x:v>317</x:v>
      </x:c>
      <x:c r="AB299" s="7" t="n">
        <x:v>46267.5625</x:v>
      </x:c>
      <x:c r="AC299" s="7" t="n">
        <x:v>46267.5659722222</x:v>
      </x:c>
      <x:c r="AD299" s="7" t="n">
        <x:v>46267.5694444444</x:v>
      </x:c>
      <x:c r="AE299" s="7" t="n">
        <x:v>46267.5847222222</x:v>
      </x:c>
      <x:c r="AF299" s="7" t="n">
        <x:v>46267.6291666667</x:v>
      </x:c>
      <x:c r="AG299" s="3" t="n">
        <x:v>32</x:v>
      </x:c>
      <x:c r="AH299" s="3" t="n">
        <x:v>56</x:v>
      </x:c>
      <x:c r="AI299" s="3" t="s">
        <x:v>135</x:v>
      </x:c>
      <x:c r="AJ299" s="3" t="s">
        <x:v>135</x:v>
      </x:c>
      <x:c r="AK299" s="3" t="n">
        <x:v>180</x:v>
      </x:c>
      <x:c r="AL299" s="3" t="n">
        <x:v>0</x:v>
      </x:c>
      <x:c r="AM299" s="8" t="n">
        <x:v>0.4889</x:v>
      </x:c>
      <x:c r="AN299" s="3" t="n">
        <x:v>2</x:v>
      </x:c>
      <x:c r="AO299" s="3" t="s">
        <x:v>14</x:v>
      </x:c>
      <x:c r="AP299" s="3" t="s">
        <x:v>573</x:v>
      </x:c>
      <x:c r="AQ299" s="3" t="s">
        <x:v>562</x:v>
      </x:c>
      <x:c r="AR299" s="9" t="n">
        <x:v>807.2</x:v>
      </x:c>
      <x:c r="AS299" s="3" t="s">
        <x:v>121</x:v>
      </x:c>
      <x:c r="AT299" s="7" t="n">
        <x:v>46301.9166666667</x:v>
      </x:c>
    </x:row>
    <x:row r="300" ht="31.299999237060547" hidden="0">
      <x:c r="A300" s="3" t="s">
        <x:v>804</x:v>
      </x:c>
      <x:c r="B300" s="3" t="s">
        <x:v>205</x:v>
      </x:c>
      <x:c r="C300" s="3" t="s">
        <x:v>206</x:v>
      </x:c>
      <x:c r="D300" s="3" t="s">
        <x:v>207</x:v>
      </x:c>
      <x:c r="E300" s="3" t="s">
        <x:v>249</x:v>
      </x:c>
      <x:c r="F300" s="3" t="s">
        <x:v>99</x:v>
      </x:c>
      <x:c r="G300" s="3" t="s">
        <x:v>416</x:v>
      </x:c>
      <x:c r="H300" s="3" t="s">
        <x:v>339</x:v>
      </x:c>
      <x:c r="I300" s="3" t="s">
        <x:v>102</x:v>
      </x:c>
      <x:c r="J300" s="3" t="s">
        <x:v>103</x:v>
      </x:c>
      <x:c r="K300" s="3" t="s">
        <x:v>104</x:v>
      </x:c>
      <x:c r="L300" s="3" t="s">
        <x:v>209</x:v>
      </x:c>
      <x:c r="M300" s="3" t="s">
        <x:v>210</x:v>
      </x:c>
      <x:c r="N300" s="3" t="s">
        <x:v>211</x:v>
      </x:c>
      <x:c r="O300" s="3" t="s">
        <x:v>212</x:v>
      </x:c>
      <x:c r="P300" s="3" t="s">
        <x:v>213</x:v>
      </x:c>
      <x:c r="Q300" s="3" t="s">
        <x:v>254</x:v>
      </x:c>
      <x:c r="R300" s="3" t="s">
        <x:v>373</x:v>
      </x:c>
      <x:c r="S300" s="3" t="s">
        <x:v>135</x:v>
      </x:c>
      <x:c r="T300" s="3" t="s">
        <x:v>111</x:v>
      </x:c>
      <x:c r="U300" s="3" t="s">
        <x:v>374</x:v>
      </x:c>
      <x:c r="V300" s="3" t="s">
        <x:v>178</x:v>
      </x:c>
      <x:c r="W300" s="3" t="s">
        <x:v>332</x:v>
      </x:c>
      <x:c r="X300" s="3" t="s">
        <x:v>180</x:v>
      </x:c>
      <x:c r="Y300" s="3" t="s">
        <x:v>333</x:v>
      </x:c>
      <x:c r="Z300" s="3" t="s">
        <x:v>375</x:v>
      </x:c>
      <x:c r="AA300" s="3" t="s">
        <x:v>118</x:v>
      </x:c>
      <x:c r="AB300" s="7" t="n">
        <x:v>46267.6458333333</x:v>
      </x:c>
      <x:c r="AC300" s="7" t="n">
        <x:v>46267.6506944444</x:v>
      </x:c>
      <x:c r="AD300" s="7" t="n">
        <x:v>46267.6555555556</x:v>
      </x:c>
      <x:c r="AE300" s="7" t="n">
        <x:v>46267.6701388889</x:v>
      </x:c>
      <x:c r="AF300" s="7" t="n">
        <x:v>46267.7041666667</x:v>
      </x:c>
      <x:c r="AG300" s="3" t="n">
        <x:v>35</x:v>
      </x:c>
      <x:c r="AH300" s="3" t="n">
        <x:v>40</x:v>
      </x:c>
      <x:c r="AI300" s="3" t="s">
        <x:v>135</x:v>
      </x:c>
      <x:c r="AJ300" s="3" t="s">
        <x:v>135</x:v>
      </x:c>
      <x:c r="AK300" s="3" t="n">
        <x:v>180</x:v>
      </x:c>
      <x:c r="AL300" s="3" t="n">
        <x:v>0</x:v>
      </x:c>
      <x:c r="AM300" s="8" t="n">
        <x:v>0.4167</x:v>
      </x:c>
      <x:c r="AN300" s="3" t="n">
        <x:v>1</x:v>
      </x:c>
      <x:c r="AO300" s="3" t="s">
        <x:v>9</x:v>
      </x:c>
      <x:c r="AP300" s="3" t="s">
        <x:v>500</x:v>
      </x:c>
      <x:c r="AQ300" s="3" t="s">
        <x:v>697</x:v>
      </x:c>
      <x:c r="AR300" s="9" t="n">
        <x:v>705.5</x:v>
      </x:c>
      <x:c r="AS300" s="3" t="s">
        <x:v>121</x:v>
      </x:c>
      <x:c r="AT300" s="7" t="n">
        <x:v>46301.9166666667</x:v>
      </x:c>
    </x:row>
    <x:row r="301" ht="31.299999237060547" hidden="0">
      <x:c r="A301" s="3" t="s">
        <x:v>805</x:v>
      </x:c>
      <x:c r="B301" s="3" t="s">
        <x:v>187</x:v>
      </x:c>
      <x:c r="C301" s="3" t="s">
        <x:v>188</x:v>
      </x:c>
      <x:c r="D301" s="3" t="s">
        <x:v>189</x:v>
      </x:c>
      <x:c r="E301" s="3" t="s">
        <x:v>249</x:v>
      </x:c>
      <x:c r="F301" s="3" t="s">
        <x:v>169</x:v>
      </x:c>
      <x:c r="G301" s="3" t="s">
        <x:v>379</x:v>
      </x:c>
      <x:c r="H301" s="3" t="s">
        <x:v>339</x:v>
      </x:c>
      <x:c r="I301" s="3" t="s">
        <x:v>102</x:v>
      </x:c>
      <x:c r="J301" s="3" t="s">
        <x:v>103</x:v>
      </x:c>
      <x:c r="K301" s="3" t="s">
        <x:v>104</x:v>
      </x:c>
      <x:c r="L301" s="3" t="s">
        <x:v>191</x:v>
      </x:c>
      <x:c r="M301" s="3" t="s">
        <x:v>192</x:v>
      </x:c>
      <x:c r="N301" s="3" t="s">
        <x:v>193</x:v>
      </x:c>
      <x:c r="O301" s="3" t="s">
        <x:v>194</x:v>
      </x:c>
      <x:c r="P301" s="3" t="s">
        <x:v>195</x:v>
      </x:c>
      <x:c r="Q301" s="3" t="s">
        <x:v>273</x:v>
      </x:c>
      <x:c r="R301" s="3" t="s">
        <x:v>380</x:v>
      </x:c>
      <x:c r="S301" s="3" t="s">
        <x:v>111</x:v>
      </x:c>
      <x:c r="T301" s="3" t="s">
        <x:v>111</x:v>
      </x:c>
      <x:c r="U301" s="3" t="s">
        <x:v>381</x:v>
      </x:c>
      <x:c r="V301" s="3" t="s">
        <x:v>312</x:v>
      </x:c>
      <x:c r="W301" s="3" t="s">
        <x:v>351</x:v>
      </x:c>
      <x:c r="X301" s="3" t="s">
        <x:v>314</x:v>
      </x:c>
      <x:c r="Y301" s="3" t="s">
        <x:v>352</x:v>
      </x:c>
      <x:c r="Z301" s="3" t="s">
        <x:v>384</x:v>
      </x:c>
      <x:c r="AA301" s="3" t="s">
        <x:v>385</x:v>
      </x:c>
      <x:c r="AB301" s="7" t="n">
        <x:v>46267.6458333333</x:v>
      </x:c>
      <x:c r="AC301" s="7" t="n">
        <x:v>46267.6486111111</x:v>
      </x:c>
      <x:c r="AD301" s="7" t="n">
        <x:v>46267.6548611111</x:v>
      </x:c>
      <x:c r="AE301" s="7" t="n">
        <x:v>46267.6694444444</x:v>
      </x:c>
      <x:c r="AF301" s="7" t="n">
        <x:v>46267.7069444444</x:v>
      </x:c>
      <x:c r="AG301" s="3" t="n">
        <x:v>34</x:v>
      </x:c>
      <x:c r="AH301" s="3" t="n">
        <x:v>50</x:v>
      </x:c>
      <x:c r="AI301" s="3" t="s">
        <x:v>135</x:v>
      </x:c>
      <x:c r="AJ301" s="3" t="s">
        <x:v>111</x:v>
      </x:c>
      <x:c r="AK301" s="3" t="n">
        <x:v>120</x:v>
      </x:c>
      <x:c r="AL301" s="3" t="n">
        <x:v>0</x:v>
      </x:c>
      <x:c r="AM301" s="8" t="n">
        <x:v>0.7</x:v>
      </x:c>
      <x:c r="AN301" s="3" t="n">
        <x:v>2</x:v>
      </x:c>
      <x:c r="AO301" s="3" t="s">
        <x:v>14</x:v>
      </x:c>
      <x:c r="AP301" s="3" t="s">
        <x:v>605</x:v>
      </x:c>
      <x:c r="AQ301" s="3" t="s">
        <x:v>689</x:v>
      </x:c>
      <x:c r="AR301" s="9" t="n">
        <x:v>1153</x:v>
      </x:c>
      <x:c r="AS301" s="3" t="s">
        <x:v>185</x:v>
      </x:c>
      <x:c r="AT301" s="7" t="n">
        <x:v>46301.9166666667</x:v>
      </x:c>
    </x:row>
    <x:row r="302" ht="31.299999237060547" hidden="0">
      <x:c r="A302" s="3" t="s">
        <x:v>806</x:v>
      </x:c>
      <x:c r="B302" s="3" t="s">
        <x:v>433</x:v>
      </x:c>
      <x:c r="C302" s="3" t="s">
        <x:v>434</x:v>
      </x:c>
      <x:c r="D302" s="3" t="s">
        <x:v>435</x:v>
      </x:c>
      <x:c r="E302" s="3" t="s">
        <x:v>249</x:v>
      </x:c>
      <x:c r="F302" s="3" t="s">
        <x:v>99</x:v>
      </x:c>
      <x:c r="G302" s="3" t="s">
        <x:v>390</x:v>
      </x:c>
      <x:c r="H302" s="3" t="s">
        <x:v>301</x:v>
      </x:c>
      <x:c r="I302" s="3" t="s">
        <x:v>302</x:v>
      </x:c>
      <x:c r="J302" s="3" t="s">
        <x:v>303</x:v>
      </x:c>
      <x:c r="K302" s="3" t="s">
        <x:v>104</x:v>
      </x:c>
      <x:c r="L302" s="3" t="s">
        <x:v>437</x:v>
      </x:c>
      <x:c r="M302" s="3" t="s">
        <x:v>106</x:v>
      </x:c>
      <x:c r="N302" s="3" t="s">
        <x:v>438</x:v>
      </x:c>
      <x:c r="O302" s="3" t="s">
        <x:v>439</x:v>
      </x:c>
      <x:c r="P302" s="3" t="s">
        <x:v>440</x:v>
      </x:c>
      <x:c r="Q302" s="3" t="s">
        <x:v>441</x:v>
      </x:c>
      <x:c r="R302" s="3" t="s">
        <x:v>391</x:v>
      </x:c>
      <x:c r="S302" s="3" t="s">
        <x:v>135</x:v>
      </x:c>
      <x:c r="T302" s="3" t="s">
        <x:v>135</x:v>
      </x:c>
      <x:c r="U302" s="3" t="s">
        <x:v>392</x:v>
      </x:c>
      <x:c r="V302" s="3" t="s">
        <x:v>312</x:v>
      </x:c>
      <x:c r="W302" s="3" t="s">
        <x:v>313</x:v>
      </x:c>
      <x:c r="X302" s="3" t="s">
        <x:v>314</x:v>
      </x:c>
      <x:c r="Y302" s="3" t="s">
        <x:v>315</x:v>
      </x:c>
      <x:c r="Z302" s="3" t="s">
        <x:v>393</x:v>
      </x:c>
      <x:c r="AA302" s="3" t="s">
        <x:v>394</x:v>
      </x:c>
      <x:c r="AB302" s="7" t="n">
        <x:v>46267.7805555556</x:v>
      </x:c>
      <x:c r="AC302" s="7" t="n">
        <x:v>46267.7819444445</x:v>
      </x:c>
      <x:c r="AD302" s="7" t="n">
        <x:v>46267.7868055556</x:v>
      </x:c>
      <x:c r="AE302" s="7" t="n">
        <x:v>46267.8076388889</x:v>
      </x:c>
      <x:c r="AF302" s="7" t="n">
        <x:v>46267.8354166667</x:v>
      </x:c>
      <x:c r="AG302" s="3" t="n">
        <x:v>39</x:v>
      </x:c>
      <x:c r="AH302" s="3" t="n">
        <x:v>34</x:v>
      </x:c>
      <x:c r="AI302" s="3" t="s">
        <x:v>135</x:v>
      </x:c>
      <x:c r="AJ302" s="3" t="s">
        <x:v>135</x:v>
      </x:c>
      <x:c r="AK302" s="3" t="n">
        <x:v>180</x:v>
      </x:c>
      <x:c r="AL302" s="3" t="n">
        <x:v>0</x:v>
      </x:c>
      <x:c r="AM302" s="8" t="n">
        <x:v>0.4056</x:v>
      </x:c>
      <x:c r="AN302" s="3" t="n">
        <x:v>2</x:v>
      </x:c>
      <x:c r="AO302" s="3" t="s">
        <x:v>14</x:v>
      </x:c>
      <x:c r="AP302" s="3" t="s">
        <x:v>573</x:v>
      </x:c>
      <x:c r="AQ302" s="3" t="s">
        <x:v>562</x:v>
      </x:c>
      <x:c r="AR302" s="9" t="n">
        <x:v>680.3</x:v>
      </x:c>
      <x:c r="AS302" s="3" t="s">
        <x:v>121</x:v>
      </x:c>
      <x:c r="AT302" s="7" t="n">
        <x:v>46301.9166666667</x:v>
      </x:c>
    </x:row>
    <x:row r="303" ht="31.299999237060547" hidden="0">
      <x:c r="A303" s="3" t="s">
        <x:v>807</x:v>
      </x:c>
      <x:c r="B303" s="3" t="s">
        <x:v>222</x:v>
      </x:c>
      <x:c r="C303" s="3" t="s">
        <x:v>223</x:v>
      </x:c>
      <x:c r="D303" s="3" t="s">
        <x:v>224</x:v>
      </x:c>
      <x:c r="E303" s="3" t="s">
        <x:v>249</x:v>
      </x:c>
      <x:c r="F303" s="3" t="s">
        <x:v>149</x:v>
      </x:c>
      <x:c r="G303" s="3" t="s">
        <x:v>418</x:v>
      </x:c>
      <x:c r="H303" s="3" t="s">
        <x:v>343</x:v>
      </x:c>
      <x:c r="I303" s="3" t="s">
        <x:v>102</x:v>
      </x:c>
      <x:c r="J303" s="3" t="s">
        <x:v>103</x:v>
      </x:c>
      <x:c r="K303" s="3" t="s">
        <x:v>104</x:v>
      </x:c>
      <x:c r="L303" s="3" t="s">
        <x:v>226</x:v>
      </x:c>
      <x:c r="M303" s="3" t="s">
        <x:v>227</x:v>
      </x:c>
      <x:c r="N303" s="3" t="s">
        <x:v>228</x:v>
      </x:c>
      <x:c r="O303" s="3" t="s">
        <x:v>229</x:v>
      </x:c>
      <x:c r="P303" s="3" t="s">
        <x:v>230</x:v>
      </x:c>
      <x:c r="Q303" s="3" t="s">
        <x:v>274</x:v>
      </x:c>
      <x:c r="R303" s="3" t="s">
        <x:v>110</x:v>
      </x:c>
      <x:c r="S303" s="3" t="s">
        <x:v>111</x:v>
      </x:c>
      <x:c r="T303" s="3" t="s">
        <x:v>111</x:v>
      </x:c>
      <x:c r="U303" s="3" t="s">
        <x:v>112</x:v>
      </x:c>
      <x:c r="V303" s="3" t="s">
        <x:v>113</x:v>
      </x:c>
      <x:c r="W303" s="3" t="s">
        <x:v>419</x:v>
      </x:c>
      <x:c r="X303" s="3" t="s">
        <x:v>115</x:v>
      </x:c>
      <x:c r="Y303" s="3" t="s">
        <x:v>420</x:v>
      </x:c>
      <x:c r="Z303" s="3" t="s">
        <x:v>117</x:v>
      </x:c>
      <x:c r="AA303" s="3" t="s">
        <x:v>118</x:v>
      </x:c>
      <x:c r="AB303" s="7" t="n">
        <x:v>46268.3902777778</x:v>
      </x:c>
      <x:c r="AC303" s="7" t="n">
        <x:v>46268.39375</x:v>
      </x:c>
      <x:c r="AD303" s="7" t="n">
        <x:v>46268.3951388889</x:v>
      </x:c>
      <x:c r="AE303" s="7" t="n">
        <x:v>46268.4076388889</x:v>
      </x:c>
      <x:c r="AF303" s="7" t="n">
        <x:v>46268.4375</x:v>
      </x:c>
      <x:c r="AG303" s="3" t="n">
        <x:v>25</x:v>
      </x:c>
      <x:c r="AH303" s="3" t="n">
        <x:v>35</x:v>
      </x:c>
      <x:c r="AI303" s="3" t="s">
        <x:v>135</x:v>
      </x:c>
      <x:c r="AJ303" s="3" t="s">
        <x:v>135</x:v>
      </x:c>
      <x:c r="AK303" s="3" t="n">
        <x:v>120</x:v>
      </x:c>
      <x:c r="AL303" s="3" t="n">
        <x:v>0</x:v>
      </x:c>
      <x:c r="AM303" s="8" t="n">
        <x:v>0.5</x:v>
      </x:c>
      <x:c r="AN303" s="3" t="n">
        <x:v>0</x:v>
      </x:c>
      <x:c r="AO303" s="3" t="s">
        <x:v>9</x:v>
      </x:c>
      <x:c r="AP303" s="3" t="s">
        <x:v>142</x:v>
      </x:c>
      <x:c r="AQ303" s="3" t="s">
        <x:v>370</x:v>
      </x:c>
      <x:c r="AR303" s="9" t="n">
        <x:v>624.5</x:v>
      </x:c>
      <x:c r="AS303" s="3" t="s">
        <x:v>185</x:v>
      </x:c>
      <x:c r="AT303" s="7" t="n">
        <x:v>46301.9166666667</x:v>
      </x:c>
    </x:row>
    <x:row r="304" ht="31.299999237060547" hidden="0">
      <x:c r="A304" s="3" t="s">
        <x:v>808</x:v>
      </x:c>
      <x:c r="B304" s="3" t="s">
        <x:v>146</x:v>
      </x:c>
      <x:c r="C304" s="3" t="s">
        <x:v>147</x:v>
      </x:c>
      <x:c r="D304" s="3" t="s">
        <x:v>148</x:v>
      </x:c>
      <x:c r="E304" s="3" t="s">
        <x:v>249</x:v>
      </x:c>
      <x:c r="F304" s="3" t="s">
        <x:v>99</x:v>
      </x:c>
      <x:c r="G304" s="3" t="s">
        <x:v>377</x:v>
      </x:c>
      <x:c r="H304" s="3" t="s">
        <x:v>343</x:v>
      </x:c>
      <x:c r="I304" s="3" t="s">
        <x:v>102</x:v>
      </x:c>
      <x:c r="J304" s="3" t="s">
        <x:v>103</x:v>
      </x:c>
      <x:c r="K304" s="3" t="s">
        <x:v>104</x:v>
      </x:c>
      <x:c r="L304" s="3" t="s">
        <x:v>151</x:v>
      </x:c>
      <x:c r="M304" s="3" t="s">
        <x:v>152</x:v>
      </x:c>
      <x:c r="N304" s="3" t="s">
        <x:v>153</x:v>
      </x:c>
      <x:c r="O304" s="3" t="s">
        <x:v>154</x:v>
      </x:c>
      <x:c r="P304" s="3" t="s">
        <x:v>155</x:v>
      </x:c>
      <x:c r="Q304" s="3" t="s">
        <x:v>270</x:v>
      </x:c>
      <x:c r="R304" s="3" t="s">
        <x:v>330</x:v>
      </x:c>
      <x:c r="S304" s="3" t="s">
        <x:v>135</x:v>
      </x:c>
      <x:c r="T304" s="3" t="s">
        <x:v>111</x:v>
      </x:c>
      <x:c r="U304" s="3" t="s">
        <x:v>331</x:v>
      </x:c>
      <x:c r="V304" s="3" t="s">
        <x:v>178</x:v>
      </x:c>
      <x:c r="W304" s="3" t="s">
        <x:v>355</x:v>
      </x:c>
      <x:c r="X304" s="3" t="s">
        <x:v>180</x:v>
      </x:c>
      <x:c r="Y304" s="3" t="s">
        <x:v>356</x:v>
      </x:c>
      <x:c r="Z304" s="3" t="s">
        <x:v>334</x:v>
      </x:c>
      <x:c r="AA304" s="3" t="s">
        <x:v>118</x:v>
      </x:c>
      <x:c r="AB304" s="7" t="n">
        <x:v>46268.4326388889</x:v>
      </x:c>
      <x:c r="AC304" s="7" t="n">
        <x:v>46268.4375</x:v>
      </x:c>
      <x:c r="AD304" s="7" t="n">
        <x:v>46268.4395833333</x:v>
      </x:c>
      <x:c r="AE304" s="7" t="n">
        <x:v>46268.45625</x:v>
      </x:c>
      <x:c r="AF304" s="7" t="n">
        <x:v>46268.4847222222</x:v>
      </x:c>
      <x:c r="AG304" s="3" t="n">
        <x:v>34</x:v>
      </x:c>
      <x:c r="AH304" s="3" t="n">
        <x:v>34</x:v>
      </x:c>
      <x:c r="AI304" s="3" t="s">
        <x:v>135</x:v>
      </x:c>
      <x:c r="AJ304" s="3" t="s">
        <x:v>135</x:v>
      </x:c>
      <x:c r="AK304" s="3" t="n">
        <x:v>180</x:v>
      </x:c>
      <x:c r="AL304" s="3" t="n">
        <x:v>0</x:v>
      </x:c>
      <x:c r="AM304" s="8" t="n">
        <x:v>0.3778</x:v>
      </x:c>
      <x:c r="AN304" s="3" t="n">
        <x:v>0</x:v>
      </x:c>
      <x:c r="AO304" s="3" t="s">
        <x:v>9</x:v>
      </x:c>
      <x:c r="AP304" s="3" t="s">
        <x:v>142</x:v>
      </x:c>
      <x:c r="AQ304" s="3" t="s">
        <x:v>459</x:v>
      </x:c>
      <x:c r="AR304" s="9" t="n">
        <x:v>657.8</x:v>
      </x:c>
      <x:c r="AS304" s="3" t="s">
        <x:v>121</x:v>
      </x:c>
      <x:c r="AT304" s="7" t="n">
        <x:v>46301.9166666667</x:v>
      </x:c>
    </x:row>
    <x:row r="305" ht="31.299999237060547" hidden="0">
      <x:c r="A305" s="3" t="s">
        <x:v>809</x:v>
      </x:c>
      <x:c r="B305" s="3" t="s">
        <x:v>433</x:v>
      </x:c>
      <x:c r="C305" s="3" t="s">
        <x:v>434</x:v>
      </x:c>
      <x:c r="D305" s="3" t="s">
        <x:v>435</x:v>
      </x:c>
      <x:c r="E305" s="3" t="s">
        <x:v>249</x:v>
      </x:c>
      <x:c r="F305" s="3" t="s">
        <x:v>127</x:v>
      </x:c>
      <x:c r="G305" s="3" t="s">
        <x:v>436</x:v>
      </x:c>
      <x:c r="H305" s="3" t="s">
        <x:v>301</x:v>
      </x:c>
      <x:c r="I305" s="3" t="s">
        <x:v>302</x:v>
      </x:c>
      <x:c r="J305" s="3" t="s">
        <x:v>303</x:v>
      </x:c>
      <x:c r="K305" s="3" t="s">
        <x:v>104</x:v>
      </x:c>
      <x:c r="L305" s="3" t="s">
        <x:v>437</x:v>
      </x:c>
      <x:c r="M305" s="3" t="s">
        <x:v>106</x:v>
      </x:c>
      <x:c r="N305" s="3" t="s">
        <x:v>438</x:v>
      </x:c>
      <x:c r="O305" s="3" t="s">
        <x:v>439</x:v>
      </x:c>
      <x:c r="P305" s="3" t="s">
        <x:v>440</x:v>
      </x:c>
      <x:c r="Q305" s="3" t="s">
        <x:v>441</x:v>
      </x:c>
      <x:c r="R305" s="3" t="s">
        <x:v>391</x:v>
      </x:c>
      <x:c r="S305" s="3" t="s">
        <x:v>135</x:v>
      </x:c>
      <x:c r="T305" s="3" t="s">
        <x:v>135</x:v>
      </x:c>
      <x:c r="U305" s="3" t="s">
        <x:v>392</x:v>
      </x:c>
      <x:c r="V305" s="3" t="s">
        <x:v>312</x:v>
      </x:c>
      <x:c r="W305" s="3" t="s">
        <x:v>351</x:v>
      </x:c>
      <x:c r="X305" s="3" t="s">
        <x:v>314</x:v>
      </x:c>
      <x:c r="Y305" s="3" t="s">
        <x:v>352</x:v>
      </x:c>
      <x:c r="Z305" s="3" t="s">
        <x:v>393</x:v>
      </x:c>
      <x:c r="AA305" s="3" t="s">
        <x:v>394</x:v>
      </x:c>
      <x:c r="AB305" s="7" t="n">
        <x:v>46268.4409722222</x:v>
      </x:c>
      <x:c r="AC305" s="7" t="n">
        <x:v>46268.4458333333</x:v>
      </x:c>
      <x:c r="AD305" s="7" t="n">
        <x:v>46268.45</x:v>
      </x:c>
      <x:c r="AE305" s="7" t="n">
        <x:v>46268.4729166667</x:v>
      </x:c>
      <x:c r="AF305" s="7" t="n">
        <x:v>46268.5138888889</x:v>
      </x:c>
      <x:c r="AG305" s="3" t="n">
        <x:v>46</x:v>
      </x:c>
      <x:c r="AH305" s="3" t="n">
        <x:v>54</x:v>
      </x:c>
      <x:c r="AI305" s="3" t="s">
        <x:v>135</x:v>
      </x:c>
      <x:c r="AJ305" s="3" t="s">
        <x:v>135</x:v>
      </x:c>
      <x:c r="AK305" s="3" t="n">
        <x:v>180</x:v>
      </x:c>
      <x:c r="AL305" s="3" t="n">
        <x:v>0</x:v>
      </x:c>
      <x:c r="AM305" s="8" t="n">
        <x:v>0.5556</x:v>
      </x:c>
      <x:c r="AN305" s="3" t="n">
        <x:v>1</x:v>
      </x:c>
      <x:c r="AO305" s="3" t="s">
        <x:v>9</x:v>
      </x:c>
      <x:c r="AP305" s="3" t="s">
        <x:v>500</x:v>
      </x:c>
      <x:c r="AQ305" s="3" t="s">
        <x:v>562</x:v>
      </x:c>
      <x:c r="AR305" s="9" t="n">
        <x:v>855.8</x:v>
      </x:c>
      <x:c r="AS305" s="3" t="s">
        <x:v>185</x:v>
      </x:c>
      <x:c r="AT305" s="7" t="n">
        <x:v>46301.9166666667</x:v>
      </x:c>
    </x:row>
    <x:row r="306" ht="31.299999237060547" hidden="0">
      <x:c r="A306" s="3" t="s">
        <x:v>810</x:v>
      </x:c>
      <x:c r="B306" s="3" t="s">
        <x:v>222</x:v>
      </x:c>
      <x:c r="C306" s="3" t="s">
        <x:v>223</x:v>
      </x:c>
      <x:c r="D306" s="3" t="s">
        <x:v>224</x:v>
      </x:c>
      <x:c r="E306" s="3" t="s">
        <x:v>249</x:v>
      </x:c>
      <x:c r="F306" s="3" t="s">
        <x:v>99</x:v>
      </x:c>
      <x:c r="G306" s="3" t="s">
        <x:v>498</x:v>
      </x:c>
      <x:c r="H306" s="3" t="s">
        <x:v>101</x:v>
      </x:c>
      <x:c r="I306" s="3" t="s">
        <x:v>102</x:v>
      </x:c>
      <x:c r="J306" s="3" t="s">
        <x:v>103</x:v>
      </x:c>
      <x:c r="K306" s="3" t="s">
        <x:v>104</x:v>
      </x:c>
      <x:c r="L306" s="3" t="s">
        <x:v>226</x:v>
      </x:c>
      <x:c r="M306" s="3" t="s">
        <x:v>227</x:v>
      </x:c>
      <x:c r="N306" s="3" t="s">
        <x:v>228</x:v>
      </x:c>
      <x:c r="O306" s="3" t="s">
        <x:v>229</x:v>
      </x:c>
      <x:c r="P306" s="3" t="s">
        <x:v>230</x:v>
      </x:c>
      <x:c r="Q306" s="3" t="s">
        <x:v>274</x:v>
      </x:c>
      <x:c r="R306" s="3" t="s">
        <x:v>310</x:v>
      </x:c>
      <x:c r="S306" s="3" t="s">
        <x:v>135</x:v>
      </x:c>
      <x:c r="T306" s="3" t="s">
        <x:v>111</x:v>
      </x:c>
      <x:c r="U306" s="3" t="s">
        <x:v>311</x:v>
      </x:c>
      <x:c r="V306" s="3" t="s">
        <x:v>312</x:v>
      </x:c>
      <x:c r="W306" s="3" t="s">
        <x:v>382</x:v>
      </x:c>
      <x:c r="X306" s="3" t="s">
        <x:v>314</x:v>
      </x:c>
      <x:c r="Y306" s="3" t="s">
        <x:v>383</x:v>
      </x:c>
      <x:c r="Z306" s="3" t="s">
        <x:v>316</x:v>
      </x:c>
      <x:c r="AA306" s="3" t="s">
        <x:v>317</x:v>
      </x:c>
      <x:c r="AB306" s="7" t="n">
        <x:v>46268.4611111111</x:v>
      </x:c>
      <x:c r="AC306" s="7" t="n">
        <x:v>46268.4638888889</x:v>
      </x:c>
      <x:c r="AD306" s="7" t="n">
        <x:v>46268.4701388889</x:v>
      </x:c>
      <x:c r="AE306" s="7" t="n">
        <x:v>46268.4923611111</x:v>
      </x:c>
      <x:c r="AF306" s="7" t="n">
        <x:v>46268.5395833333</x:v>
      </x:c>
      <x:c r="AG306" s="3" t="n">
        <x:v>45</x:v>
      </x:c>
      <x:c r="AH306" s="3" t="n">
        <x:v>63</x:v>
      </x:c>
      <x:c r="AI306" s="3" t="s">
        <x:v>135</x:v>
      </x:c>
      <x:c r="AJ306" s="3" t="s">
        <x:v>135</x:v>
      </x:c>
      <x:c r="AK306" s="3" t="n">
        <x:v>180</x:v>
      </x:c>
      <x:c r="AL306" s="3" t="n">
        <x:v>0</x:v>
      </x:c>
      <x:c r="AM306" s="8" t="n">
        <x:v>0.6</x:v>
      </x:c>
      <x:c r="AN306" s="3" t="n">
        <x:v>0</x:v>
      </x:c>
      <x:c r="AO306" s="3" t="s">
        <x:v>14</x:v>
      </x:c>
      <x:c r="AP306" s="3" t="s">
        <x:v>347</x:v>
      </x:c>
      <x:c r="AQ306" s="3" t="s">
        <x:v>452</x:v>
      </x:c>
      <x:c r="AR306" s="9" t="n">
        <x:v>916.1</x:v>
      </x:c>
      <x:c r="AS306" s="3" t="s">
        <x:v>121</x:v>
      </x:c>
      <x:c r="AT306" s="7" t="n">
        <x:v>46301.9166666667</x:v>
      </x:c>
    </x:row>
    <x:row r="307" ht="31.299999237060547" hidden="0">
      <x:c r="A307" s="3" t="s">
        <x:v>811</x:v>
      </x:c>
      <x:c r="B307" s="3" t="s">
        <x:v>397</x:v>
      </x:c>
      <x:c r="C307" s="3" t="s">
        <x:v>398</x:v>
      </x:c>
      <x:c r="D307" s="3" t="s">
        <x:v>399</x:v>
      </x:c>
      <x:c r="E307" s="3" t="s">
        <x:v>249</x:v>
      </x:c>
      <x:c r="F307" s="3" t="s">
        <x:v>127</x:v>
      </x:c>
      <x:c r="G307" s="3" t="s">
        <x:v>575</x:v>
      </x:c>
      <x:c r="H307" s="3" t="s">
        <x:v>301</x:v>
      </x:c>
      <x:c r="I307" s="3" t="s">
        <x:v>302</x:v>
      </x:c>
      <x:c r="J307" s="3" t="s">
        <x:v>303</x:v>
      </x:c>
      <x:c r="K307" s="3" t="s">
        <x:v>104</x:v>
      </x:c>
      <x:c r="L307" s="3" t="s">
        <x:v>401</x:v>
      </x:c>
      <x:c r="M307" s="3" t="s">
        <x:v>402</x:v>
      </x:c>
      <x:c r="N307" s="3" t="s">
        <x:v>403</x:v>
      </x:c>
      <x:c r="O307" s="3" t="s">
        <x:v>404</x:v>
      </x:c>
      <x:c r="P307" s="3" t="s">
        <x:v>405</x:v>
      </x:c>
      <x:c r="Q307" s="3" t="s">
        <x:v>406</x:v>
      </x:c>
      <x:c r="R307" s="3" t="s">
        <x:v>196</x:v>
      </x:c>
      <x:c r="S307" s="3" t="s">
        <x:v>111</x:v>
      </x:c>
      <x:c r="T307" s="3" t="s">
        <x:v>111</x:v>
      </x:c>
      <x:c r="U307" s="3" t="s">
        <x:v>197</x:v>
      </x:c>
      <x:c r="V307" s="3" t="s">
        <x:v>198</x:v>
      </x:c>
      <x:c r="W307" s="3" t="s">
        <x:v>365</x:v>
      </x:c>
      <x:c r="X307" s="3" t="s">
        <x:v>366</x:v>
      </x:c>
      <x:c r="Y307" s="3" t="s">
        <x:v>367</x:v>
      </x:c>
      <x:c r="Z307" s="3" t="s">
        <x:v>201</x:v>
      </x:c>
      <x:c r="AA307" s="3" t="s">
        <x:v>368</x:v>
      </x:c>
      <x:c r="AB307" s="7" t="n">
        <x:v>46268.4763888889</x:v>
      </x:c>
      <x:c r="AC307" s="7" t="n">
        <x:v>46268.4798611111</x:v>
      </x:c>
      <x:c r="AD307" s="7" t="n">
        <x:v>46268.4847222222</x:v>
      </x:c>
      <x:c r="AE307" s="7" t="n">
        <x:v>46268.50625</x:v>
      </x:c>
      <x:c r="AF307" s="7" t="n">
        <x:v>46268.5590277778</x:v>
      </x:c>
      <x:c r="AG307" s="3" t="n">
        <x:v>43</x:v>
      </x:c>
      <x:c r="AH307" s="3" t="n">
        <x:v>68</x:v>
      </x:c>
      <x:c r="AI307" s="3" t="s">
        <x:v>135</x:v>
      </x:c>
      <x:c r="AJ307" s="3" t="s">
        <x:v>135</x:v>
      </x:c>
      <x:c r="AK307" s="3" t="n">
        <x:v>120</x:v>
      </x:c>
      <x:c r="AL307" s="3" t="n">
        <x:v>0</x:v>
      </x:c>
      <x:c r="AM307" s="8" t="n">
        <x:v>0.925</x:v>
      </x:c>
      <x:c r="AN307" s="3" t="n">
        <x:v>0</x:v>
      </x:c>
      <x:c r="AO307" s="3" t="s">
        <x:v>19</x:v>
      </x:c>
      <x:c r="AP307" s="3" t="s">
        <x:v>369</x:v>
      </x:c>
      <x:c r="AQ307" s="3" t="s">
        <x:v>550</x:v>
      </x:c>
      <x:c r="AR307" s="9" t="n">
        <x:v>943.1</x:v>
      </x:c>
      <x:c r="AS307" s="3" t="s">
        <x:v>185</x:v>
      </x:c>
      <x:c r="AT307" s="7" t="n">
        <x:v>46301.9166666667</x:v>
      </x:c>
    </x:row>
    <x:row r="308" ht="31.299999237060547" hidden="0">
      <x:c r="A308" s="3" t="s">
        <x:v>812</x:v>
      </x:c>
      <x:c r="B308" s="3" t="s">
        <x:v>297</x:v>
      </x:c>
      <x:c r="C308" s="3" t="s">
        <x:v>298</x:v>
      </x:c>
      <x:c r="D308" s="3" t="s">
        <x:v>299</x:v>
      </x:c>
      <x:c r="E308" s="3" t="s">
        <x:v>249</x:v>
      </x:c>
      <x:c r="F308" s="3" t="s">
        <x:v>149</x:v>
      </x:c>
      <x:c r="G308" s="3" t="s">
        <x:v>324</x:v>
      </x:c>
      <x:c r="H308" s="3" t="s">
        <x:v>301</x:v>
      </x:c>
      <x:c r="I308" s="3" t="s">
        <x:v>302</x:v>
      </x:c>
      <x:c r="J308" s="3" t="s">
        <x:v>303</x:v>
      </x:c>
      <x:c r="K308" s="3" t="s">
        <x:v>104</x:v>
      </x:c>
      <x:c r="L308" s="3" t="s">
        <x:v>304</x:v>
      </x:c>
      <x:c r="M308" s="3" t="s">
        <x:v>305</x:v>
      </x:c>
      <x:c r="N308" s="3" t="s">
        <x:v>306</x:v>
      </x:c>
      <x:c r="O308" s="3" t="s">
        <x:v>307</x:v>
      </x:c>
      <x:c r="P308" s="3" t="s">
        <x:v>308</x:v>
      </x:c>
      <x:c r="Q308" s="3" t="s">
        <x:v>309</x:v>
      </x:c>
      <x:c r="R308" s="3" t="s">
        <x:v>330</x:v>
      </x:c>
      <x:c r="S308" s="3" t="s">
        <x:v>135</x:v>
      </x:c>
      <x:c r="T308" s="3" t="s">
        <x:v>111</x:v>
      </x:c>
      <x:c r="U308" s="3" t="s">
        <x:v>331</x:v>
      </x:c>
      <x:c r="V308" s="3" t="s">
        <x:v>178</x:v>
      </x:c>
      <x:c r="W308" s="3" t="s">
        <x:v>179</x:v>
      </x:c>
      <x:c r="X308" s="3" t="s">
        <x:v>180</x:v>
      </x:c>
      <x:c r="Y308" s="3" t="s">
        <x:v>414</x:v>
      </x:c>
      <x:c r="Z308" s="3" t="s">
        <x:v>334</x:v>
      </x:c>
      <x:c r="AA308" s="3" t="s">
        <x:v>118</x:v>
      </x:c>
      <x:c r="AB308" s="7" t="n">
        <x:v>46268.5326388889</x:v>
      </x:c>
      <x:c r="AC308" s="7" t="n">
        <x:v>46268.5368055556</x:v>
      </x:c>
      <x:c r="AD308" s="7" t="n">
        <x:v>46268.5430555556</x:v>
      </x:c>
      <x:c r="AE308" s="7" t="n">
        <x:v>46268.5569444444</x:v>
      </x:c>
      <x:c r="AF308" s="7" t="n">
        <x:v>46268.6229166667</x:v>
      </x:c>
      <x:c r="AG308" s="3" t="n">
        <x:v>35</x:v>
      </x:c>
      <x:c r="AH308" s="3" t="n">
        <x:v>87</x:v>
      </x:c>
      <x:c r="AI308" s="3" t="s">
        <x:v>135</x:v>
      </x:c>
      <x:c r="AJ308" s="3" t="s">
        <x:v>111</x:v>
      </x:c>
      <x:c r="AK308" s="3" t="n">
        <x:v>180</x:v>
      </x:c>
      <x:c r="AL308" s="3" t="n">
        <x:v>0</x:v>
      </x:c>
      <x:c r="AM308" s="8" t="n">
        <x:v>0.6778</x:v>
      </x:c>
      <x:c r="AN308" s="3" t="n">
        <x:v>2</x:v>
      </x:c>
      <x:c r="AO308" s="3" t="s">
        <x:v>14</x:v>
      </x:c>
      <x:c r="AP308" s="3" t="s">
        <x:v>605</x:v>
      </x:c>
      <x:c r="AQ308" s="3" t="s">
        <x:v>603</x:v>
      </x:c>
      <x:c r="AR308" s="9" t="n">
        <x:v>1423.9</x:v>
      </x:c>
      <x:c r="AS308" s="3" t="s">
        <x:v>185</x:v>
      </x:c>
      <x:c r="AT308" s="7" t="n">
        <x:v>46301.9166666667</x:v>
      </x:c>
    </x:row>
    <x:row r="309" ht="31.299999237060547" hidden="0">
      <x:c r="A309" s="3" t="s">
        <x:v>813</x:v>
      </x:c>
      <x:c r="B309" s="3" t="s">
        <x:v>233</x:v>
      </x:c>
      <x:c r="C309" s="3" t="s">
        <x:v>234</x:v>
      </x:c>
      <x:c r="D309" s="3" t="s">
        <x:v>235</x:v>
      </x:c>
      <x:c r="E309" s="3" t="s">
        <x:v>249</x:v>
      </x:c>
      <x:c r="F309" s="3" t="s">
        <x:v>127</x:v>
      </x:c>
      <x:c r="G309" s="3" t="s">
        <x:v>377</x:v>
      </x:c>
      <x:c r="H309" s="3" t="s">
        <x:v>343</x:v>
      </x:c>
      <x:c r="I309" s="3" t="s">
        <x:v>102</x:v>
      </x:c>
      <x:c r="J309" s="3" t="s">
        <x:v>103</x:v>
      </x:c>
      <x:c r="K309" s="3" t="s">
        <x:v>104</x:v>
      </x:c>
      <x:c r="L309" s="3" t="s">
        <x:v>237</x:v>
      </x:c>
      <x:c r="M309" s="3" t="s">
        <x:v>172</x:v>
      </x:c>
      <x:c r="N309" s="3" t="s">
        <x:v>238</x:v>
      </x:c>
      <x:c r="O309" s="3" t="s">
        <x:v>239</x:v>
      </x:c>
      <x:c r="P309" s="3" t="s">
        <x:v>240</x:v>
      </x:c>
      <x:c r="Q309" s="3" t="s">
        <x:v>276</x:v>
      </x:c>
      <x:c r="R309" s="3" t="s">
        <x:v>330</x:v>
      </x:c>
      <x:c r="S309" s="3" t="s">
        <x:v>135</x:v>
      </x:c>
      <x:c r="T309" s="3" t="s">
        <x:v>111</x:v>
      </x:c>
      <x:c r="U309" s="3" t="s">
        <x:v>331</x:v>
      </x:c>
      <x:c r="V309" s="3" t="s">
        <x:v>178</x:v>
      </x:c>
      <x:c r="W309" s="3" t="s">
        <x:v>332</x:v>
      </x:c>
      <x:c r="X309" s="3" t="s">
        <x:v>180</x:v>
      </x:c>
      <x:c r="Y309" s="3" t="s">
        <x:v>333</x:v>
      </x:c>
      <x:c r="Z309" s="3" t="s">
        <x:v>334</x:v>
      </x:c>
      <x:c r="AA309" s="3" t="s">
        <x:v>118</x:v>
      </x:c>
      <x:c r="AB309" s="7" t="n">
        <x:v>46268.5541666667</x:v>
      </x:c>
      <x:c r="AC309" s="7" t="n">
        <x:v>46268.5555555556</x:v>
      </x:c>
      <x:c r="AD309" s="7" t="n">
        <x:v>46268.5583333333</x:v>
      </x:c>
      <x:c r="AE309" s="7" t="n">
        <x:v>46268.5729166667</x:v>
      </x:c>
      <x:c r="AF309" s="7" t="n">
        <x:v>46268.59375</x:v>
      </x:c>
      <x:c r="AG309" s="3" t="n">
        <x:v>27</x:v>
      </x:c>
      <x:c r="AH309" s="3" t="n">
        <x:v>21</x:v>
      </x:c>
      <x:c r="AI309" s="3" t="s">
        <x:v>135</x:v>
      </x:c>
      <x:c r="AJ309" s="3" t="s">
        <x:v>111</x:v>
      </x:c>
      <x:c r="AK309" s="3" t="n">
        <x:v>150</x:v>
      </x:c>
      <x:c r="AL309" s="3" t="n">
        <x:v>0</x:v>
      </x:c>
      <x:c r="AM309" s="8" t="n">
        <x:v>0.32</x:v>
      </x:c>
      <x:c r="AN309" s="3" t="n">
        <x:v>0</x:v>
      </x:c>
      <x:c r="AO309" s="3" t="s">
        <x:v>9</x:v>
      </x:c>
      <x:c r="AP309" s="3" t="s">
        <x:v>335</x:v>
      </x:c>
      <x:c r="AQ309" s="3" t="s">
        <x:v>361</x:v>
      </x:c>
      <x:c r="AR309" s="9" t="n">
        <x:v>532.7</x:v>
      </x:c>
      <x:c r="AS309" s="3" t="s">
        <x:v>144</x:v>
      </x:c>
      <x:c r="AT309" s="7" t="n">
        <x:v>46301.9166666667</x:v>
      </x:c>
    </x:row>
    <x:row r="310" ht="31.299999237060547" hidden="0">
      <x:c r="A310" s="3" t="s">
        <x:v>814</x:v>
      </x:c>
      <x:c r="B310" s="3" t="s">
        <x:v>205</x:v>
      </x:c>
      <x:c r="C310" s="3" t="s">
        <x:v>206</x:v>
      </x:c>
      <x:c r="D310" s="3" t="s">
        <x:v>207</x:v>
      </x:c>
      <x:c r="E310" s="3" t="s">
        <x:v>249</x:v>
      </x:c>
      <x:c r="F310" s="3" t="s">
        <x:v>169</x:v>
      </x:c>
      <x:c r="G310" s="3" t="s">
        <x:v>458</x:v>
      </x:c>
      <x:c r="H310" s="3" t="s">
        <x:v>339</x:v>
      </x:c>
      <x:c r="I310" s="3" t="s">
        <x:v>102</x:v>
      </x:c>
      <x:c r="J310" s="3" t="s">
        <x:v>103</x:v>
      </x:c>
      <x:c r="K310" s="3" t="s">
        <x:v>104</x:v>
      </x:c>
      <x:c r="L310" s="3" t="s">
        <x:v>209</x:v>
      </x:c>
      <x:c r="M310" s="3" t="s">
        <x:v>210</x:v>
      </x:c>
      <x:c r="N310" s="3" t="s">
        <x:v>211</x:v>
      </x:c>
      <x:c r="O310" s="3" t="s">
        <x:v>212</x:v>
      </x:c>
      <x:c r="P310" s="3" t="s">
        <x:v>213</x:v>
      </x:c>
      <x:c r="Q310" s="3" t="s">
        <x:v>254</x:v>
      </x:c>
      <x:c r="R310" s="3" t="s">
        <x:v>391</x:v>
      </x:c>
      <x:c r="S310" s="3" t="s">
        <x:v>135</x:v>
      </x:c>
      <x:c r="T310" s="3" t="s">
        <x:v>135</x:v>
      </x:c>
      <x:c r="U310" s="3" t="s">
        <x:v>392</x:v>
      </x:c>
      <x:c r="V310" s="3" t="s">
        <x:v>312</x:v>
      </x:c>
      <x:c r="W310" s="3" t="s">
        <x:v>382</x:v>
      </x:c>
      <x:c r="X310" s="3" t="s">
        <x:v>314</x:v>
      </x:c>
      <x:c r="Y310" s="3" t="s">
        <x:v>383</x:v>
      </x:c>
      <x:c r="Z310" s="3" t="s">
        <x:v>393</x:v>
      </x:c>
      <x:c r="AA310" s="3" t="s">
        <x:v>394</x:v>
      </x:c>
      <x:c r="AB310" s="7" t="n">
        <x:v>46268.5611111111</x:v>
      </x:c>
      <x:c r="AC310" s="7" t="n">
        <x:v>46268.5625</x:v>
      </x:c>
      <x:c r="AD310" s="7" t="n">
        <x:v>46268.5652777778</x:v>
      </x:c>
      <x:c r="AE310" s="7" t="n">
        <x:v>46268.5902777778</x:v>
      </x:c>
      <x:c r="AF310" s="7" t="n">
        <x:v>46268.6125</x:v>
      </x:c>
      <x:c r="AG310" s="3" t="n">
        <x:v>42</x:v>
      </x:c>
      <x:c r="AH310" s="3" t="n">
        <x:v>27</x:v>
      </x:c>
      <x:c r="AI310" s="3" t="s">
        <x:v>135</x:v>
      </x:c>
      <x:c r="AJ310" s="3" t="s">
        <x:v>135</x:v>
      </x:c>
      <x:c r="AK310" s="3" t="n">
        <x:v>180</x:v>
      </x:c>
      <x:c r="AL310" s="3" t="n">
        <x:v>0</x:v>
      </x:c>
      <x:c r="AM310" s="8" t="n">
        <x:v>0.3833</x:v>
      </x:c>
      <x:c r="AN310" s="3" t="n">
        <x:v>0</x:v>
      </x:c>
      <x:c r="AO310" s="3" t="s">
        <x:v>9</x:v>
      </x:c>
      <x:c r="AP310" s="3" t="s">
        <x:v>142</x:v>
      </x:c>
      <x:c r="AQ310" s="3" t="s">
        <x:v>220</x:v>
      </x:c>
      <x:c r="AR310" s="9" t="n">
        <x:v>643.4</x:v>
      </x:c>
      <x:c r="AS310" s="3" t="s">
        <x:v>121</x:v>
      </x:c>
      <x:c r="AT310" s="7" t="n">
        <x:v>46301.9166666667</x:v>
      </x:c>
    </x:row>
    <x:row r="311" ht="31.299999237060547" hidden="0">
      <x:c r="A311" s="3" t="s">
        <x:v>815</x:v>
      </x:c>
      <x:c r="B311" s="3" t="s">
        <x:v>297</x:v>
      </x:c>
      <x:c r="C311" s="3" t="s">
        <x:v>298</x:v>
      </x:c>
      <x:c r="D311" s="3" t="s">
        <x:v>299</x:v>
      </x:c>
      <x:c r="E311" s="3" t="s">
        <x:v>249</x:v>
      </x:c>
      <x:c r="F311" s="3" t="s">
        <x:v>169</x:v>
      </x:c>
      <x:c r="G311" s="3" t="s">
        <x:v>598</x:v>
      </x:c>
      <x:c r="H311" s="3" t="s">
        <x:v>301</x:v>
      </x:c>
      <x:c r="I311" s="3" t="s">
        <x:v>302</x:v>
      </x:c>
      <x:c r="J311" s="3" t="s">
        <x:v>303</x:v>
      </x:c>
      <x:c r="K311" s="3" t="s">
        <x:v>104</x:v>
      </x:c>
      <x:c r="L311" s="3" t="s">
        <x:v>304</x:v>
      </x:c>
      <x:c r="M311" s="3" t="s">
        <x:v>305</x:v>
      </x:c>
      <x:c r="N311" s="3" t="s">
        <x:v>306</x:v>
      </x:c>
      <x:c r="O311" s="3" t="s">
        <x:v>307</x:v>
      </x:c>
      <x:c r="P311" s="3" t="s">
        <x:v>308</x:v>
      </x:c>
      <x:c r="Q311" s="3" t="s">
        <x:v>309</x:v>
      </x:c>
      <x:c r="R311" s="3" t="s">
        <x:v>196</x:v>
      </x:c>
      <x:c r="S311" s="3" t="s">
        <x:v>111</x:v>
      </x:c>
      <x:c r="T311" s="3" t="s">
        <x:v>111</x:v>
      </x:c>
      <x:c r="U311" s="3" t="s">
        <x:v>197</x:v>
      </x:c>
      <x:c r="V311" s="3" t="s">
        <x:v>198</x:v>
      </x:c>
      <x:c r="W311" s="3" t="s">
        <x:v>365</x:v>
      </x:c>
      <x:c r="X311" s="3" t="s">
        <x:v>366</x:v>
      </x:c>
      <x:c r="Y311" s="3" t="s">
        <x:v>367</x:v>
      </x:c>
      <x:c r="Z311" s="3" t="s">
        <x:v>201</x:v>
      </x:c>
      <x:c r="AA311" s="3" t="s">
        <x:v>368</x:v>
      </x:c>
      <x:c r="AB311" s="7" t="n">
        <x:v>46268.5673611111</x:v>
      </x:c>
      <x:c r="AC311" s="7" t="n">
        <x:v>46268.5701388889</x:v>
      </x:c>
      <x:c r="AD311" s="7" t="n">
        <x:v>46268.5756944444</x:v>
      </x:c>
      <x:c r="AE311" s="7" t="n">
        <x:v>46268.5826388889</x:v>
      </x:c>
      <x:c r="AF311" s="7" t="n">
        <x:v>46268.6180555556</x:v>
      </x:c>
      <x:c r="AG311" s="3" t="n">
        <x:v>22</x:v>
      </x:c>
      <x:c r="AH311" s="3" t="n">
        <x:v>41</x:v>
      </x:c>
      <x:c r="AI311" s="3" t="s">
        <x:v>135</x:v>
      </x:c>
      <x:c r="AJ311" s="3" t="s">
        <x:v>111</x:v>
      </x:c>
      <x:c r="AK311" s="3" t="n">
        <x:v>120</x:v>
      </x:c>
      <x:c r="AL311" s="3" t="n">
        <x:v>0</x:v>
      </x:c>
      <x:c r="AM311" s="8" t="n">
        <x:v>0.525</x:v>
      </x:c>
      <x:c r="AN311" s="3" t="n">
        <x:v>0</x:v>
      </x:c>
      <x:c r="AO311" s="3" t="s">
        <x:v>9</x:v>
      </x:c>
      <x:c r="AP311" s="3" t="s">
        <x:v>335</x:v>
      </x:c>
      <x:c r="AQ311" s="3" t="s">
        <x:v>395</x:v>
      </x:c>
      <x:c r="AR311" s="9" t="n">
        <x:v>1034.2</x:v>
      </x:c>
      <x:c r="AS311" s="3" t="s">
        <x:v>121</x:v>
      </x:c>
      <x:c r="AT311" s="7" t="n">
        <x:v>46301.9166666667</x:v>
      </x:c>
    </x:row>
    <x:row r="312" ht="31.299999237060547" hidden="0">
      <x:c r="A312" s="3" t="s">
        <x:v>816</x:v>
      </x:c>
      <x:c r="B312" s="3" t="s">
        <x:v>297</x:v>
      </x:c>
      <x:c r="C312" s="3" t="s">
        <x:v>298</x:v>
      </x:c>
      <x:c r="D312" s="3" t="s">
        <x:v>299</x:v>
      </x:c>
      <x:c r="E312" s="3" t="s">
        <x:v>249</x:v>
      </x:c>
      <x:c r="F312" s="3" t="s">
        <x:v>99</x:v>
      </x:c>
      <x:c r="G312" s="3" t="s">
        <x:v>300</x:v>
      </x:c>
      <x:c r="H312" s="3" t="s">
        <x:v>301</x:v>
      </x:c>
      <x:c r="I312" s="3" t="s">
        <x:v>302</x:v>
      </x:c>
      <x:c r="J312" s="3" t="s">
        <x:v>303</x:v>
      </x:c>
      <x:c r="K312" s="3" t="s">
        <x:v>104</x:v>
      </x:c>
      <x:c r="L312" s="3" t="s">
        <x:v>304</x:v>
      </x:c>
      <x:c r="M312" s="3" t="s">
        <x:v>305</x:v>
      </x:c>
      <x:c r="N312" s="3" t="s">
        <x:v>306</x:v>
      </x:c>
      <x:c r="O312" s="3" t="s">
        <x:v>307</x:v>
      </x:c>
      <x:c r="P312" s="3" t="s">
        <x:v>308</x:v>
      </x:c>
      <x:c r="Q312" s="3" t="s">
        <x:v>309</x:v>
      </x:c>
      <x:c r="R312" s="3" t="s">
        <x:v>310</x:v>
      </x:c>
      <x:c r="S312" s="3" t="s">
        <x:v>135</x:v>
      </x:c>
      <x:c r="T312" s="3" t="s">
        <x:v>111</x:v>
      </x:c>
      <x:c r="U312" s="3" t="s">
        <x:v>311</x:v>
      </x:c>
      <x:c r="V312" s="3" t="s">
        <x:v>312</x:v>
      </x:c>
      <x:c r="W312" s="3" t="s">
        <x:v>351</x:v>
      </x:c>
      <x:c r="X312" s="3" t="s">
        <x:v>314</x:v>
      </x:c>
      <x:c r="Y312" s="3" t="s">
        <x:v>352</x:v>
      </x:c>
      <x:c r="Z312" s="3" t="s">
        <x:v>316</x:v>
      </x:c>
      <x:c r="AA312" s="3" t="s">
        <x:v>317</x:v>
      </x:c>
      <x:c r="AB312" s="7" t="n">
        <x:v>46268.5694444444</x:v>
      </x:c>
      <x:c r="AC312" s="7" t="n">
        <x:v>46268.5715277778</x:v>
      </x:c>
      <x:c r="AD312" s="7" t="n">
        <x:v>46268.5763888889</x:v>
      </x:c>
      <x:c r="AE312" s="7" t="n">
        <x:v>46268.5979166667</x:v>
      </x:c>
      <x:c r="AF312" s="7" t="n">
        <x:v>46268.6763888889</x:v>
      </x:c>
      <x:c r="AG312" s="3" t="n">
        <x:v>41</x:v>
      </x:c>
      <x:c r="AH312" s="3" t="n">
        <x:v>108</x:v>
      </x:c>
      <x:c r="AI312" s="3" t="s">
        <x:v>135</x:v>
      </x:c>
      <x:c r="AJ312" s="3" t="s">
        <x:v>111</x:v>
      </x:c>
      <x:c r="AK312" s="3" t="n">
        <x:v>180</x:v>
      </x:c>
      <x:c r="AL312" s="3" t="n">
        <x:v>0</x:v>
      </x:c>
      <x:c r="AM312" s="8" t="n">
        <x:v>0.8278</x:v>
      </x:c>
      <x:c r="AN312" s="3" t="n">
        <x:v>1</x:v>
      </x:c>
      <x:c r="AO312" s="3" t="s">
        <x:v>14</x:v>
      </x:c>
      <x:c r="AP312" s="3" t="s">
        <x:v>664</x:v>
      </x:c>
      <x:c r="AQ312" s="3" t="s">
        <x:v>603</x:v>
      </x:c>
      <x:c r="AR312" s="9" t="n">
        <x:v>1602.1</x:v>
      </x:c>
      <x:c r="AS312" s="3" t="s">
        <x:v>185</x:v>
      </x:c>
      <x:c r="AT312" s="7" t="n">
        <x:v>46301.9166666667</x:v>
      </x:c>
    </x:row>
    <x:row r="313" ht="31.299999237060547" hidden="0">
      <x:c r="A313" s="3" t="s">
        <x:v>817</x:v>
      </x:c>
      <x:c r="B313" s="3" t="s">
        <x:v>433</x:v>
      </x:c>
      <x:c r="C313" s="3" t="s">
        <x:v>434</x:v>
      </x:c>
      <x:c r="D313" s="3" t="s">
        <x:v>435</x:v>
      </x:c>
      <x:c r="E313" s="3" t="s">
        <x:v>249</x:v>
      </x:c>
      <x:c r="F313" s="3" t="s">
        <x:v>99</x:v>
      </x:c>
      <x:c r="G313" s="3" t="s">
        <x:v>425</x:v>
      </x:c>
      <x:c r="H313" s="3" t="s">
        <x:v>301</x:v>
      </x:c>
      <x:c r="I313" s="3" t="s">
        <x:v>302</x:v>
      </x:c>
      <x:c r="J313" s="3" t="s">
        <x:v>303</x:v>
      </x:c>
      <x:c r="K313" s="3" t="s">
        <x:v>104</x:v>
      </x:c>
      <x:c r="L313" s="3" t="s">
        <x:v>437</x:v>
      </x:c>
      <x:c r="M313" s="3" t="s">
        <x:v>106</x:v>
      </x:c>
      <x:c r="N313" s="3" t="s">
        <x:v>438</x:v>
      </x:c>
      <x:c r="O313" s="3" t="s">
        <x:v>439</x:v>
      </x:c>
      <x:c r="P313" s="3" t="s">
        <x:v>440</x:v>
      </x:c>
      <x:c r="Q313" s="3" t="s">
        <x:v>441</x:v>
      </x:c>
      <x:c r="R313" s="3" t="s">
        <x:v>134</x:v>
      </x:c>
      <x:c r="S313" s="3" t="s">
        <x:v>135</x:v>
      </x:c>
      <x:c r="T313" s="3" t="s">
        <x:v>111</x:v>
      </x:c>
      <x:c r="U313" s="3" t="s">
        <x:v>136</x:v>
      </x:c>
      <x:c r="V313" s="3" t="s">
        <x:v>137</x:v>
      </x:c>
      <x:c r="W313" s="3" t="s">
        <x:v>138</x:v>
      </x:c>
      <x:c r="X313" s="3" t="s">
        <x:v>139</x:v>
      </x:c>
      <x:c r="Y313" s="3" t="s">
        <x:v>454</x:v>
      </x:c>
      <x:c r="Z313" s="3" t="s">
        <x:v>141</x:v>
      </x:c>
      <x:c r="AA313" s="3" t="s">
        <x:v>118</x:v>
      </x:c>
      <x:c r="AB313" s="7" t="n">
        <x:v>46268.6520833333</x:v>
      </x:c>
      <x:c r="AC313" s="7" t="n">
        <x:v>46268.6569444445</x:v>
      </x:c>
      <x:c r="AD313" s="7" t="n">
        <x:v>46268.6625</x:v>
      </x:c>
      <x:c r="AE313" s="7" t="n">
        <x:v>46268.6888888889</x:v>
      </x:c>
      <x:c r="AF313" s="7" t="n">
        <x:v>46268.7118055556</x:v>
      </x:c>
      <x:c r="AG313" s="3" t="n">
        <x:v>53</x:v>
      </x:c>
      <x:c r="AH313" s="3" t="n">
        <x:v>24</x:v>
      </x:c>
      <x:c r="AI313" s="3" t="s">
        <x:v>135</x:v>
      </x:c>
      <x:c r="AJ313" s="3" t="s">
        <x:v>135</x:v>
      </x:c>
      <x:c r="AK313" s="3" t="n">
        <x:v>180</x:v>
      </x:c>
      <x:c r="AL313" s="3" t="n">
        <x:v>0</x:v>
      </x:c>
      <x:c r="AM313" s="8" t="n">
        <x:v>0.4278</x:v>
      </x:c>
      <x:c r="AN313" s="3" t="n">
        <x:v>0</x:v>
      </x:c>
      <x:c r="AO313" s="3" t="s">
        <x:v>9</x:v>
      </x:c>
      <x:c r="AP313" s="3" t="s">
        <x:v>142</x:v>
      </x:c>
      <x:c r="AQ313" s="3" t="s">
        <x:v>120</x:v>
      </x:c>
      <x:c r="AR313" s="9" t="n">
        <x:v>671.3</x:v>
      </x:c>
      <x:c r="AS313" s="3" t="s">
        <x:v>144</x:v>
      </x:c>
      <x:c r="AT313" s="7" t="n">
        <x:v>46301.9166666667</x:v>
      </x:c>
    </x:row>
    <x:row r="314" ht="31.299999237060547" hidden="0">
      <x:c r="A314" s="3" t="s">
        <x:v>818</x:v>
      </x:c>
      <x:c r="B314" s="3" t="s">
        <x:v>205</x:v>
      </x:c>
      <x:c r="C314" s="3" t="s">
        <x:v>206</x:v>
      </x:c>
      <x:c r="D314" s="3" t="s">
        <x:v>207</x:v>
      </x:c>
      <x:c r="E314" s="3" t="s">
        <x:v>249</x:v>
      </x:c>
      <x:c r="F314" s="3" t="s">
        <x:v>99</x:v>
      </x:c>
      <x:c r="G314" s="3" t="s">
        <x:v>449</x:v>
      </x:c>
      <x:c r="H314" s="3" t="s">
        <x:v>343</x:v>
      </x:c>
      <x:c r="I314" s="3" t="s">
        <x:v>102</x:v>
      </x:c>
      <x:c r="J314" s="3" t="s">
        <x:v>103</x:v>
      </x:c>
      <x:c r="K314" s="3" t="s">
        <x:v>104</x:v>
      </x:c>
      <x:c r="L314" s="3" t="s">
        <x:v>209</x:v>
      </x:c>
      <x:c r="M314" s="3" t="s">
        <x:v>210</x:v>
      </x:c>
      <x:c r="N314" s="3" t="s">
        <x:v>211</x:v>
      </x:c>
      <x:c r="O314" s="3" t="s">
        <x:v>212</x:v>
      </x:c>
      <x:c r="P314" s="3" t="s">
        <x:v>213</x:v>
      </x:c>
      <x:c r="Q314" s="3" t="s">
        <x:v>254</x:v>
      </x:c>
      <x:c r="R314" s="3" t="s">
        <x:v>156</x:v>
      </x:c>
      <x:c r="S314" s="3" t="s">
        <x:v>135</x:v>
      </x:c>
      <x:c r="T314" s="3" t="s">
        <x:v>111</x:v>
      </x:c>
      <x:c r="U314" s="3" t="s">
        <x:v>157</x:v>
      </x:c>
      <x:c r="V314" s="3" t="s">
        <x:v>158</x:v>
      </x:c>
      <x:c r="W314" s="3" t="s">
        <x:v>159</x:v>
      </x:c>
      <x:c r="X314" s="3" t="s">
        <x:v>160</x:v>
      </x:c>
      <x:c r="Y314" s="3" t="s">
        <x:v>360</x:v>
      </x:c>
      <x:c r="Z314" s="3" t="s">
        <x:v>162</x:v>
      </x:c>
      <x:c r="AA314" s="3" t="s">
        <x:v>118</x:v>
      </x:c>
      <x:c r="AB314" s="7" t="n">
        <x:v>46268.6944444444</x:v>
      </x:c>
      <x:c r="AC314" s="7" t="n">
        <x:v>46268.6986111111</x:v>
      </x:c>
      <x:c r="AD314" s="7" t="n">
        <x:v>46268.7034722222</x:v>
      </x:c>
      <x:c r="AE314" s="7" t="n">
        <x:v>46268.7208333333</x:v>
      </x:c>
      <x:c r="AF314" s="7" t="n">
        <x:v>46268.7694444444</x:v>
      </x:c>
      <x:c r="AG314" s="3" t="n">
        <x:v>38</x:v>
      </x:c>
      <x:c r="AH314" s="3" t="n">
        <x:v>61</x:v>
      </x:c>
      <x:c r="AI314" s="3" t="s">
        <x:v>135</x:v>
      </x:c>
      <x:c r="AJ314" s="3" t="s">
        <x:v>135</x:v>
      </x:c>
      <x:c r="AK314" s="3" t="n">
        <x:v>180</x:v>
      </x:c>
      <x:c r="AL314" s="3" t="n">
        <x:v>0</x:v>
      </x:c>
      <x:c r="AM314" s="8" t="n">
        <x:v>0.55</x:v>
      </x:c>
      <x:c r="AN314" s="3" t="n">
        <x:v>0</x:v>
      </x:c>
      <x:c r="AO314" s="3" t="s">
        <x:v>9</x:v>
      </x:c>
      <x:c r="AP314" s="3" t="s">
        <x:v>142</x:v>
      </x:c>
      <x:c r="AQ314" s="3" t="s">
        <x:v>220</x:v>
      </x:c>
      <x:c r="AR314" s="9" t="n">
        <x:v>870.2</x:v>
      </x:c>
      <x:c r="AS314" s="3" t="s">
        <x:v>121</x:v>
      </x:c>
      <x:c r="AT314" s="7" t="n">
        <x:v>46301.9166666667</x:v>
      </x:c>
    </x:row>
    <x:row r="315" ht="31.299999237060547" hidden="0">
      <x:c r="A315" s="3" t="s">
        <x:v>819</x:v>
      </x:c>
      <x:c r="B315" s="3" t="s">
        <x:v>433</x:v>
      </x:c>
      <x:c r="C315" s="3" t="s">
        <x:v>434</x:v>
      </x:c>
      <x:c r="D315" s="3" t="s">
        <x:v>435</x:v>
      </x:c>
      <x:c r="E315" s="3" t="s">
        <x:v>249</x:v>
      </x:c>
      <x:c r="F315" s="3" t="s">
        <x:v>99</x:v>
      </x:c>
      <x:c r="G315" s="3" t="s">
        <x:v>390</x:v>
      </x:c>
      <x:c r="H315" s="3" t="s">
        <x:v>301</x:v>
      </x:c>
      <x:c r="I315" s="3" t="s">
        <x:v>302</x:v>
      </x:c>
      <x:c r="J315" s="3" t="s">
        <x:v>303</x:v>
      </x:c>
      <x:c r="K315" s="3" t="s">
        <x:v>104</x:v>
      </x:c>
      <x:c r="L315" s="3" t="s">
        <x:v>437</x:v>
      </x:c>
      <x:c r="M315" s="3" t="s">
        <x:v>106</x:v>
      </x:c>
      <x:c r="N315" s="3" t="s">
        <x:v>438</x:v>
      </x:c>
      <x:c r="O315" s="3" t="s">
        <x:v>439</x:v>
      </x:c>
      <x:c r="P315" s="3" t="s">
        <x:v>440</x:v>
      </x:c>
      <x:c r="Q315" s="3" t="s">
        <x:v>441</x:v>
      </x:c>
      <x:c r="R315" s="3" t="s">
        <x:v>391</x:v>
      </x:c>
      <x:c r="S315" s="3" t="s">
        <x:v>135</x:v>
      </x:c>
      <x:c r="T315" s="3" t="s">
        <x:v>135</x:v>
      </x:c>
      <x:c r="U315" s="3" t="s">
        <x:v>392</x:v>
      </x:c>
      <x:c r="V315" s="3" t="s">
        <x:v>312</x:v>
      </x:c>
      <x:c r="W315" s="3" t="s">
        <x:v>382</x:v>
      </x:c>
      <x:c r="X315" s="3" t="s">
        <x:v>314</x:v>
      </x:c>
      <x:c r="Y315" s="3" t="s">
        <x:v>383</x:v>
      </x:c>
      <x:c r="Z315" s="3" t="s">
        <x:v>393</x:v>
      </x:c>
      <x:c r="AA315" s="3" t="s">
        <x:v>394</x:v>
      </x:c>
      <x:c r="AB315" s="7" t="n">
        <x:v>46268.7201388889</x:v>
      </x:c>
      <x:c r="AC315" s="7" t="n">
        <x:v>46268.7243055556</x:v>
      </x:c>
      <x:c r="AD315" s="7" t="n">
        <x:v>46268.7263888889</x:v>
      </x:c>
      <x:c r="AE315" s="7" t="n">
        <x:v>46268.7340277778</x:v>
      </x:c>
      <x:c r="AF315" s="7" t="n">
        <x:v>46268.7465277778</x:v>
      </x:c>
      <x:c r="AG315" s="3" t="n">
        <x:v>20</x:v>
      </x:c>
      <x:c r="AH315" s="3" t="n">
        <x:v>12</x:v>
      </x:c>
      <x:c r="AI315" s="3" t="s">
        <x:v>135</x:v>
      </x:c>
      <x:c r="AJ315" s="3" t="s">
        <x:v>135</x:v>
      </x:c>
      <x:c r="AK315" s="3" t="n">
        <x:v>180</x:v>
      </x:c>
      <x:c r="AL315" s="3" t="n">
        <x:v>0</x:v>
      </x:c>
      <x:c r="AM315" s="8" t="n">
        <x:v>0.1778</x:v>
      </x:c>
      <x:c r="AN315" s="3" t="n">
        <x:v>3</x:v>
      </x:c>
      <x:c r="AO315" s="3" t="s">
        <x:v>14</x:v>
      </x:c>
      <x:c r="AP315" s="3" t="s">
        <x:v>183</x:v>
      </x:c>
      <x:c r="AQ315" s="3" t="s">
        <x:v>820</x:v>
      </x:c>
      <x:c r="AR315" s="9" t="n">
        <x:v>686.4</x:v>
      </x:c>
      <x:c r="AS315" s="3" t="s">
        <x:v>185</x:v>
      </x:c>
      <x:c r="AT315" s="7" t="n">
        <x:v>46301.9166666667</x:v>
      </x:c>
    </x:row>
    <x:row r="316" ht="31.299999237060547" hidden="0">
      <x:c r="A316" s="3" t="s">
        <x:v>821</x:v>
      </x:c>
      <x:c r="B316" s="3" t="s">
        <x:v>123</x:v>
      </x:c>
      <x:c r="C316" s="3" t="s">
        <x:v>124</x:v>
      </x:c>
      <x:c r="D316" s="3" t="s">
        <x:v>125</x:v>
      </x:c>
      <x:c r="E316" s="3" t="s">
        <x:v>249</x:v>
      </x:c>
      <x:c r="F316" s="3" t="s">
        <x:v>169</x:v>
      </x:c>
      <x:c r="G316" s="3" t="s">
        <x:v>359</x:v>
      </x:c>
      <x:c r="H316" s="3" t="s">
        <x:v>101</x:v>
      </x:c>
      <x:c r="I316" s="3" t="s">
        <x:v>102</x:v>
      </x:c>
      <x:c r="J316" s="3" t="s">
        <x:v>103</x:v>
      </x:c>
      <x:c r="K316" s="3" t="s">
        <x:v>104</x:v>
      </x:c>
      <x:c r="L316" s="3" t="s">
        <x:v>129</x:v>
      </x:c>
      <x:c r="M316" s="3" t="s">
        <x:v>130</x:v>
      </x:c>
      <x:c r="N316" s="3" t="s">
        <x:v>131</x:v>
      </x:c>
      <x:c r="O316" s="3" t="s">
        <x:v>132</x:v>
      </x:c>
      <x:c r="P316" s="3" t="s">
        <x:v>133</x:v>
      </x:c>
      <x:c r="Q316" s="3" t="s">
        <x:v>268</x:v>
      </x:c>
      <x:c r="R316" s="3" t="s">
        <x:v>156</x:v>
      </x:c>
      <x:c r="S316" s="3" t="s">
        <x:v>135</x:v>
      </x:c>
      <x:c r="T316" s="3" t="s">
        <x:v>111</x:v>
      </x:c>
      <x:c r="U316" s="3" t="s">
        <x:v>157</x:v>
      </x:c>
      <x:c r="V316" s="3" t="s">
        <x:v>158</x:v>
      </x:c>
      <x:c r="W316" s="3" t="s">
        <x:v>450</x:v>
      </x:c>
      <x:c r="X316" s="3" t="s">
        <x:v>160</x:v>
      </x:c>
      <x:c r="Y316" s="3" t="s">
        <x:v>451</x:v>
      </x:c>
      <x:c r="Z316" s="3" t="s">
        <x:v>162</x:v>
      </x:c>
      <x:c r="AA316" s="3" t="s">
        <x:v>118</x:v>
      </x:c>
      <x:c r="AB316" s="7" t="n">
        <x:v>46268.7208333333</x:v>
      </x:c>
      <x:c r="AC316" s="7" t="n">
        <x:v>46268.725</x:v>
      </x:c>
      <x:c r="AD316" s="7" t="n">
        <x:v>46268.7298611111</x:v>
      </x:c>
      <x:c r="AE316" s="7" t="n">
        <x:v>46268.7444444444</x:v>
      </x:c>
      <x:c r="AF316" s="7" t="n">
        <x:v>46268.7729166667</x:v>
      </x:c>
      <x:c r="AG316" s="3" t="n">
        <x:v>34</x:v>
      </x:c>
      <x:c r="AH316" s="3" t="n">
        <x:v>35</x:v>
      </x:c>
      <x:c r="AI316" s="3" t="s">
        <x:v>135</x:v>
      </x:c>
      <x:c r="AJ316" s="3" t="s">
        <x:v>135</x:v>
      </x:c>
      <x:c r="AK316" s="3" t="n">
        <x:v>180</x:v>
      </x:c>
      <x:c r="AL316" s="3" t="n">
        <x:v>0</x:v>
      </x:c>
      <x:c r="AM316" s="8" t="n">
        <x:v>0.3833</x:v>
      </x:c>
      <x:c r="AN316" s="3" t="n">
        <x:v>2</x:v>
      </x:c>
      <x:c r="AO316" s="3" t="s">
        <x:v>14</x:v>
      </x:c>
      <x:c r="AP316" s="3" t="s">
        <x:v>573</x:v>
      </x:c>
      <x:c r="AQ316" s="3" t="s">
        <x:v>472</x:v>
      </x:c>
      <x:c r="AR316" s="9" t="n">
        <x:v>665</x:v>
      </x:c>
      <x:c r="AS316" s="3" t="s">
        <x:v>121</x:v>
      </x:c>
      <x:c r="AT316" s="7" t="n">
        <x:v>46301.9166666667</x:v>
      </x:c>
    </x:row>
    <x:row r="317" ht="31.299999237060547" hidden="0">
      <x:c r="A317" s="3" t="s">
        <x:v>822</x:v>
      </x:c>
      <x:c r="B317" s="3" t="s">
        <x:v>222</x:v>
      </x:c>
      <x:c r="C317" s="3" t="s">
        <x:v>223</x:v>
      </x:c>
      <x:c r="D317" s="3" t="s">
        <x:v>224</x:v>
      </x:c>
      <x:c r="E317" s="3" t="s">
        <x:v>249</x:v>
      </x:c>
      <x:c r="F317" s="3" t="s">
        <x:v>127</x:v>
      </x:c>
      <x:c r="G317" s="3" t="s">
        <x:v>349</x:v>
      </x:c>
      <x:c r="H317" s="3" t="s">
        <x:v>343</x:v>
      </x:c>
      <x:c r="I317" s="3" t="s">
        <x:v>102</x:v>
      </x:c>
      <x:c r="J317" s="3" t="s">
        <x:v>103</x:v>
      </x:c>
      <x:c r="K317" s="3" t="s">
        <x:v>104</x:v>
      </x:c>
      <x:c r="L317" s="3" t="s">
        <x:v>226</x:v>
      </x:c>
      <x:c r="M317" s="3" t="s">
        <x:v>227</x:v>
      </x:c>
      <x:c r="N317" s="3" t="s">
        <x:v>228</x:v>
      </x:c>
      <x:c r="O317" s="3" t="s">
        <x:v>229</x:v>
      </x:c>
      <x:c r="P317" s="3" t="s">
        <x:v>230</x:v>
      </x:c>
      <x:c r="Q317" s="3" t="s">
        <x:v>274</x:v>
      </x:c>
      <x:c r="R317" s="3" t="s">
        <x:v>344</x:v>
      </x:c>
      <x:c r="S317" s="3" t="s">
        <x:v>111</x:v>
      </x:c>
      <x:c r="T317" s="3" t="s">
        <x:v>111</x:v>
      </x:c>
      <x:c r="U317" s="3" t="s">
        <x:v>345</x:v>
      </x:c>
      <x:c r="V317" s="3" t="s">
        <x:v>178</x:v>
      </x:c>
      <x:c r="W317" s="3" t="s">
        <x:v>355</x:v>
      </x:c>
      <x:c r="X317" s="3" t="s">
        <x:v>180</x:v>
      </x:c>
      <x:c r="Y317" s="3" t="s">
        <x:v>356</x:v>
      </x:c>
      <x:c r="Z317" s="3" t="s">
        <x:v>346</x:v>
      </x:c>
      <x:c r="AA317" s="3" t="s">
        <x:v>118</x:v>
      </x:c>
      <x:c r="AB317" s="7" t="n">
        <x:v>46269.3826388889</x:v>
      </x:c>
      <x:c r="AC317" s="7" t="n">
        <x:v>46269.3840277778</x:v>
      </x:c>
      <x:c r="AD317" s="7" t="n">
        <x:v>46269.3854166667</x:v>
      </x:c>
      <x:c r="AE317" s="7" t="n">
        <x:v>46269.3909722222</x:v>
      </x:c>
      <x:c r="AF317" s="7" t="n">
        <x:v>46269.4236111111</x:v>
      </x:c>
      <x:c r="AG317" s="3" t="n">
        <x:v>12</x:v>
      </x:c>
      <x:c r="AH317" s="3" t="n">
        <x:v>42</x:v>
      </x:c>
      <x:c r="AI317" s="3" t="s">
        <x:v>135</x:v>
      </x:c>
      <x:c r="AJ317" s="3" t="s">
        <x:v>135</x:v>
      </x:c>
      <x:c r="AK317" s="3" t="n">
        <x:v>120</x:v>
      </x:c>
      <x:c r="AL317" s="3" t="n">
        <x:v>0</x:v>
      </x:c>
      <x:c r="AM317" s="8" t="n">
        <x:v>0.45</x:v>
      </x:c>
      <x:c r="AN317" s="3" t="n">
        <x:v>2</x:v>
      </x:c>
      <x:c r="AO317" s="3" t="s">
        <x:v>14</x:v>
      </x:c>
      <x:c r="AP317" s="3" t="s">
        <x:v>573</x:v>
      </x:c>
      <x:c r="AQ317" s="3" t="s">
        <x:v>546</x:v>
      </x:c>
      <x:c r="AR317" s="9" t="n">
        <x:v>616.4</x:v>
      </x:c>
      <x:c r="AS317" s="3" t="s">
        <x:v>121</x:v>
      </x:c>
      <x:c r="AT317" s="7" t="n">
        <x:v>46301.9166666667</x:v>
      </x:c>
    </x:row>
    <x:row r="318" ht="31.299999237060547" hidden="0">
      <x:c r="A318" s="3" t="s">
        <x:v>823</x:v>
      </x:c>
      <x:c r="B318" s="3" t="s">
        <x:v>233</x:v>
      </x:c>
      <x:c r="C318" s="3" t="s">
        <x:v>234</x:v>
      </x:c>
      <x:c r="D318" s="3" t="s">
        <x:v>235</x:v>
      </x:c>
      <x:c r="E318" s="3" t="s">
        <x:v>249</x:v>
      </x:c>
      <x:c r="F318" s="3" t="s">
        <x:v>127</x:v>
      </x:c>
      <x:c r="G318" s="3" t="s">
        <x:v>477</x:v>
      </x:c>
      <x:c r="H318" s="3" t="s">
        <x:v>343</x:v>
      </x:c>
      <x:c r="I318" s="3" t="s">
        <x:v>102</x:v>
      </x:c>
      <x:c r="J318" s="3" t="s">
        <x:v>103</x:v>
      </x:c>
      <x:c r="K318" s="3" t="s">
        <x:v>104</x:v>
      </x:c>
      <x:c r="L318" s="3" t="s">
        <x:v>237</x:v>
      </x:c>
      <x:c r="M318" s="3" t="s">
        <x:v>172</x:v>
      </x:c>
      <x:c r="N318" s="3" t="s">
        <x:v>238</x:v>
      </x:c>
      <x:c r="O318" s="3" t="s">
        <x:v>239</x:v>
      </x:c>
      <x:c r="P318" s="3" t="s">
        <x:v>240</x:v>
      </x:c>
      <x:c r="Q318" s="3" t="s">
        <x:v>276</x:v>
      </x:c>
      <x:c r="R318" s="3" t="s">
        <x:v>214</x:v>
      </x:c>
      <x:c r="S318" s="3" t="s">
        <x:v>135</x:v>
      </x:c>
      <x:c r="T318" s="3" t="s">
        <x:v>111</x:v>
      </x:c>
      <x:c r="U318" s="3" t="s">
        <x:v>215</x:v>
      </x:c>
      <x:c r="V318" s="3" t="s">
        <x:v>216</x:v>
      </x:c>
      <x:c r="W318" s="3" t="s">
        <x:v>429</x:v>
      </x:c>
      <x:c r="X318" s="3" t="s">
        <x:v>430</x:v>
      </x:c>
      <x:c r="Y318" s="3" t="s">
        <x:v>431</x:v>
      </x:c>
      <x:c r="Z318" s="3" t="s">
        <x:v>219</x:v>
      </x:c>
      <x:c r="AA318" s="3" t="s">
        <x:v>118</x:v>
      </x:c>
      <x:c r="AB318" s="7" t="n">
        <x:v>46269.4493055556</x:v>
      </x:c>
      <x:c r="AC318" s="7" t="n">
        <x:v>46269.4506944444</x:v>
      </x:c>
      <x:c r="AD318" s="7" t="n">
        <x:v>46269.4569444444</x:v>
      </x:c>
      <x:c r="AE318" s="7" t="n">
        <x:v>46269.4673611111</x:v>
      </x:c>
      <x:c r="AF318" s="7" t="n">
        <x:v>46269.4854166667</x:v>
      </x:c>
      <x:c r="AG318" s="3" t="n">
        <x:v>26</x:v>
      </x:c>
      <x:c r="AH318" s="3" t="n">
        <x:v>20</x:v>
      </x:c>
      <x:c r="AI318" s="3" t="s">
        <x:v>135</x:v>
      </x:c>
      <x:c r="AJ318" s="3" t="s">
        <x:v>111</x:v>
      </x:c>
      <x:c r="AK318" s="3" t="n">
        <x:v>150</x:v>
      </x:c>
      <x:c r="AL318" s="3" t="n">
        <x:v>0</x:v>
      </x:c>
      <x:c r="AM318" s="8" t="n">
        <x:v>0.3067</x:v>
      </x:c>
      <x:c r="AN318" s="3" t="n">
        <x:v>1</x:v>
      </x:c>
      <x:c r="AO318" s="3" t="s">
        <x:v>9</x:v>
      </x:c>
      <x:c r="AP318" s="3" t="s">
        <x:v>584</x:v>
      </x:c>
      <x:c r="AQ318" s="3" t="s">
        <x:v>501</x:v>
      </x:c>
      <x:c r="AR318" s="9" t="n">
        <x:v>521</x:v>
      </x:c>
      <x:c r="AS318" s="3" t="s">
        <x:v>144</x:v>
      </x:c>
      <x:c r="AT318" s="7" t="n">
        <x:v>46301.9166666667</x:v>
      </x:c>
    </x:row>
    <x:row r="319" ht="31.299999237060547" hidden="0">
      <x:c r="A319" s="3" t="s">
        <x:v>824</x:v>
      </x:c>
      <x:c r="B319" s="3" t="s">
        <x:v>233</x:v>
      </x:c>
      <x:c r="C319" s="3" t="s">
        <x:v>234</x:v>
      </x:c>
      <x:c r="D319" s="3" t="s">
        <x:v>235</x:v>
      </x:c>
      <x:c r="E319" s="3" t="s">
        <x:v>249</x:v>
      </x:c>
      <x:c r="F319" s="3" t="s">
        <x:v>149</x:v>
      </x:c>
      <x:c r="G319" s="3" t="s">
        <x:v>364</x:v>
      </x:c>
      <x:c r="H319" s="3" t="s">
        <x:v>339</x:v>
      </x:c>
      <x:c r="I319" s="3" t="s">
        <x:v>102</x:v>
      </x:c>
      <x:c r="J319" s="3" t="s">
        <x:v>103</x:v>
      </x:c>
      <x:c r="K319" s="3" t="s">
        <x:v>104</x:v>
      </x:c>
      <x:c r="L319" s="3" t="s">
        <x:v>237</x:v>
      </x:c>
      <x:c r="M319" s="3" t="s">
        <x:v>172</x:v>
      </x:c>
      <x:c r="N319" s="3" t="s">
        <x:v>238</x:v>
      </x:c>
      <x:c r="O319" s="3" t="s">
        <x:v>239</x:v>
      </x:c>
      <x:c r="P319" s="3" t="s">
        <x:v>240</x:v>
      </x:c>
      <x:c r="Q319" s="3" t="s">
        <x:v>276</x:v>
      </x:c>
      <x:c r="R319" s="3" t="s">
        <x:v>196</x:v>
      </x:c>
      <x:c r="S319" s="3" t="s">
        <x:v>111</x:v>
      </x:c>
      <x:c r="T319" s="3" t="s">
        <x:v>111</x:v>
      </x:c>
      <x:c r="U319" s="3" t="s">
        <x:v>197</x:v>
      </x:c>
      <x:c r="V319" s="3" t="s">
        <x:v>198</x:v>
      </x:c>
      <x:c r="W319" s="3" t="s">
        <x:v>365</x:v>
      </x:c>
      <x:c r="X319" s="3" t="s">
        <x:v>366</x:v>
      </x:c>
      <x:c r="Y319" s="3" t="s">
        <x:v>367</x:v>
      </x:c>
      <x:c r="Z319" s="3" t="s">
        <x:v>201</x:v>
      </x:c>
      <x:c r="AA319" s="3" t="s">
        <x:v>368</x:v>
      </x:c>
      <x:c r="AB319" s="7" t="n">
        <x:v>46269.4958333333</x:v>
      </x:c>
      <x:c r="AC319" s="7" t="n">
        <x:v>46269.4979166667</x:v>
      </x:c>
      <x:c r="AD319" s="7" t="n">
        <x:v>46269.5034722222</x:v>
      </x:c>
      <x:c r="AE319" s="7" t="n">
        <x:v>46269.5208333333</x:v>
      </x:c>
      <x:c r="AF319" s="7" t="n">
        <x:v>46269.55625</x:v>
      </x:c>
      <x:c r="AG319" s="3" t="n">
        <x:v>36</x:v>
      </x:c>
      <x:c r="AH319" s="3" t="n">
        <x:v>41</x:v>
      </x:c>
      <x:c r="AI319" s="3" t="s">
        <x:v>135</x:v>
      </x:c>
      <x:c r="AJ319" s="3" t="s">
        <x:v>111</x:v>
      </x:c>
      <x:c r="AK319" s="3" t="n">
        <x:v>120</x:v>
      </x:c>
      <x:c r="AL319" s="3" t="n">
        <x:v>0</x:v>
      </x:c>
      <x:c r="AM319" s="8" t="n">
        <x:v>0.6417</x:v>
      </x:c>
      <x:c r="AN319" s="3" t="n">
        <x:v>1</x:v>
      </x:c>
      <x:c r="AO319" s="3" t="s">
        <x:v>14</x:v>
      </x:c>
      <x:c r="AP319" s="3" t="s">
        <x:v>664</x:v>
      </x:c>
      <x:c r="AQ319" s="3" t="s">
        <x:v>501</x:v>
      </x:c>
      <x:c r="AR319" s="9" t="n">
        <x:v>717.2</x:v>
      </x:c>
      <x:c r="AS319" s="3" t="s">
        <x:v>121</x:v>
      </x:c>
      <x:c r="AT319" s="7" t="n">
        <x:v>46301.9166666667</x:v>
      </x:c>
    </x:row>
    <x:row r="320" ht="31.299999237060547" hidden="0">
      <x:c r="A320" s="3" t="s">
        <x:v>825</x:v>
      </x:c>
      <x:c r="B320" s="3" t="s">
        <x:v>146</x:v>
      </x:c>
      <x:c r="C320" s="3" t="s">
        <x:v>147</x:v>
      </x:c>
      <x:c r="D320" s="3" t="s">
        <x:v>148</x:v>
      </x:c>
      <x:c r="E320" s="3" t="s">
        <x:v>249</x:v>
      </x:c>
      <x:c r="F320" s="3" t="s">
        <x:v>127</x:v>
      </x:c>
      <x:c r="G320" s="3" t="s">
        <x:v>354</x:v>
      </x:c>
      <x:c r="H320" s="3" t="s">
        <x:v>101</x:v>
      </x:c>
      <x:c r="I320" s="3" t="s">
        <x:v>102</x:v>
      </x:c>
      <x:c r="J320" s="3" t="s">
        <x:v>103</x:v>
      </x:c>
      <x:c r="K320" s="3" t="s">
        <x:v>104</x:v>
      </x:c>
      <x:c r="L320" s="3" t="s">
        <x:v>151</x:v>
      </x:c>
      <x:c r="M320" s="3" t="s">
        <x:v>152</x:v>
      </x:c>
      <x:c r="N320" s="3" t="s">
        <x:v>153</x:v>
      </x:c>
      <x:c r="O320" s="3" t="s">
        <x:v>154</x:v>
      </x:c>
      <x:c r="P320" s="3" t="s">
        <x:v>155</x:v>
      </x:c>
      <x:c r="Q320" s="3" t="s">
        <x:v>270</x:v>
      </x:c>
      <x:c r="R320" s="3" t="s">
        <x:v>176</x:v>
      </x:c>
      <x:c r="S320" s="3" t="s">
        <x:v>135</x:v>
      </x:c>
      <x:c r="T320" s="3" t="s">
        <x:v>135</x:v>
      </x:c>
      <x:c r="U320" s="3" t="s">
        <x:v>177</x:v>
      </x:c>
      <x:c r="V320" s="3" t="s">
        <x:v>178</x:v>
      </x:c>
      <x:c r="W320" s="3" t="s">
        <x:v>355</x:v>
      </x:c>
      <x:c r="X320" s="3" t="s">
        <x:v>180</x:v>
      </x:c>
      <x:c r="Y320" s="3" t="s">
        <x:v>356</x:v>
      </x:c>
      <x:c r="Z320" s="3" t="s">
        <x:v>182</x:v>
      </x:c>
      <x:c r="AA320" s="3" t="s">
        <x:v>118</x:v>
      </x:c>
      <x:c r="AB320" s="7" t="n">
        <x:v>46269.5319444445</x:v>
      </x:c>
      <x:c r="AC320" s="7" t="n">
        <x:v>46269.5333333333</x:v>
      </x:c>
      <x:c r="AD320" s="7" t="n">
        <x:v>46269.5395833333</x:v>
      </x:c>
      <x:c r="AE320" s="7" t="n">
        <x:v>46269.5451388889</x:v>
      </x:c>
      <x:c r="AF320" s="7" t="n">
        <x:v>46269.5715277778</x:v>
      </x:c>
      <x:c r="AG320" s="3" t="n">
        <x:v>19</x:v>
      </x:c>
      <x:c r="AH320" s="3" t="n">
        <x:v>32</x:v>
      </x:c>
      <x:c r="AI320" s="3" t="s">
        <x:v>135</x:v>
      </x:c>
      <x:c r="AJ320" s="3" t="s">
        <x:v>135</x:v>
      </x:c>
      <x:c r="AK320" s="3" t="n">
        <x:v>180</x:v>
      </x:c>
      <x:c r="AL320" s="3" t="n">
        <x:v>0</x:v>
      </x:c>
      <x:c r="AM320" s="8" t="n">
        <x:v>0.2833</x:v>
      </x:c>
      <x:c r="AN320" s="3" t="n">
        <x:v>1</x:v>
      </x:c>
      <x:c r="AO320" s="3" t="s">
        <x:v>9</x:v>
      </x:c>
      <x:c r="AP320" s="3" t="s">
        <x:v>500</x:v>
      </x:c>
      <x:c r="AQ320" s="3" t="s">
        <x:v>533</x:v>
      </x:c>
      <x:c r="AR320" s="9" t="n">
        <x:v>575.9</x:v>
      </x:c>
      <x:c r="AS320" s="3" t="s">
        <x:v>144</x:v>
      </x:c>
      <x:c r="AT320" s="7" t="n">
        <x:v>46301.9166666667</x:v>
      </x:c>
    </x:row>
    <x:row r="321" ht="31.299999237060547" hidden="0">
      <x:c r="A321" s="3" t="s">
        <x:v>826</x:v>
      </x:c>
      <x:c r="B321" s="3" t="s">
        <x:v>123</x:v>
      </x:c>
      <x:c r="C321" s="3" t="s">
        <x:v>124</x:v>
      </x:c>
      <x:c r="D321" s="3" t="s">
        <x:v>125</x:v>
      </x:c>
      <x:c r="E321" s="3" t="s">
        <x:v>249</x:v>
      </x:c>
      <x:c r="F321" s="3" t="s">
        <x:v>99</x:v>
      </x:c>
      <x:c r="G321" s="3" t="s">
        <x:v>379</x:v>
      </x:c>
      <x:c r="H321" s="3" t="s">
        <x:v>339</x:v>
      </x:c>
      <x:c r="I321" s="3" t="s">
        <x:v>102</x:v>
      </x:c>
      <x:c r="J321" s="3" t="s">
        <x:v>103</x:v>
      </x:c>
      <x:c r="K321" s="3" t="s">
        <x:v>104</x:v>
      </x:c>
      <x:c r="L321" s="3" t="s">
        <x:v>129</x:v>
      </x:c>
      <x:c r="M321" s="3" t="s">
        <x:v>130</x:v>
      </x:c>
      <x:c r="N321" s="3" t="s">
        <x:v>131</x:v>
      </x:c>
      <x:c r="O321" s="3" t="s">
        <x:v>132</x:v>
      </x:c>
      <x:c r="P321" s="3" t="s">
        <x:v>133</x:v>
      </x:c>
      <x:c r="Q321" s="3" t="s">
        <x:v>268</x:v>
      </x:c>
      <x:c r="R321" s="3" t="s">
        <x:v>380</x:v>
      </x:c>
      <x:c r="S321" s="3" t="s">
        <x:v>111</x:v>
      </x:c>
      <x:c r="T321" s="3" t="s">
        <x:v>111</x:v>
      </x:c>
      <x:c r="U321" s="3" t="s">
        <x:v>381</x:v>
      </x:c>
      <x:c r="V321" s="3" t="s">
        <x:v>312</x:v>
      </x:c>
      <x:c r="W321" s="3" t="s">
        <x:v>313</x:v>
      </x:c>
      <x:c r="X321" s="3" t="s">
        <x:v>314</x:v>
      </x:c>
      <x:c r="Y321" s="3" t="s">
        <x:v>315</x:v>
      </x:c>
      <x:c r="Z321" s="3" t="s">
        <x:v>384</x:v>
      </x:c>
      <x:c r="AA321" s="3" t="s">
        <x:v>385</x:v>
      </x:c>
      <x:c r="AB321" s="7" t="n">
        <x:v>46269.5625</x:v>
      </x:c>
      <x:c r="AC321" s="7" t="n">
        <x:v>46269.5638888889</x:v>
      </x:c>
      <x:c r="AD321" s="7" t="n">
        <x:v>46269.5666666667</x:v>
      </x:c>
      <x:c r="AE321" s="7" t="n">
        <x:v>46269.5840277778</x:v>
      </x:c>
      <x:c r="AF321" s="7" t="n">
        <x:v>46269.6291666667</x:v>
      </x:c>
      <x:c r="AG321" s="3" t="n">
        <x:v>31</x:v>
      </x:c>
      <x:c r="AH321" s="3" t="n">
        <x:v>57</x:v>
      </x:c>
      <x:c r="AI321" s="3" t="s">
        <x:v>135</x:v>
      </x:c>
      <x:c r="AJ321" s="3" t="s">
        <x:v>135</x:v>
      </x:c>
      <x:c r="AK321" s="3" t="n">
        <x:v>120</x:v>
      </x:c>
      <x:c r="AL321" s="3" t="n">
        <x:v>0</x:v>
      </x:c>
      <x:c r="AM321" s="8" t="n">
        <x:v>0.7333</x:v>
      </x:c>
      <x:c r="AN321" s="3" t="n">
        <x:v>0</x:v>
      </x:c>
      <x:c r="AO321" s="3" t="s">
        <x:v>14</x:v>
      </x:c>
      <x:c r="AP321" s="3" t="s">
        <x:v>347</x:v>
      </x:c>
      <x:c r="AQ321" s="3" t="s">
        <x:v>482</x:v>
      </x:c>
      <x:c r="AR321" s="9" t="n">
        <x:v>809.9</x:v>
      </x:c>
      <x:c r="AS321" s="3" t="s">
        <x:v>185</x:v>
      </x:c>
      <x:c r="AT321" s="7" t="n">
        <x:v>46301.9166666667</x:v>
      </x:c>
    </x:row>
    <x:row r="322" ht="31.299999237060547" hidden="0">
      <x:c r="A322" s="3" t="s">
        <x:v>827</x:v>
      </x:c>
      <x:c r="B322" s="3" t="s">
        <x:v>233</x:v>
      </x:c>
      <x:c r="C322" s="3" t="s">
        <x:v>234</x:v>
      </x:c>
      <x:c r="D322" s="3" t="s">
        <x:v>235</x:v>
      </x:c>
      <x:c r="E322" s="3" t="s">
        <x:v>249</x:v>
      </x:c>
      <x:c r="F322" s="3" t="s">
        <x:v>99</x:v>
      </x:c>
      <x:c r="G322" s="3" t="s">
        <x:v>349</x:v>
      </x:c>
      <x:c r="H322" s="3" t="s">
        <x:v>343</x:v>
      </x:c>
      <x:c r="I322" s="3" t="s">
        <x:v>102</x:v>
      </x:c>
      <x:c r="J322" s="3" t="s">
        <x:v>103</x:v>
      </x:c>
      <x:c r="K322" s="3" t="s">
        <x:v>104</x:v>
      </x:c>
      <x:c r="L322" s="3" t="s">
        <x:v>237</x:v>
      </x:c>
      <x:c r="M322" s="3" t="s">
        <x:v>172</x:v>
      </x:c>
      <x:c r="N322" s="3" t="s">
        <x:v>238</x:v>
      </x:c>
      <x:c r="O322" s="3" t="s">
        <x:v>239</x:v>
      </x:c>
      <x:c r="P322" s="3" t="s">
        <x:v>240</x:v>
      </x:c>
      <x:c r="Q322" s="3" t="s">
        <x:v>276</x:v>
      </x:c>
      <x:c r="R322" s="3" t="s">
        <x:v>344</x:v>
      </x:c>
      <x:c r="S322" s="3" t="s">
        <x:v>111</x:v>
      </x:c>
      <x:c r="T322" s="3" t="s">
        <x:v>111</x:v>
      </x:c>
      <x:c r="U322" s="3" t="s">
        <x:v>345</x:v>
      </x:c>
      <x:c r="V322" s="3" t="s">
        <x:v>178</x:v>
      </x:c>
      <x:c r="W322" s="3" t="s">
        <x:v>179</x:v>
      </x:c>
      <x:c r="X322" s="3" t="s">
        <x:v>180</x:v>
      </x:c>
      <x:c r="Y322" s="3" t="s">
        <x:v>414</x:v>
      </x:c>
      <x:c r="Z322" s="3" t="s">
        <x:v>346</x:v>
      </x:c>
      <x:c r="AA322" s="3" t="s">
        <x:v>118</x:v>
      </x:c>
      <x:c r="AB322" s="7" t="n">
        <x:v>46269.5756944444</x:v>
      </x:c>
      <x:c r="AC322" s="7" t="n">
        <x:v>46269.5791666667</x:v>
      </x:c>
      <x:c r="AD322" s="7" t="n">
        <x:v>46269.5847222222</x:v>
      </x:c>
      <x:c r="AE322" s="7" t="n">
        <x:v>46269.5930555556</x:v>
      </x:c>
      <x:c r="AF322" s="7" t="n">
        <x:v>46269.6243055556</x:v>
      </x:c>
      <x:c r="AG322" s="3" t="n">
        <x:v>25</x:v>
      </x:c>
      <x:c r="AH322" s="3" t="n">
        <x:v>42</x:v>
      </x:c>
      <x:c r="AI322" s="3" t="s">
        <x:v>135</x:v>
      </x:c>
      <x:c r="AJ322" s="3" t="s">
        <x:v>111</x:v>
      </x:c>
      <x:c r="AK322" s="3" t="n">
        <x:v>120</x:v>
      </x:c>
      <x:c r="AL322" s="3" t="n">
        <x:v>0</x:v>
      </x:c>
      <x:c r="AM322" s="8" t="n">
        <x:v>0.5583</x:v>
      </x:c>
      <x:c r="AN322" s="3" t="n">
        <x:v>1</x:v>
      </x:c>
      <x:c r="AO322" s="3" t="s">
        <x:v>9</x:v>
      </x:c>
      <x:c r="AP322" s="3" t="s">
        <x:v>584</x:v>
      </x:c>
      <x:c r="AQ322" s="3" t="s">
        <x:v>501</x:v>
      </x:c>
      <x:c r="AR322" s="9" t="n">
        <x:v>674.9</x:v>
      </x:c>
      <x:c r="AS322" s="3" t="s">
        <x:v>121</x:v>
      </x:c>
      <x:c r="AT322" s="7" t="n">
        <x:v>46301.9166666667</x:v>
      </x:c>
    </x:row>
    <x:row r="323" ht="31.299999237060547" hidden="0">
      <x:c r="A323" s="3" t="s">
        <x:v>828</x:v>
      </x:c>
      <x:c r="B323" s="3" t="s">
        <x:v>433</x:v>
      </x:c>
      <x:c r="C323" s="3" t="s">
        <x:v>434</x:v>
      </x:c>
      <x:c r="D323" s="3" t="s">
        <x:v>435</x:v>
      </x:c>
      <x:c r="E323" s="3" t="s">
        <x:v>249</x:v>
      </x:c>
      <x:c r="F323" s="3" t="s">
        <x:v>127</x:v>
      </x:c>
      <x:c r="G323" s="3" t="s">
        <x:v>489</x:v>
      </x:c>
      <x:c r="H323" s="3" t="s">
        <x:v>301</x:v>
      </x:c>
      <x:c r="I323" s="3" t="s">
        <x:v>302</x:v>
      </x:c>
      <x:c r="J323" s="3" t="s">
        <x:v>303</x:v>
      </x:c>
      <x:c r="K323" s="3" t="s">
        <x:v>104</x:v>
      </x:c>
      <x:c r="L323" s="3" t="s">
        <x:v>437</x:v>
      </x:c>
      <x:c r="M323" s="3" t="s">
        <x:v>106</x:v>
      </x:c>
      <x:c r="N323" s="3" t="s">
        <x:v>438</x:v>
      </x:c>
      <x:c r="O323" s="3" t="s">
        <x:v>439</x:v>
      </x:c>
      <x:c r="P323" s="3" t="s">
        <x:v>440</x:v>
      </x:c>
      <x:c r="Q323" s="3" t="s">
        <x:v>441</x:v>
      </x:c>
      <x:c r="R323" s="3" t="s">
        <x:v>134</x:v>
      </x:c>
      <x:c r="S323" s="3" t="s">
        <x:v>135</x:v>
      </x:c>
      <x:c r="T323" s="3" t="s">
        <x:v>111</x:v>
      </x:c>
      <x:c r="U323" s="3" t="s">
        <x:v>136</x:v>
      </x:c>
      <x:c r="V323" s="3" t="s">
        <x:v>137</x:v>
      </x:c>
      <x:c r="W323" s="3" t="s">
        <x:v>407</x:v>
      </x:c>
      <x:c r="X323" s="3" t="s">
        <x:v>139</x:v>
      </x:c>
      <x:c r="Y323" s="3" t="s">
        <x:v>140</x:v>
      </x:c>
      <x:c r="Z323" s="3" t="s">
        <x:v>141</x:v>
      </x:c>
      <x:c r="AA323" s="3" t="s">
        <x:v>118</x:v>
      </x:c>
      <x:c r="AB323" s="7" t="n">
        <x:v>46269.6291666667</x:v>
      </x:c>
      <x:c r="AC323" s="7" t="n">
        <x:v>46269.63125</x:v>
      </x:c>
      <x:c r="AD323" s="7" t="n">
        <x:v>46269.6361111111</x:v>
      </x:c>
      <x:c r="AE323" s="7" t="n">
        <x:v>46269.6548611111</x:v>
      </x:c>
      <x:c r="AF323" s="7" t="n">
        <x:v>46269.6909722222</x:v>
      </x:c>
      <x:c r="AG323" s="3" t="n">
        <x:v>37</x:v>
      </x:c>
      <x:c r="AH323" s="3" t="n">
        <x:v>46</x:v>
      </x:c>
      <x:c r="AI323" s="3" t="s">
        <x:v>135</x:v>
      </x:c>
      <x:c r="AJ323" s="3" t="s">
        <x:v>135</x:v>
      </x:c>
      <x:c r="AK323" s="3" t="n">
        <x:v>180</x:v>
      </x:c>
      <x:c r="AL323" s="3" t="n">
        <x:v>0</x:v>
      </x:c>
      <x:c r="AM323" s="8" t="n">
        <x:v>0.4611</x:v>
      </x:c>
      <x:c r="AN323" s="3" t="n">
        <x:v>0</x:v>
      </x:c>
      <x:c r="AO323" s="3" t="s">
        <x:v>9</x:v>
      </x:c>
      <x:c r="AP323" s="3" t="s">
        <x:v>142</x:v>
      </x:c>
      <x:c r="AQ323" s="3" t="s">
        <x:v>120</x:v>
      </x:c>
      <x:c r="AR323" s="9" t="n">
        <x:v>757.7</x:v>
      </x:c>
      <x:c r="AS323" s="3" t="s">
        <x:v>121</x:v>
      </x:c>
      <x:c r="AT323" s="7" t="n">
        <x:v>46301.9166666667</x:v>
      </x:c>
    </x:row>
    <x:row r="324" ht="31.299999237060547" hidden="0">
      <x:c r="A324" s="3" t="s">
        <x:v>829</x:v>
      </x:c>
      <x:c r="B324" s="3" t="s">
        <x:v>205</x:v>
      </x:c>
      <x:c r="C324" s="3" t="s">
        <x:v>206</x:v>
      </x:c>
      <x:c r="D324" s="3" t="s">
        <x:v>207</x:v>
      </x:c>
      <x:c r="E324" s="3" t="s">
        <x:v>249</x:v>
      </x:c>
      <x:c r="F324" s="3" t="s">
        <x:v>127</x:v>
      </x:c>
      <x:c r="G324" s="3" t="s">
        <x:v>377</x:v>
      </x:c>
      <x:c r="H324" s="3" t="s">
        <x:v>343</x:v>
      </x:c>
      <x:c r="I324" s="3" t="s">
        <x:v>102</x:v>
      </x:c>
      <x:c r="J324" s="3" t="s">
        <x:v>103</x:v>
      </x:c>
      <x:c r="K324" s="3" t="s">
        <x:v>104</x:v>
      </x:c>
      <x:c r="L324" s="3" t="s">
        <x:v>209</x:v>
      </x:c>
      <x:c r="M324" s="3" t="s">
        <x:v>210</x:v>
      </x:c>
      <x:c r="N324" s="3" t="s">
        <x:v>211</x:v>
      </x:c>
      <x:c r="O324" s="3" t="s">
        <x:v>212</x:v>
      </x:c>
      <x:c r="P324" s="3" t="s">
        <x:v>213</x:v>
      </x:c>
      <x:c r="Q324" s="3" t="s">
        <x:v>254</x:v>
      </x:c>
      <x:c r="R324" s="3" t="s">
        <x:v>330</x:v>
      </x:c>
      <x:c r="S324" s="3" t="s">
        <x:v>135</x:v>
      </x:c>
      <x:c r="T324" s="3" t="s">
        <x:v>111</x:v>
      </x:c>
      <x:c r="U324" s="3" t="s">
        <x:v>331</x:v>
      </x:c>
      <x:c r="V324" s="3" t="s">
        <x:v>178</x:v>
      </x:c>
      <x:c r="W324" s="3" t="s">
        <x:v>332</x:v>
      </x:c>
      <x:c r="X324" s="3" t="s">
        <x:v>180</x:v>
      </x:c>
      <x:c r="Y324" s="3" t="s">
        <x:v>333</x:v>
      </x:c>
      <x:c r="Z324" s="3" t="s">
        <x:v>334</x:v>
      </x:c>
      <x:c r="AA324" s="3" t="s">
        <x:v>118</x:v>
      </x:c>
      <x:c r="AB324" s="7" t="n">
        <x:v>46269.6458333333</x:v>
      </x:c>
      <x:c r="AC324" s="7" t="n">
        <x:v>46269.6472222222</x:v>
      </x:c>
      <x:c r="AD324" s="7" t="n">
        <x:v>46269.6486111111</x:v>
      </x:c>
      <x:c r="AE324" s="7" t="n">
        <x:v>46269.6645833333</x:v>
      </x:c>
      <x:c r="AF324" s="7" t="n">
        <x:v>46269.6965277778</x:v>
      </x:c>
      <x:c r="AG324" s="3" t="n">
        <x:v>27</x:v>
      </x:c>
      <x:c r="AH324" s="3" t="n">
        <x:v>36</x:v>
      </x:c>
      <x:c r="AI324" s="3" t="s">
        <x:v>135</x:v>
      </x:c>
      <x:c r="AJ324" s="3" t="s">
        <x:v>135</x:v>
      </x:c>
      <x:c r="AK324" s="3" t="n">
        <x:v>180</x:v>
      </x:c>
      <x:c r="AL324" s="3" t="n">
        <x:v>0</x:v>
      </x:c>
      <x:c r="AM324" s="8" t="n">
        <x:v>0.35</x:v>
      </x:c>
      <x:c r="AN324" s="3" t="n">
        <x:v>1</x:v>
      </x:c>
      <x:c r="AO324" s="3" t="s">
        <x:v>9</x:v>
      </x:c>
      <x:c r="AP324" s="3" t="s">
        <x:v>500</x:v>
      </x:c>
      <x:c r="AQ324" s="3" t="s">
        <x:v>697</x:v>
      </x:c>
      <x:c r="AR324" s="9" t="n">
        <x:v>640.7</x:v>
      </x:c>
      <x:c r="AS324" s="3" t="s">
        <x:v>121</x:v>
      </x:c>
      <x:c r="AT324" s="7" t="n">
        <x:v>46301.9166666667</x:v>
      </x:c>
    </x:row>
    <x:row r="325" ht="31.299999237060547" hidden="0">
      <x:c r="A325" s="3" t="s">
        <x:v>830</x:v>
      </x:c>
      <x:c r="B325" s="3" t="s">
        <x:v>166</x:v>
      </x:c>
      <x:c r="C325" s="3" t="s">
        <x:v>167</x:v>
      </x:c>
      <x:c r="D325" s="3" t="s">
        <x:v>168</x:v>
      </x:c>
      <x:c r="E325" s="3" t="s">
        <x:v>249</x:v>
      </x:c>
      <x:c r="F325" s="3" t="s">
        <x:v>99</x:v>
      </x:c>
      <x:c r="G325" s="3" t="s">
        <x:v>504</x:v>
      </x:c>
      <x:c r="H325" s="3" t="s">
        <x:v>343</x:v>
      </x:c>
      <x:c r="I325" s="3" t="s">
        <x:v>102</x:v>
      </x:c>
      <x:c r="J325" s="3" t="s">
        <x:v>103</x:v>
      </x:c>
      <x:c r="K325" s="3" t="s">
        <x:v>104</x:v>
      </x:c>
      <x:c r="L325" s="3" t="s">
        <x:v>171</x:v>
      </x:c>
      <x:c r="M325" s="3" t="s">
        <x:v>172</x:v>
      </x:c>
      <x:c r="N325" s="3" t="s">
        <x:v>173</x:v>
      </x:c>
      <x:c r="O325" s="3" t="s">
        <x:v>174</x:v>
      </x:c>
      <x:c r="P325" s="3" t="s">
        <x:v>175</x:v>
      </x:c>
      <x:c r="Q325" s="3" t="s">
        <x:v>271</x:v>
      </x:c>
      <x:c r="R325" s="3" t="s">
        <x:v>344</x:v>
      </x:c>
      <x:c r="S325" s="3" t="s">
        <x:v>111</x:v>
      </x:c>
      <x:c r="T325" s="3" t="s">
        <x:v>111</x:v>
      </x:c>
      <x:c r="U325" s="3" t="s">
        <x:v>345</x:v>
      </x:c>
      <x:c r="V325" s="3" t="s">
        <x:v>178</x:v>
      </x:c>
      <x:c r="W325" s="3" t="s">
        <x:v>355</x:v>
      </x:c>
      <x:c r="X325" s="3" t="s">
        <x:v>180</x:v>
      </x:c>
      <x:c r="Y325" s="3" t="s">
        <x:v>356</x:v>
      </x:c>
      <x:c r="Z325" s="3" t="s">
        <x:v>346</x:v>
      </x:c>
      <x:c r="AA325" s="3" t="s">
        <x:v>118</x:v>
      </x:c>
      <x:c r="AB325" s="7" t="n">
        <x:v>46269.6513888889</x:v>
      </x:c>
      <x:c r="AC325" s="7" t="n">
        <x:v>46269.6541666667</x:v>
      </x:c>
      <x:c r="AD325" s="7" t="n">
        <x:v>46269.6590277778</x:v>
      </x:c>
      <x:c r="AE325" s="7" t="n">
        <x:v>46269.6694444444</x:v>
      </x:c>
      <x:c r="AF325" s="7" t="n">
        <x:v>46269.7138888889</x:v>
      </x:c>
      <x:c r="AG325" s="3" t="n">
        <x:v>26</x:v>
      </x:c>
      <x:c r="AH325" s="3" t="n">
        <x:v>60</x:v>
      </x:c>
      <x:c r="AI325" s="3" t="s">
        <x:v>135</x:v>
      </x:c>
      <x:c r="AJ325" s="3" t="s">
        <x:v>135</x:v>
      </x:c>
      <x:c r="AK325" s="3" t="n">
        <x:v>120</x:v>
      </x:c>
      <x:c r="AL325" s="3" t="n">
        <x:v>0</x:v>
      </x:c>
      <x:c r="AM325" s="8" t="n">
        <x:v>0.7167</x:v>
      </x:c>
      <x:c r="AN325" s="3" t="n">
        <x:v>0</x:v>
      </x:c>
      <x:c r="AO325" s="3" t="s">
        <x:v>14</x:v>
      </x:c>
      <x:c r="AP325" s="3" t="s">
        <x:v>347</x:v>
      </x:c>
      <x:c r="AQ325" s="3" t="s">
        <x:v>340</x:v>
      </x:c>
      <x:c r="AR325" s="9" t="n">
        <x:v>1189</x:v>
      </x:c>
      <x:c r="AS325" s="3" t="s">
        <x:v>185</x:v>
      </x:c>
      <x:c r="AT325" s="7" t="n">
        <x:v>46301.9166666667</x:v>
      </x:c>
    </x:row>
    <x:row r="326" ht="31.299999237060547" hidden="0">
      <x:c r="A326" s="3" t="s">
        <x:v>831</x:v>
      </x:c>
      <x:c r="B326" s="3" t="s">
        <x:v>397</x:v>
      </x:c>
      <x:c r="C326" s="3" t="s">
        <x:v>398</x:v>
      </x:c>
      <x:c r="D326" s="3" t="s">
        <x:v>399</x:v>
      </x:c>
      <x:c r="E326" s="3" t="s">
        <x:v>249</x:v>
      </x:c>
      <x:c r="F326" s="3" t="s">
        <x:v>99</x:v>
      </x:c>
      <x:c r="G326" s="3" t="s">
        <x:v>390</x:v>
      </x:c>
      <x:c r="H326" s="3" t="s">
        <x:v>301</x:v>
      </x:c>
      <x:c r="I326" s="3" t="s">
        <x:v>302</x:v>
      </x:c>
      <x:c r="J326" s="3" t="s">
        <x:v>303</x:v>
      </x:c>
      <x:c r="K326" s="3" t="s">
        <x:v>104</x:v>
      </x:c>
      <x:c r="L326" s="3" t="s">
        <x:v>401</x:v>
      </x:c>
      <x:c r="M326" s="3" t="s">
        <x:v>402</x:v>
      </x:c>
      <x:c r="N326" s="3" t="s">
        <x:v>403</x:v>
      </x:c>
      <x:c r="O326" s="3" t="s">
        <x:v>404</x:v>
      </x:c>
      <x:c r="P326" s="3" t="s">
        <x:v>405</x:v>
      </x:c>
      <x:c r="Q326" s="3" t="s">
        <x:v>406</x:v>
      </x:c>
      <x:c r="R326" s="3" t="s">
        <x:v>391</x:v>
      </x:c>
      <x:c r="S326" s="3" t="s">
        <x:v>135</x:v>
      </x:c>
      <x:c r="T326" s="3" t="s">
        <x:v>135</x:v>
      </x:c>
      <x:c r="U326" s="3" t="s">
        <x:v>392</x:v>
      </x:c>
      <x:c r="V326" s="3" t="s">
        <x:v>312</x:v>
      </x:c>
      <x:c r="W326" s="3" t="s">
        <x:v>313</x:v>
      </x:c>
      <x:c r="X326" s="3" t="s">
        <x:v>314</x:v>
      </x:c>
      <x:c r="Y326" s="3" t="s">
        <x:v>315</x:v>
      </x:c>
      <x:c r="Z326" s="3" t="s">
        <x:v>393</x:v>
      </x:c>
      <x:c r="AA326" s="3" t="s">
        <x:v>394</x:v>
      </x:c>
      <x:c r="AB326" s="7" t="n">
        <x:v>46269.6902777778</x:v>
      </x:c>
      <x:c r="AC326" s="7" t="n">
        <x:v>46269.6923611111</x:v>
      </x:c>
      <x:c r="AD326" s="7" t="n">
        <x:v>46269.6944444444</x:v>
      </x:c>
      <x:c r="AE326" s="7" t="n">
        <x:v>46269.7208333333</x:v>
      </x:c>
      <x:c r="AF326" s="7" t="n">
        <x:v>46269.7604166667</x:v>
      </x:c>
      <x:c r="AG326" s="3" t="n">
        <x:v>44</x:v>
      </x:c>
      <x:c r="AH326" s="3" t="n">
        <x:v>49</x:v>
      </x:c>
      <x:c r="AI326" s="3" t="s">
        <x:v>135</x:v>
      </x:c>
      <x:c r="AJ326" s="3" t="s">
        <x:v>135</x:v>
      </x:c>
      <x:c r="AK326" s="3" t="n">
        <x:v>180</x:v>
      </x:c>
      <x:c r="AL326" s="3" t="n">
        <x:v>0</x:v>
      </x:c>
      <x:c r="AM326" s="8" t="n">
        <x:v>0.5167</x:v>
      </x:c>
      <x:c r="AN326" s="3" t="n">
        <x:v>3</x:v>
      </x:c>
      <x:c r="AO326" s="3" t="s">
        <x:v>14</x:v>
      </x:c>
      <x:c r="AP326" s="3" t="s">
        <x:v>183</x:v>
      </x:c>
      <x:c r="AQ326" s="3" t="s">
        <x:v>832</x:v>
      </x:c>
      <x:c r="AR326" s="9" t="n">
        <x:v>1060.8</x:v>
      </x:c>
      <x:c r="AS326" s="3" t="s">
        <x:v>185</x:v>
      </x:c>
      <x:c r="AT326" s="7" t="n">
        <x:v>46301.9166666667</x:v>
      </x:c>
    </x:row>
    <x:row r="327" ht="31.299999237060547" hidden="0">
      <x:c r="A327" s="3" t="s">
        <x:v>833</x:v>
      </x:c>
      <x:c r="B327" s="3" t="s">
        <x:v>222</x:v>
      </x:c>
      <x:c r="C327" s="3" t="s">
        <x:v>223</x:v>
      </x:c>
      <x:c r="D327" s="3" t="s">
        <x:v>224</x:v>
      </x:c>
      <x:c r="E327" s="3" t="s">
        <x:v>249</x:v>
      </x:c>
      <x:c r="F327" s="3" t="s">
        <x:v>169</x:v>
      </x:c>
      <x:c r="G327" s="3" t="s">
        <x:v>354</x:v>
      </x:c>
      <x:c r="H327" s="3" t="s">
        <x:v>101</x:v>
      </x:c>
      <x:c r="I327" s="3" t="s">
        <x:v>102</x:v>
      </x:c>
      <x:c r="J327" s="3" t="s">
        <x:v>103</x:v>
      </x:c>
      <x:c r="K327" s="3" t="s">
        <x:v>104</x:v>
      </x:c>
      <x:c r="L327" s="3" t="s">
        <x:v>226</x:v>
      </x:c>
      <x:c r="M327" s="3" t="s">
        <x:v>227</x:v>
      </x:c>
      <x:c r="N327" s="3" t="s">
        <x:v>228</x:v>
      </x:c>
      <x:c r="O327" s="3" t="s">
        <x:v>229</x:v>
      </x:c>
      <x:c r="P327" s="3" t="s">
        <x:v>230</x:v>
      </x:c>
      <x:c r="Q327" s="3" t="s">
        <x:v>274</x:v>
      </x:c>
      <x:c r="R327" s="3" t="s">
        <x:v>176</x:v>
      </x:c>
      <x:c r="S327" s="3" t="s">
        <x:v>135</x:v>
      </x:c>
      <x:c r="T327" s="3" t="s">
        <x:v>135</x:v>
      </x:c>
      <x:c r="U327" s="3" t="s">
        <x:v>177</x:v>
      </x:c>
      <x:c r="V327" s="3" t="s">
        <x:v>178</x:v>
      </x:c>
      <x:c r="W327" s="3" t="s">
        <x:v>179</x:v>
      </x:c>
      <x:c r="X327" s="3" t="s">
        <x:v>180</x:v>
      </x:c>
      <x:c r="Y327" s="3" t="s">
        <x:v>414</x:v>
      </x:c>
      <x:c r="Z327" s="3" t="s">
        <x:v>182</x:v>
      </x:c>
      <x:c r="AA327" s="3" t="s">
        <x:v>118</x:v>
      </x:c>
      <x:c r="AB327" s="7" t="n">
        <x:v>46269.8361111111</x:v>
      </x:c>
      <x:c r="AC327" s="7" t="n">
        <x:v>46269.8388888889</x:v>
      </x:c>
      <x:c r="AD327" s="7" t="n">
        <x:v>46269.8409722222</x:v>
      </x:c>
      <x:c r="AE327" s="7" t="n">
        <x:v>46269.8513888889</x:v>
      </x:c>
      <x:c r="AF327" s="7" t="n">
        <x:v>46269.8625</x:v>
      </x:c>
      <x:c r="AG327" s="3" t="n">
        <x:v>22</x:v>
      </x:c>
      <x:c r="AH327" s="3" t="n">
        <x:v>12</x:v>
      </x:c>
      <x:c r="AI327" s="3" t="s">
        <x:v>135</x:v>
      </x:c>
      <x:c r="AJ327" s="3" t="s">
        <x:v>135</x:v>
      </x:c>
      <x:c r="AK327" s="3" t="n">
        <x:v>180</x:v>
      </x:c>
      <x:c r="AL327" s="3" t="n">
        <x:v>0</x:v>
      </x:c>
      <x:c r="AM327" s="8" t="n">
        <x:v>0.1889</x:v>
      </x:c>
      <x:c r="AN327" s="3" t="n">
        <x:v>1</x:v>
      </x:c>
      <x:c r="AO327" s="3" t="s">
        <x:v>9</x:v>
      </x:c>
      <x:c r="AP327" s="3" t="s">
        <x:v>500</x:v>
      </x:c>
      <x:c r="AQ327" s="3" t="s">
        <x:v>546</x:v>
      </x:c>
      <x:c r="AR327" s="9" t="n">
        <x:v>445.4</x:v>
      </x:c>
      <x:c r="AS327" s="3" t="s">
        <x:v>144</x:v>
      </x:c>
      <x:c r="AT327" s="7" t="n">
        <x:v>46301.9166666667</x:v>
      </x:c>
    </x:row>
    <x:row r="328" ht="31.299999237060547" hidden="0">
      <x:c r="A328" s="3" t="s">
        <x:v>834</x:v>
      </x:c>
      <x:c r="B328" s="3" t="s">
        <x:v>166</x:v>
      </x:c>
      <x:c r="C328" s="3" t="s">
        <x:v>167</x:v>
      </x:c>
      <x:c r="D328" s="3" t="s">
        <x:v>168</x:v>
      </x:c>
      <x:c r="E328" s="3" t="s">
        <x:v>249</x:v>
      </x:c>
      <x:c r="F328" s="3" t="s">
        <x:v>127</x:v>
      </x:c>
      <x:c r="G328" s="3" t="s">
        <x:v>300</x:v>
      </x:c>
      <x:c r="H328" s="3" t="s">
        <x:v>301</x:v>
      </x:c>
      <x:c r="I328" s="3" t="s">
        <x:v>302</x:v>
      </x:c>
      <x:c r="J328" s="3" t="s">
        <x:v>303</x:v>
      </x:c>
      <x:c r="K328" s="3" t="s">
        <x:v>104</x:v>
      </x:c>
      <x:c r="L328" s="3" t="s">
        <x:v>171</x:v>
      </x:c>
      <x:c r="M328" s="3" t="s">
        <x:v>172</x:v>
      </x:c>
      <x:c r="N328" s="3" t="s">
        <x:v>173</x:v>
      </x:c>
      <x:c r="O328" s="3" t="s">
        <x:v>174</x:v>
      </x:c>
      <x:c r="P328" s="3" t="s">
        <x:v>175</x:v>
      </x:c>
      <x:c r="Q328" s="3" t="s">
        <x:v>271</x:v>
      </x:c>
      <x:c r="R328" s="3" t="s">
        <x:v>310</x:v>
      </x:c>
      <x:c r="S328" s="3" t="s">
        <x:v>135</x:v>
      </x:c>
      <x:c r="T328" s="3" t="s">
        <x:v>111</x:v>
      </x:c>
      <x:c r="U328" s="3" t="s">
        <x:v>311</x:v>
      </x:c>
      <x:c r="V328" s="3" t="s">
        <x:v>312</x:v>
      </x:c>
      <x:c r="W328" s="3" t="s">
        <x:v>382</x:v>
      </x:c>
      <x:c r="X328" s="3" t="s">
        <x:v>314</x:v>
      </x:c>
      <x:c r="Y328" s="3" t="s">
        <x:v>383</x:v>
      </x:c>
      <x:c r="Z328" s="3" t="s">
        <x:v>316</x:v>
      </x:c>
      <x:c r="AA328" s="3" t="s">
        <x:v>317</x:v>
      </x:c>
      <x:c r="AB328" s="7" t="n">
        <x:v>46269.8534722222</x:v>
      </x:c>
      <x:c r="AC328" s="7" t="n">
        <x:v>46269.8569444444</x:v>
      </x:c>
      <x:c r="AD328" s="7" t="n">
        <x:v>46269.8597222222</x:v>
      </x:c>
      <x:c r="AE328" s="7" t="n">
        <x:v>46269.8798611111</x:v>
      </x:c>
      <x:c r="AF328" s="7" t="n">
        <x:v>46269.9423611111</x:v>
      </x:c>
      <x:c r="AG328" s="3" t="n">
        <x:v>38</x:v>
      </x:c>
      <x:c r="AH328" s="3" t="n">
        <x:v>80</x:v>
      </x:c>
      <x:c r="AI328" s="3" t="s">
        <x:v>135</x:v>
      </x:c>
      <x:c r="AJ328" s="3" t="s">
        <x:v>135</x:v>
      </x:c>
      <x:c r="AK328" s="3" t="n">
        <x:v>180</x:v>
      </x:c>
      <x:c r="AL328" s="3" t="n">
        <x:v>0</x:v>
      </x:c>
      <x:c r="AM328" s="8" t="n">
        <x:v>0.6556</x:v>
      </x:c>
      <x:c r="AN328" s="3" t="n">
        <x:v>0</x:v>
      </x:c>
      <x:c r="AO328" s="3" t="s">
        <x:v>14</x:v>
      </x:c>
      <x:c r="AP328" s="3" t="s">
        <x:v>347</x:v>
      </x:c>
      <x:c r="AQ328" s="3" t="s">
        <x:v>340</x:v>
      </x:c>
      <x:c r="AR328" s="9" t="n">
        <x:v>1387</x:v>
      </x:c>
      <x:c r="AS328" s="3" t="s">
        <x:v>185</x:v>
      </x:c>
      <x:c r="AT328" s="7" t="n">
        <x:v>46301.9166666667</x:v>
      </x:c>
    </x:row>
    <x:row r="329" ht="31.299999237060547" hidden="0">
      <x:c r="A329" s="3" t="s">
        <x:v>835</x:v>
      </x:c>
      <x:c r="B329" s="3" t="s">
        <x:v>83</x:v>
      </x:c>
      <x:c r="C329" s="3" t="s">
        <x:v>96</x:v>
      </x:c>
      <x:c r="D329" s="3" t="s">
        <x:v>97</x:v>
      </x:c>
      <x:c r="E329" s="3" t="s">
        <x:v>249</x:v>
      </x:c>
      <x:c r="F329" s="3" t="s">
        <x:v>169</x:v>
      </x:c>
      <x:c r="G329" s="3" t="s">
        <x:v>458</x:v>
      </x:c>
      <x:c r="H329" s="3" t="s">
        <x:v>339</x:v>
      </x:c>
      <x:c r="I329" s="3" t="s">
        <x:v>102</x:v>
      </x:c>
      <x:c r="J329" s="3" t="s">
        <x:v>103</x:v>
      </x:c>
      <x:c r="K329" s="3" t="s">
        <x:v>104</x:v>
      </x:c>
      <x:c r="L329" s="3" t="s">
        <x:v>105</x:v>
      </x:c>
      <x:c r="M329" s="3" t="s">
        <x:v>106</x:v>
      </x:c>
      <x:c r="N329" s="3" t="s">
        <x:v>107</x:v>
      </x:c>
      <x:c r="O329" s="3" t="s">
        <x:v>108</x:v>
      </x:c>
      <x:c r="P329" s="3" t="s">
        <x:v>109</x:v>
      </x:c>
      <x:c r="Q329" s="3" t="s">
        <x:v>250</x:v>
      </x:c>
      <x:c r="R329" s="3" t="s">
        <x:v>391</x:v>
      </x:c>
      <x:c r="S329" s="3" t="s">
        <x:v>135</x:v>
      </x:c>
      <x:c r="T329" s="3" t="s">
        <x:v>135</x:v>
      </x:c>
      <x:c r="U329" s="3" t="s">
        <x:v>392</x:v>
      </x:c>
      <x:c r="V329" s="3" t="s">
        <x:v>312</x:v>
      </x:c>
      <x:c r="W329" s="3" t="s">
        <x:v>313</x:v>
      </x:c>
      <x:c r="X329" s="3" t="s">
        <x:v>314</x:v>
      </x:c>
      <x:c r="Y329" s="3" t="s">
        <x:v>315</x:v>
      </x:c>
      <x:c r="Z329" s="3" t="s">
        <x:v>393</x:v>
      </x:c>
      <x:c r="AA329" s="3" t="s">
        <x:v>394</x:v>
      </x:c>
      <x:c r="AB329" s="7" t="n">
        <x:v>46270.3222222222</x:v>
      </x:c>
      <x:c r="AC329" s="7" t="n">
        <x:v>46270.3236111111</x:v>
      </x:c>
      <x:c r="AD329" s="7" t="n">
        <x:v>46270.3298611111</x:v>
      </x:c>
      <x:c r="AE329" s="7" t="n">
        <x:v>46270.3506944444</x:v>
      </x:c>
      <x:c r="AF329" s="7" t="n">
        <x:v>46270.3673611111</x:v>
      </x:c>
      <x:c r="AG329" s="3" t="n">
        <x:v>41</x:v>
      </x:c>
      <x:c r="AH329" s="3" t="n">
        <x:v>18</x:v>
      </x:c>
      <x:c r="AI329" s="3" t="s">
        <x:v>111</x:v>
      </x:c>
      <x:c r="AJ329" s="3" t="s">
        <x:v>111</x:v>
      </x:c>
      <x:c r="AK329" s="3" t="n">
        <x:v>60</x:v>
      </x:c>
      <x:c r="AL329" s="3" t="n">
        <x:v>0</x:v>
      </x:c>
      <x:c r="AM329" s="8" t="n">
        <x:v>0.9833</x:v>
      </x:c>
      <x:c r="AN329" s="3" t="n">
        <x:v>0</x:v>
      </x:c>
      <x:c r="AO329" s="3" t="s">
        <x:v>24</x:v>
      </x:c>
      <x:c r="AP329" s="3" t="s">
        <x:v>552</x:v>
      </x:c>
      <x:c r="AQ329" s="3" t="s">
        <x:v>422</x:v>
      </x:c>
      <x:c r="AR329" s="9" t="n">
        <x:v>894.1</x:v>
      </x:c>
      <x:c r="AS329" s="3" t="s">
        <x:v>121</x:v>
      </x:c>
      <x:c r="AT329" s="7" t="n">
        <x:v>46301.9166666667</x:v>
      </x:c>
    </x:row>
    <x:row r="330" ht="31.299999237060547" hidden="0">
      <x:c r="A330" s="3" t="s">
        <x:v>836</x:v>
      </x:c>
      <x:c r="B330" s="3" t="s">
        <x:v>205</x:v>
      </x:c>
      <x:c r="C330" s="3" t="s">
        <x:v>206</x:v>
      </x:c>
      <x:c r="D330" s="3" t="s">
        <x:v>207</x:v>
      </x:c>
      <x:c r="E330" s="3" t="s">
        <x:v>249</x:v>
      </x:c>
      <x:c r="F330" s="3" t="s">
        <x:v>127</x:v>
      </x:c>
      <x:c r="G330" s="3" t="s">
        <x:v>443</x:v>
      </x:c>
      <x:c r="H330" s="3" t="s">
        <x:v>101</x:v>
      </x:c>
      <x:c r="I330" s="3" t="s">
        <x:v>102</x:v>
      </x:c>
      <x:c r="J330" s="3" t="s">
        <x:v>103</x:v>
      </x:c>
      <x:c r="K330" s="3" t="s">
        <x:v>104</x:v>
      </x:c>
      <x:c r="L330" s="3" t="s">
        <x:v>209</x:v>
      </x:c>
      <x:c r="M330" s="3" t="s">
        <x:v>210</x:v>
      </x:c>
      <x:c r="N330" s="3" t="s">
        <x:v>211</x:v>
      </x:c>
      <x:c r="O330" s="3" t="s">
        <x:v>212</x:v>
      </x:c>
      <x:c r="P330" s="3" t="s">
        <x:v>213</x:v>
      </x:c>
      <x:c r="Q330" s="3" t="s">
        <x:v>254</x:v>
      </x:c>
      <x:c r="R330" s="3" t="s">
        <x:v>330</x:v>
      </x:c>
      <x:c r="S330" s="3" t="s">
        <x:v>135</x:v>
      </x:c>
      <x:c r="T330" s="3" t="s">
        <x:v>111</x:v>
      </x:c>
      <x:c r="U330" s="3" t="s">
        <x:v>331</x:v>
      </x:c>
      <x:c r="V330" s="3" t="s">
        <x:v>178</x:v>
      </x:c>
      <x:c r="W330" s="3" t="s">
        <x:v>179</x:v>
      </x:c>
      <x:c r="X330" s="3" t="s">
        <x:v>180</x:v>
      </x:c>
      <x:c r="Y330" s="3" t="s">
        <x:v>414</x:v>
      </x:c>
      <x:c r="Z330" s="3" t="s">
        <x:v>334</x:v>
      </x:c>
      <x:c r="AA330" s="3" t="s">
        <x:v>118</x:v>
      </x:c>
      <x:c r="AB330" s="7" t="n">
        <x:v>46270.4020833333</x:v>
      </x:c>
      <x:c r="AC330" s="7" t="n">
        <x:v>46270.4069444445</x:v>
      </x:c>
      <x:c r="AD330" s="7" t="n">
        <x:v>46270.4090277778</x:v>
      </x:c>
      <x:c r="AE330" s="7" t="n">
        <x:v>46270.4326388889</x:v>
      </x:c>
      <x:c r="AF330" s="7" t="n">
        <x:v>46270.4708333333</x:v>
      </x:c>
      <x:c r="AG330" s="3" t="n">
        <x:v>44</x:v>
      </x:c>
      <x:c r="AH330" s="3" t="n">
        <x:v>48</x:v>
      </x:c>
      <x:c r="AI330" s="3" t="s">
        <x:v>135</x:v>
      </x:c>
      <x:c r="AJ330" s="3" t="s">
        <x:v>135</x:v>
      </x:c>
      <x:c r="AK330" s="3" t="n">
        <x:v>180</x:v>
      </x:c>
      <x:c r="AL330" s="3" t="n">
        <x:v>0</x:v>
      </x:c>
      <x:c r="AM330" s="8" t="n">
        <x:v>0.5111</x:v>
      </x:c>
      <x:c r="AN330" s="3" t="n">
        <x:v>0</x:v>
      </x:c>
      <x:c r="AO330" s="3" t="s">
        <x:v>9</x:v>
      </x:c>
      <x:c r="AP330" s="3" t="s">
        <x:v>142</x:v>
      </x:c>
      <x:c r="AQ330" s="3" t="s">
        <x:v>220</x:v>
      </x:c>
      <x:c r="AR330" s="9" t="n">
        <x:v>803.6</x:v>
      </x:c>
      <x:c r="AS330" s="3" t="s">
        <x:v>121</x:v>
      </x:c>
      <x:c r="AT330" s="7" t="n">
        <x:v>46301.9166666667</x:v>
      </x:c>
    </x:row>
    <x:row r="331" ht="31.299999237060547" hidden="0">
      <x:c r="A331" s="3" t="s">
        <x:v>837</x:v>
      </x:c>
      <x:c r="B331" s="3" t="s">
        <x:v>166</x:v>
      </x:c>
      <x:c r="C331" s="3" t="s">
        <x:v>167</x:v>
      </x:c>
      <x:c r="D331" s="3" t="s">
        <x:v>168</x:v>
      </x:c>
      <x:c r="E331" s="3" t="s">
        <x:v>249</x:v>
      </x:c>
      <x:c r="F331" s="3" t="s">
        <x:v>149</x:v>
      </x:c>
      <x:c r="G331" s="3" t="s">
        <x:v>469</x:v>
      </x:c>
      <x:c r="H331" s="3" t="s">
        <x:v>301</x:v>
      </x:c>
      <x:c r="I331" s="3" t="s">
        <x:v>302</x:v>
      </x:c>
      <x:c r="J331" s="3" t="s">
        <x:v>303</x:v>
      </x:c>
      <x:c r="K331" s="3" t="s">
        <x:v>104</x:v>
      </x:c>
      <x:c r="L331" s="3" t="s">
        <x:v>171</x:v>
      </x:c>
      <x:c r="M331" s="3" t="s">
        <x:v>172</x:v>
      </x:c>
      <x:c r="N331" s="3" t="s">
        <x:v>173</x:v>
      </x:c>
      <x:c r="O331" s="3" t="s">
        <x:v>174</x:v>
      </x:c>
      <x:c r="P331" s="3" t="s">
        <x:v>175</x:v>
      </x:c>
      <x:c r="Q331" s="3" t="s">
        <x:v>271</x:v>
      </x:c>
      <x:c r="R331" s="3" t="s">
        <x:v>110</x:v>
      </x:c>
      <x:c r="S331" s="3" t="s">
        <x:v>111</x:v>
      </x:c>
      <x:c r="T331" s="3" t="s">
        <x:v>111</x:v>
      </x:c>
      <x:c r="U331" s="3" t="s">
        <x:v>112</x:v>
      </x:c>
      <x:c r="V331" s="3" t="s">
        <x:v>113</x:v>
      </x:c>
      <x:c r="W331" s="3" t="s">
        <x:v>419</x:v>
      </x:c>
      <x:c r="X331" s="3" t="s">
        <x:v>115</x:v>
      </x:c>
      <x:c r="Y331" s="3" t="s">
        <x:v>420</x:v>
      </x:c>
      <x:c r="Z331" s="3" t="s">
        <x:v>117</x:v>
      </x:c>
      <x:c r="AA331" s="3" t="s">
        <x:v>118</x:v>
      </x:c>
      <x:c r="AB331" s="7" t="n">
        <x:v>46270.4166666667</x:v>
      </x:c>
      <x:c r="AC331" s="7" t="n">
        <x:v>46270.4180555556</x:v>
      </x:c>
      <x:c r="AD331" s="7" t="n">
        <x:v>46270.4194444444</x:v>
      </x:c>
      <x:c r="AE331" s="7" t="n">
        <x:v>46270.4263888889</x:v>
      </x:c>
      <x:c r="AF331" s="7" t="n">
        <x:v>46270.4930555556</x:v>
      </x:c>
      <x:c r="AG331" s="3" t="n">
        <x:v>14</x:v>
      </x:c>
      <x:c r="AH331" s="3" t="n">
        <x:v>92</x:v>
      </x:c>
      <x:c r="AI331" s="3" t="s">
        <x:v>135</x:v>
      </x:c>
      <x:c r="AJ331" s="3" t="s">
        <x:v>135</x:v>
      </x:c>
      <x:c r="AK331" s="3" t="n">
        <x:v>120</x:v>
      </x:c>
      <x:c r="AL331" s="3" t="n">
        <x:v>0</x:v>
      </x:c>
      <x:c r="AM331" s="8" t="n">
        <x:v>0.8833</x:v>
      </x:c>
      <x:c r="AN331" s="3" t="n">
        <x:v>0</x:v>
      </x:c>
      <x:c r="AO331" s="3" t="s">
        <x:v>19</x:v>
      </x:c>
      <x:c r="AP331" s="3" t="s">
        <x:v>369</x:v>
      </x:c>
      <x:c r="AQ331" s="3" t="s">
        <x:v>340</x:v>
      </x:c>
      <x:c r="AR331" s="9" t="n">
        <x:v>1365.4</x:v>
      </x:c>
      <x:c r="AS331" s="3" t="s">
        <x:v>185</x:v>
      </x:c>
      <x:c r="AT331" s="7" t="n">
        <x:v>46301.9166666667</x:v>
      </x:c>
    </x:row>
    <x:row r="332" ht="31.299999237060547" hidden="0">
      <x:c r="A332" s="3" t="s">
        <x:v>838</x:v>
      </x:c>
      <x:c r="B332" s="3" t="s">
        <x:v>222</x:v>
      </x:c>
      <x:c r="C332" s="3" t="s">
        <x:v>223</x:v>
      </x:c>
      <x:c r="D332" s="3" t="s">
        <x:v>224</x:v>
      </x:c>
      <x:c r="E332" s="3" t="s">
        <x:v>249</x:v>
      </x:c>
      <x:c r="F332" s="3" t="s">
        <x:v>99</x:v>
      </x:c>
      <x:c r="G332" s="3" t="s">
        <x:v>477</x:v>
      </x:c>
      <x:c r="H332" s="3" t="s">
        <x:v>343</x:v>
      </x:c>
      <x:c r="I332" s="3" t="s">
        <x:v>102</x:v>
      </x:c>
      <x:c r="J332" s="3" t="s">
        <x:v>103</x:v>
      </x:c>
      <x:c r="K332" s="3" t="s">
        <x:v>104</x:v>
      </x:c>
      <x:c r="L332" s="3" t="s">
        <x:v>226</x:v>
      </x:c>
      <x:c r="M332" s="3" t="s">
        <x:v>227</x:v>
      </x:c>
      <x:c r="N332" s="3" t="s">
        <x:v>228</x:v>
      </x:c>
      <x:c r="O332" s="3" t="s">
        <x:v>229</x:v>
      </x:c>
      <x:c r="P332" s="3" t="s">
        <x:v>230</x:v>
      </x:c>
      <x:c r="Q332" s="3" t="s">
        <x:v>274</x:v>
      </x:c>
      <x:c r="R332" s="3" t="s">
        <x:v>214</x:v>
      </x:c>
      <x:c r="S332" s="3" t="s">
        <x:v>135</x:v>
      </x:c>
      <x:c r="T332" s="3" t="s">
        <x:v>111</x:v>
      </x:c>
      <x:c r="U332" s="3" t="s">
        <x:v>215</x:v>
      </x:c>
      <x:c r="V332" s="3" t="s">
        <x:v>216</x:v>
      </x:c>
      <x:c r="W332" s="3" t="s">
        <x:v>217</x:v>
      </x:c>
      <x:c r="X332" s="3" t="s">
        <x:v>430</x:v>
      </x:c>
      <x:c r="Y332" s="3" t="s">
        <x:v>555</x:v>
      </x:c>
      <x:c r="Z332" s="3" t="s">
        <x:v>219</x:v>
      </x:c>
      <x:c r="AA332" s="3" t="s">
        <x:v>118</x:v>
      </x:c>
      <x:c r="AB332" s="7" t="n">
        <x:v>46270.4347222222</x:v>
      </x:c>
      <x:c r="AC332" s="7" t="n">
        <x:v>46270.4375</x:v>
      </x:c>
      <x:c r="AD332" s="7" t="n">
        <x:v>46270.44375</x:v>
      </x:c>
      <x:c r="AE332" s="7" t="n">
        <x:v>46270.4652777778</x:v>
      </x:c>
      <x:c r="AF332" s="7" t="n">
        <x:v>46270.4986111111</x:v>
      </x:c>
      <x:c r="AG332" s="3" t="n">
        <x:v>44</x:v>
      </x:c>
      <x:c r="AH332" s="3" t="n">
        <x:v>39</x:v>
      </x:c>
      <x:c r="AI332" s="3" t="s">
        <x:v>135</x:v>
      </x:c>
      <x:c r="AJ332" s="3" t="s">
        <x:v>135</x:v>
      </x:c>
      <x:c r="AK332" s="3" t="n">
        <x:v>180</x:v>
      </x:c>
      <x:c r="AL332" s="3" t="n">
        <x:v>0</x:v>
      </x:c>
      <x:c r="AM332" s="8" t="n">
        <x:v>0.4611</x:v>
      </x:c>
      <x:c r="AN332" s="3" t="n">
        <x:v>0</x:v>
      </x:c>
      <x:c r="AO332" s="3" t="s">
        <x:v>9</x:v>
      </x:c>
      <x:c r="AP332" s="3" t="s">
        <x:v>142</x:v>
      </x:c>
      <x:c r="AQ332" s="3" t="s">
        <x:v>452</x:v>
      </x:c>
      <x:c r="AR332" s="9" t="n">
        <x:v>738.8</x:v>
      </x:c>
      <x:c r="AS332" s="3" t="s">
        <x:v>144</x:v>
      </x:c>
      <x:c r="AT332" s="7" t="n">
        <x:v>46301.9166666667</x:v>
      </x:c>
    </x:row>
    <x:row r="333" ht="31.299999237060547" hidden="0">
      <x:c r="A333" s="3" t="s">
        <x:v>839</x:v>
      </x:c>
      <x:c r="B333" s="3" t="s">
        <x:v>297</x:v>
      </x:c>
      <x:c r="C333" s="3" t="s">
        <x:v>298</x:v>
      </x:c>
      <x:c r="D333" s="3" t="s">
        <x:v>299</x:v>
      </x:c>
      <x:c r="E333" s="3" t="s">
        <x:v>249</x:v>
      </x:c>
      <x:c r="F333" s="3" t="s">
        <x:v>99</x:v>
      </x:c>
      <x:c r="G333" s="3" t="s">
        <x:v>541</x:v>
      </x:c>
      <x:c r="H333" s="3" t="s">
        <x:v>301</x:v>
      </x:c>
      <x:c r="I333" s="3" t="s">
        <x:v>302</x:v>
      </x:c>
      <x:c r="J333" s="3" t="s">
        <x:v>303</x:v>
      </x:c>
      <x:c r="K333" s="3" t="s">
        <x:v>104</x:v>
      </x:c>
      <x:c r="L333" s="3" t="s">
        <x:v>304</x:v>
      </x:c>
      <x:c r="M333" s="3" t="s">
        <x:v>305</x:v>
      </x:c>
      <x:c r="N333" s="3" t="s">
        <x:v>306</x:v>
      </x:c>
      <x:c r="O333" s="3" t="s">
        <x:v>307</x:v>
      </x:c>
      <x:c r="P333" s="3" t="s">
        <x:v>308</x:v>
      </x:c>
      <x:c r="Q333" s="3" t="s">
        <x:v>309</x:v>
      </x:c>
      <x:c r="R333" s="3" t="s">
        <x:v>196</x:v>
      </x:c>
      <x:c r="S333" s="3" t="s">
        <x:v>111</x:v>
      </x:c>
      <x:c r="T333" s="3" t="s">
        <x:v>111</x:v>
      </x:c>
      <x:c r="U333" s="3" t="s">
        <x:v>197</x:v>
      </x:c>
      <x:c r="V333" s="3" t="s">
        <x:v>198</x:v>
      </x:c>
      <x:c r="W333" s="3" t="s">
        <x:v>365</x:v>
      </x:c>
      <x:c r="X333" s="3" t="s">
        <x:v>366</x:v>
      </x:c>
      <x:c r="Y333" s="3" t="s">
        <x:v>367</x:v>
      </x:c>
      <x:c r="Z333" s="3" t="s">
        <x:v>201</x:v>
      </x:c>
      <x:c r="AA333" s="3" t="s">
        <x:v>368</x:v>
      </x:c>
      <x:c r="AB333" s="7" t="n">
        <x:v>46270.5993055556</x:v>
      </x:c>
      <x:c r="AC333" s="7" t="n">
        <x:v>46270.6027777778</x:v>
      </x:c>
      <x:c r="AD333" s="7" t="n">
        <x:v>46270.60625</x:v>
      </x:c>
      <x:c r="AE333" s="7" t="n">
        <x:v>46270.6256944445</x:v>
      </x:c>
      <x:c r="AF333" s="7" t="n">
        <x:v>46270.6625</x:v>
      </x:c>
      <x:c r="AG333" s="3" t="n">
        <x:v>38</x:v>
      </x:c>
      <x:c r="AH333" s="3" t="n">
        <x:v>50</x:v>
      </x:c>
      <x:c r="AI333" s="3" t="s">
        <x:v>135</x:v>
      </x:c>
      <x:c r="AJ333" s="3" t="s">
        <x:v>111</x:v>
      </x:c>
      <x:c r="AK333" s="3" t="n">
        <x:v>120</x:v>
      </x:c>
      <x:c r="AL333" s="3" t="n">
        <x:v>0</x:v>
      </x:c>
      <x:c r="AM333" s="8" t="n">
        <x:v>0.7333</x:v>
      </x:c>
      <x:c r="AN333" s="3" t="n">
        <x:v>1</x:v>
      </x:c>
      <x:c r="AO333" s="3" t="s">
        <x:v>14</x:v>
      </x:c>
      <x:c r="AP333" s="3" t="s">
        <x:v>664</x:v>
      </x:c>
      <x:c r="AQ333" s="3" t="s">
        <x:v>603</x:v>
      </x:c>
      <x:c r="AR333" s="9" t="n">
        <x:v>1171</x:v>
      </x:c>
      <x:c r="AS333" s="3" t="s">
        <x:v>121</x:v>
      </x:c>
      <x:c r="AT333" s="7" t="n">
        <x:v>46301.9166666667</x:v>
      </x:c>
    </x:row>
    <x:row r="334" ht="31.299999237060547" hidden="0">
      <x:c r="A334" s="3" t="s">
        <x:v>840</x:v>
      </x:c>
      <x:c r="B334" s="3" t="s">
        <x:v>433</x:v>
      </x:c>
      <x:c r="C334" s="3" t="s">
        <x:v>434</x:v>
      </x:c>
      <x:c r="D334" s="3" t="s">
        <x:v>435</x:v>
      </x:c>
      <x:c r="E334" s="3" t="s">
        <x:v>249</x:v>
      </x:c>
      <x:c r="F334" s="3" t="s">
        <x:v>127</x:v>
      </x:c>
      <x:c r="G334" s="3" t="s">
        <x:v>614</x:v>
      </x:c>
      <x:c r="H334" s="3" t="s">
        <x:v>301</x:v>
      </x:c>
      <x:c r="I334" s="3" t="s">
        <x:v>302</x:v>
      </x:c>
      <x:c r="J334" s="3" t="s">
        <x:v>303</x:v>
      </x:c>
      <x:c r="K334" s="3" t="s">
        <x:v>104</x:v>
      </x:c>
      <x:c r="L334" s="3" t="s">
        <x:v>437</x:v>
      </x:c>
      <x:c r="M334" s="3" t="s">
        <x:v>106</x:v>
      </x:c>
      <x:c r="N334" s="3" t="s">
        <x:v>438</x:v>
      </x:c>
      <x:c r="O334" s="3" t="s">
        <x:v>439</x:v>
      </x:c>
      <x:c r="P334" s="3" t="s">
        <x:v>440</x:v>
      </x:c>
      <x:c r="Q334" s="3" t="s">
        <x:v>441</x:v>
      </x:c>
      <x:c r="R334" s="3" t="s">
        <x:v>196</x:v>
      </x:c>
      <x:c r="S334" s="3" t="s">
        <x:v>111</x:v>
      </x:c>
      <x:c r="T334" s="3" t="s">
        <x:v>111</x:v>
      </x:c>
      <x:c r="U334" s="3" t="s">
        <x:v>197</x:v>
      </x:c>
      <x:c r="V334" s="3" t="s">
        <x:v>198</x:v>
      </x:c>
      <x:c r="W334" s="3" t="s">
        <x:v>199</x:v>
      </x:c>
      <x:c r="X334" s="3" t="s">
        <x:v>366</x:v>
      </x:c>
      <x:c r="Y334" s="3" t="s">
        <x:v>527</x:v>
      </x:c>
      <x:c r="Z334" s="3" t="s">
        <x:v>201</x:v>
      </x:c>
      <x:c r="AA334" s="3" t="s">
        <x:v>368</x:v>
      </x:c>
      <x:c r="AB334" s="7" t="n">
        <x:v>46270.6895833333</x:v>
      </x:c>
      <x:c r="AC334" s="7" t="n">
        <x:v>46270.6930555556</x:v>
      </x:c>
      <x:c r="AD334" s="7" t="n">
        <x:v>46270.6979166667</x:v>
      </x:c>
      <x:c r="AE334" s="7" t="n">
        <x:v>46270.7104166667</x:v>
      </x:c>
      <x:c r="AF334" s="7" t="n">
        <x:v>46270.7284722222</x:v>
      </x:c>
      <x:c r="AG334" s="3" t="n">
        <x:v>30</x:v>
      </x:c>
      <x:c r="AH334" s="3" t="n">
        <x:v>23</x:v>
      </x:c>
      <x:c r="AI334" s="3" t="s">
        <x:v>135</x:v>
      </x:c>
      <x:c r="AJ334" s="3" t="s">
        <x:v>135</x:v>
      </x:c>
      <x:c r="AK334" s="3" t="n">
        <x:v>120</x:v>
      </x:c>
      <x:c r="AL334" s="3" t="n">
        <x:v>0</x:v>
      </x:c>
      <x:c r="AM334" s="8" t="n">
        <x:v>0.4417</x:v>
      </x:c>
      <x:c r="AN334" s="3" t="n">
        <x:v>0</x:v>
      </x:c>
      <x:c r="AO334" s="3" t="s">
        <x:v>9</x:v>
      </x:c>
      <x:c r="AP334" s="3" t="s">
        <x:v>142</x:v>
      </x:c>
      <x:c r="AQ334" s="3" t="s">
        <x:v>422</x:v>
      </x:c>
      <x:c r="AR334" s="9" t="n">
        <x:v>560.6</x:v>
      </x:c>
      <x:c r="AS334" s="3" t="s">
        <x:v>121</x:v>
      </x:c>
      <x:c r="AT334" s="7" t="n">
        <x:v>46301.9166666667</x:v>
      </x:c>
    </x:row>
    <x:row r="335" ht="31.299999237060547" hidden="0">
      <x:c r="A335" s="3" t="s">
        <x:v>841</x:v>
      </x:c>
      <x:c r="B335" s="3" t="s">
        <x:v>321</x:v>
      </x:c>
      <x:c r="C335" s="3" t="s">
        <x:v>322</x:v>
      </x:c>
      <x:c r="D335" s="3" t="s">
        <x:v>323</x:v>
      </x:c>
      <x:c r="E335" s="3" t="s">
        <x:v>249</x:v>
      </x:c>
      <x:c r="F335" s="3" t="s">
        <x:v>127</x:v>
      </x:c>
      <x:c r="G335" s="3" t="s">
        <x:v>300</x:v>
      </x:c>
      <x:c r="H335" s="3" t="s">
        <x:v>301</x:v>
      </x:c>
      <x:c r="I335" s="3" t="s">
        <x:v>302</x:v>
      </x:c>
      <x:c r="J335" s="3" t="s">
        <x:v>303</x:v>
      </x:c>
      <x:c r="K335" s="3" t="s">
        <x:v>104</x:v>
      </x:c>
      <x:c r="L335" s="3" t="s">
        <x:v>325</x:v>
      </x:c>
      <x:c r="M335" s="3" t="s">
        <x:v>326</x:v>
      </x:c>
      <x:c r="N335" s="3" t="s">
        <x:v>131</x:v>
      </x:c>
      <x:c r="O335" s="3" t="s">
        <x:v>327</x:v>
      </x:c>
      <x:c r="P335" s="3" t="s">
        <x:v>328</x:v>
      </x:c>
      <x:c r="Q335" s="3" t="s">
        <x:v>329</x:v>
      </x:c>
      <x:c r="R335" s="3" t="s">
        <x:v>310</x:v>
      </x:c>
      <x:c r="S335" s="3" t="s">
        <x:v>135</x:v>
      </x:c>
      <x:c r="T335" s="3" t="s">
        <x:v>111</x:v>
      </x:c>
      <x:c r="U335" s="3" t="s">
        <x:v>311</x:v>
      </x:c>
      <x:c r="V335" s="3" t="s">
        <x:v>312</x:v>
      </x:c>
      <x:c r="W335" s="3" t="s">
        <x:v>351</x:v>
      </x:c>
      <x:c r="X335" s="3" t="s">
        <x:v>314</x:v>
      </x:c>
      <x:c r="Y335" s="3" t="s">
        <x:v>352</x:v>
      </x:c>
      <x:c r="Z335" s="3" t="s">
        <x:v>316</x:v>
      </x:c>
      <x:c r="AA335" s="3" t="s">
        <x:v>317</x:v>
      </x:c>
      <x:c r="AB335" s="7" t="n">
        <x:v>46270.7388888889</x:v>
      </x:c>
      <x:c r="AC335" s="7" t="n">
        <x:v>46270.7423611111</x:v>
      </x:c>
      <x:c r="AD335" s="7" t="n">
        <x:v>46270.7458333333</x:v>
      </x:c>
      <x:c r="AE335" s="7" t="n">
        <x:v>46270.7631944444</x:v>
      </x:c>
      <x:c r="AF335" s="7" t="n">
        <x:v>46270.8034722222</x:v>
      </x:c>
      <x:c r="AG335" s="3" t="n">
        <x:v>35</x:v>
      </x:c>
      <x:c r="AH335" s="3" t="n">
        <x:v>48</x:v>
      </x:c>
      <x:c r="AI335" s="3" t="s">
        <x:v>135</x:v>
      </x:c>
      <x:c r="AJ335" s="3" t="s">
        <x:v>111</x:v>
      </x:c>
      <x:c r="AK335" s="3" t="n">
        <x:v>180</x:v>
      </x:c>
      <x:c r="AL335" s="3" t="n">
        <x:v>0</x:v>
      </x:c>
      <x:c r="AM335" s="8" t="n">
        <x:v>0.4611</x:v>
      </x:c>
      <x:c r="AN335" s="3" t="n">
        <x:v>1</x:v>
      </x:c>
      <x:c r="AO335" s="3" t="s">
        <x:v>9</x:v>
      </x:c>
      <x:c r="AP335" s="3" t="s">
        <x:v>584</x:v>
      </x:c>
      <x:c r="AQ335" s="3" t="s">
        <x:v>516</x:v>
      </x:c>
      <x:c r="AR335" s="9" t="n">
        <x:v>763.1</x:v>
      </x:c>
      <x:c r="AS335" s="3" t="s">
        <x:v>144</x:v>
      </x:c>
      <x:c r="AT335" s="7" t="n">
        <x:v>46301.9166666667</x:v>
      </x:c>
    </x:row>
    <x:row r="336" ht="31.299999237060547" hidden="0">
      <x:c r="A336" s="3" t="s">
        <x:v>842</x:v>
      </x:c>
      <x:c r="B336" s="3" t="s">
        <x:v>83</x:v>
      </x:c>
      <x:c r="C336" s="3" t="s">
        <x:v>96</x:v>
      </x:c>
      <x:c r="D336" s="3" t="s">
        <x:v>97</x:v>
      </x:c>
      <x:c r="E336" s="3" t="s">
        <x:v>249</x:v>
      </x:c>
      <x:c r="F336" s="3" t="s">
        <x:v>99</x:v>
      </x:c>
      <x:c r="G336" s="3" t="s">
        <x:v>342</x:v>
      </x:c>
      <x:c r="H336" s="3" t="s">
        <x:v>343</x:v>
      </x:c>
      <x:c r="I336" s="3" t="s">
        <x:v>102</x:v>
      </x:c>
      <x:c r="J336" s="3" t="s">
        <x:v>103</x:v>
      </x:c>
      <x:c r="K336" s="3" t="s">
        <x:v>104</x:v>
      </x:c>
      <x:c r="L336" s="3" t="s">
        <x:v>105</x:v>
      </x:c>
      <x:c r="M336" s="3" t="s">
        <x:v>106</x:v>
      </x:c>
      <x:c r="N336" s="3" t="s">
        <x:v>107</x:v>
      </x:c>
      <x:c r="O336" s="3" t="s">
        <x:v>108</x:v>
      </x:c>
      <x:c r="P336" s="3" t="s">
        <x:v>109</x:v>
      </x:c>
      <x:c r="Q336" s="3" t="s">
        <x:v>250</x:v>
      </x:c>
      <x:c r="R336" s="3" t="s">
        <x:v>344</x:v>
      </x:c>
      <x:c r="S336" s="3" t="s">
        <x:v>111</x:v>
      </x:c>
      <x:c r="T336" s="3" t="s">
        <x:v>111</x:v>
      </x:c>
      <x:c r="U336" s="3" t="s">
        <x:v>345</x:v>
      </x:c>
      <x:c r="V336" s="3" t="s">
        <x:v>178</x:v>
      </x:c>
      <x:c r="W336" s="3" t="s">
        <x:v>332</x:v>
      </x:c>
      <x:c r="X336" s="3" t="s">
        <x:v>180</x:v>
      </x:c>
      <x:c r="Y336" s="3" t="s">
        <x:v>333</x:v>
      </x:c>
      <x:c r="Z336" s="3" t="s">
        <x:v>346</x:v>
      </x:c>
      <x:c r="AA336" s="3" t="s">
        <x:v>118</x:v>
      </x:c>
      <x:c r="AB336" s="7" t="n">
        <x:v>46271.3875</x:v>
      </x:c>
      <x:c r="AC336" s="7" t="n">
        <x:v>46271.3909722222</x:v>
      </x:c>
      <x:c r="AD336" s="7" t="n">
        <x:v>46271.39375</x:v>
      </x:c>
      <x:c r="AE336" s="7" t="n">
        <x:v>46271.4125</x:v>
      </x:c>
      <x:c r="AF336" s="7" t="n">
        <x:v>46271.4305555556</x:v>
      </x:c>
      <x:c r="AG336" s="3" t="n">
        <x:v>36</x:v>
      </x:c>
      <x:c r="AH336" s="3" t="n">
        <x:v>18</x:v>
      </x:c>
      <x:c r="AI336" s="3" t="s">
        <x:v>111</x:v>
      </x:c>
      <x:c r="AJ336" s="3" t="s">
        <x:v>111</x:v>
      </x:c>
      <x:c r="AK336" s="3" t="n">
        <x:v>60</x:v>
      </x:c>
      <x:c r="AL336" s="3" t="n">
        <x:v>0</x:v>
      </x:c>
      <x:c r="AM336" s="8" t="n">
        <x:v>0.9</x:v>
      </x:c>
      <x:c r="AN336" s="3" t="n">
        <x:v>2</x:v>
      </x:c>
      <x:c r="AO336" s="3" t="s">
        <x:v>19</x:v>
      </x:c>
      <x:c r="AP336" s="3" t="s">
        <x:v>776</x:v>
      </x:c>
      <x:c r="AQ336" s="3" t="s">
        <x:v>562</x:v>
      </x:c>
      <x:c r="AR336" s="9" t="n">
        <x:v>871.6</x:v>
      </x:c>
      <x:c r="AS336" s="3" t="s">
        <x:v>185</x:v>
      </x:c>
      <x:c r="AT336" s="7" t="n">
        <x:v>46301.9166666667</x:v>
      </x:c>
    </x:row>
    <x:row r="337" ht="31.299999237060547" hidden="0">
      <x:c r="A337" s="3" t="s">
        <x:v>843</x:v>
      </x:c>
      <x:c r="B337" s="3" t="s">
        <x:v>166</x:v>
      </x:c>
      <x:c r="C337" s="3" t="s">
        <x:v>167</x:v>
      </x:c>
      <x:c r="D337" s="3" t="s">
        <x:v>168</x:v>
      </x:c>
      <x:c r="E337" s="3" t="s">
        <x:v>249</x:v>
      </x:c>
      <x:c r="F337" s="3" t="s">
        <x:v>99</x:v>
      </x:c>
      <x:c r="G337" s="3" t="s">
        <x:v>447</x:v>
      </x:c>
      <x:c r="H337" s="3" t="s">
        <x:v>343</x:v>
      </x:c>
      <x:c r="I337" s="3" t="s">
        <x:v>102</x:v>
      </x:c>
      <x:c r="J337" s="3" t="s">
        <x:v>103</x:v>
      </x:c>
      <x:c r="K337" s="3" t="s">
        <x:v>104</x:v>
      </x:c>
      <x:c r="L337" s="3" t="s">
        <x:v>171</x:v>
      </x:c>
      <x:c r="M337" s="3" t="s">
        <x:v>172</x:v>
      </x:c>
      <x:c r="N337" s="3" t="s">
        <x:v>173</x:v>
      </x:c>
      <x:c r="O337" s="3" t="s">
        <x:v>174</x:v>
      </x:c>
      <x:c r="P337" s="3" t="s">
        <x:v>175</x:v>
      </x:c>
      <x:c r="Q337" s="3" t="s">
        <x:v>271</x:v>
      </x:c>
      <x:c r="R337" s="3" t="s">
        <x:v>344</x:v>
      </x:c>
      <x:c r="S337" s="3" t="s">
        <x:v>111</x:v>
      </x:c>
      <x:c r="T337" s="3" t="s">
        <x:v>111</x:v>
      </x:c>
      <x:c r="U337" s="3" t="s">
        <x:v>345</x:v>
      </x:c>
      <x:c r="V337" s="3" t="s">
        <x:v>178</x:v>
      </x:c>
      <x:c r="W337" s="3" t="s">
        <x:v>355</x:v>
      </x:c>
      <x:c r="X337" s="3" t="s">
        <x:v>180</x:v>
      </x:c>
      <x:c r="Y337" s="3" t="s">
        <x:v>356</x:v>
      </x:c>
      <x:c r="Z337" s="3" t="s">
        <x:v>346</x:v>
      </x:c>
      <x:c r="AA337" s="3" t="s">
        <x:v>118</x:v>
      </x:c>
      <x:c r="AB337" s="7" t="n">
        <x:v>46271.4208333333</x:v>
      </x:c>
      <x:c r="AC337" s="7" t="n">
        <x:v>46271.425</x:v>
      </x:c>
      <x:c r="AD337" s="7" t="n">
        <x:v>46271.4291666667</x:v>
      </x:c>
      <x:c r="AE337" s="7" t="n">
        <x:v>46271.4486111111</x:v>
      </x:c>
      <x:c r="AF337" s="7" t="n">
        <x:v>46271.5131944444</x:v>
      </x:c>
      <x:c r="AG337" s="3" t="n">
        <x:v>40</x:v>
      </x:c>
      <x:c r="AH337" s="3" t="n">
        <x:v>87</x:v>
      </x:c>
      <x:c r="AI337" s="3" t="s">
        <x:v>135</x:v>
      </x:c>
      <x:c r="AJ337" s="3" t="s">
        <x:v>135</x:v>
      </x:c>
      <x:c r="AK337" s="3" t="n">
        <x:v>120</x:v>
      </x:c>
      <x:c r="AL337" s="3" t="n">
        <x:v>0</x:v>
      </x:c>
      <x:c r="AM337" s="8" t="n">
        <x:v>1.0583</x:v>
      </x:c>
      <x:c r="AN337" s="3" t="n">
        <x:v>1</x:v>
      </x:c>
      <x:c r="AO337" s="3" t="s">
        <x:v>19</x:v>
      </x:c>
      <x:c r="AP337" s="3" t="s">
        <x:v>844</x:v>
      </x:c>
      <x:c r="AQ337" s="3" t="s">
        <x:v>501</x:v>
      </x:c>
      <x:c r="AR337" s="9" t="n">
        <x:v>1446.4</x:v>
      </x:c>
      <x:c r="AS337" s="3" t="s">
        <x:v>185</x:v>
      </x:c>
      <x:c r="AT337" s="7" t="n">
        <x:v>46301.9166666667</x:v>
      </x:c>
    </x:row>
    <x:row r="338" ht="31.299999237060547" hidden="0">
      <x:c r="A338" s="3" t="s">
        <x:v>845</x:v>
      </x:c>
      <x:c r="B338" s="3" t="s">
        <x:v>205</x:v>
      </x:c>
      <x:c r="C338" s="3" t="s">
        <x:v>206</x:v>
      </x:c>
      <x:c r="D338" s="3" t="s">
        <x:v>207</x:v>
      </x:c>
      <x:c r="E338" s="3" t="s">
        <x:v>249</x:v>
      </x:c>
      <x:c r="F338" s="3" t="s">
        <x:v>149</x:v>
      </x:c>
      <x:c r="G338" s="3" t="s">
        <x:v>364</x:v>
      </x:c>
      <x:c r="H338" s="3" t="s">
        <x:v>339</x:v>
      </x:c>
      <x:c r="I338" s="3" t="s">
        <x:v>102</x:v>
      </x:c>
      <x:c r="J338" s="3" t="s">
        <x:v>103</x:v>
      </x:c>
      <x:c r="K338" s="3" t="s">
        <x:v>104</x:v>
      </x:c>
      <x:c r="L338" s="3" t="s">
        <x:v>209</x:v>
      </x:c>
      <x:c r="M338" s="3" t="s">
        <x:v>210</x:v>
      </x:c>
      <x:c r="N338" s="3" t="s">
        <x:v>211</x:v>
      </x:c>
      <x:c r="O338" s="3" t="s">
        <x:v>212</x:v>
      </x:c>
      <x:c r="P338" s="3" t="s">
        <x:v>213</x:v>
      </x:c>
      <x:c r="Q338" s="3" t="s">
        <x:v>254</x:v>
      </x:c>
      <x:c r="R338" s="3" t="s">
        <x:v>196</x:v>
      </x:c>
      <x:c r="S338" s="3" t="s">
        <x:v>111</x:v>
      </x:c>
      <x:c r="T338" s="3" t="s">
        <x:v>111</x:v>
      </x:c>
      <x:c r="U338" s="3" t="s">
        <x:v>197</x:v>
      </x:c>
      <x:c r="V338" s="3" t="s">
        <x:v>198</x:v>
      </x:c>
      <x:c r="W338" s="3" t="s">
        <x:v>365</x:v>
      </x:c>
      <x:c r="X338" s="3" t="s">
        <x:v>366</x:v>
      </x:c>
      <x:c r="Y338" s="3" t="s">
        <x:v>367</x:v>
      </x:c>
      <x:c r="Z338" s="3" t="s">
        <x:v>201</x:v>
      </x:c>
      <x:c r="AA338" s="3" t="s">
        <x:v>368</x:v>
      </x:c>
      <x:c r="AB338" s="7" t="n">
        <x:v>46271.6638888889</x:v>
      </x:c>
      <x:c r="AC338" s="7" t="n">
        <x:v>46271.6652777778</x:v>
      </x:c>
      <x:c r="AD338" s="7" t="n">
        <x:v>46271.6666666667</x:v>
      </x:c>
      <x:c r="AE338" s="7" t="n">
        <x:v>46271.6756944444</x:v>
      </x:c>
      <x:c r="AF338" s="7" t="n">
        <x:v>46271.7222222222</x:v>
      </x:c>
      <x:c r="AG338" s="3" t="n">
        <x:v>17</x:v>
      </x:c>
      <x:c r="AH338" s="3" t="n">
        <x:v>59</x:v>
      </x:c>
      <x:c r="AI338" s="3" t="s">
        <x:v>135</x:v>
      </x:c>
      <x:c r="AJ338" s="3" t="s">
        <x:v>135</x:v>
      </x:c>
      <x:c r="AK338" s="3" t="n">
        <x:v>120</x:v>
      </x:c>
      <x:c r="AL338" s="3" t="n">
        <x:v>0</x:v>
      </x:c>
      <x:c r="AM338" s="8" t="n">
        <x:v>0.6333</x:v>
      </x:c>
      <x:c r="AN338" s="3" t="n">
        <x:v>2</x:v>
      </x:c>
      <x:c r="AO338" s="3" t="s">
        <x:v>14</x:v>
      </x:c>
      <x:c r="AP338" s="3" t="s">
        <x:v>717</x:v>
      </x:c>
      <x:c r="AQ338" s="3" t="s">
        <x:v>697</x:v>
      </x:c>
      <x:c r="AR338" s="9" t="n">
        <x:v>761.3</x:v>
      </x:c>
      <x:c r="AS338" s="3" t="s">
        <x:v>121</x:v>
      </x:c>
      <x:c r="AT338" s="7" t="n">
        <x:v>46301.9166666667</x:v>
      </x:c>
    </x:row>
    <x:row r="339" ht="31.299999237060547" hidden="0">
      <x:c r="A339" s="3" t="s">
        <x:v>846</x:v>
      </x:c>
      <x:c r="B339" s="3" t="s">
        <x:v>205</x:v>
      </x:c>
      <x:c r="C339" s="3" t="s">
        <x:v>206</x:v>
      </x:c>
      <x:c r="D339" s="3" t="s">
        <x:v>207</x:v>
      </x:c>
      <x:c r="E339" s="3" t="s">
        <x:v>249</x:v>
      </x:c>
      <x:c r="F339" s="3" t="s">
        <x:v>169</x:v>
      </x:c>
      <x:c r="G339" s="3" t="s">
        <x:v>354</x:v>
      </x:c>
      <x:c r="H339" s="3" t="s">
        <x:v>101</x:v>
      </x:c>
      <x:c r="I339" s="3" t="s">
        <x:v>102</x:v>
      </x:c>
      <x:c r="J339" s="3" t="s">
        <x:v>103</x:v>
      </x:c>
      <x:c r="K339" s="3" t="s">
        <x:v>104</x:v>
      </x:c>
      <x:c r="L339" s="3" t="s">
        <x:v>209</x:v>
      </x:c>
      <x:c r="M339" s="3" t="s">
        <x:v>210</x:v>
      </x:c>
      <x:c r="N339" s="3" t="s">
        <x:v>211</x:v>
      </x:c>
      <x:c r="O339" s="3" t="s">
        <x:v>212</x:v>
      </x:c>
      <x:c r="P339" s="3" t="s">
        <x:v>213</x:v>
      </x:c>
      <x:c r="Q339" s="3" t="s">
        <x:v>254</x:v>
      </x:c>
      <x:c r="R339" s="3" t="s">
        <x:v>176</x:v>
      </x:c>
      <x:c r="S339" s="3" t="s">
        <x:v>135</x:v>
      </x:c>
      <x:c r="T339" s="3" t="s">
        <x:v>135</x:v>
      </x:c>
      <x:c r="U339" s="3" t="s">
        <x:v>177</x:v>
      </x:c>
      <x:c r="V339" s="3" t="s">
        <x:v>178</x:v>
      </x:c>
      <x:c r="W339" s="3" t="s">
        <x:v>355</x:v>
      </x:c>
      <x:c r="X339" s="3" t="s">
        <x:v>180</x:v>
      </x:c>
      <x:c r="Y339" s="3" t="s">
        <x:v>356</x:v>
      </x:c>
      <x:c r="Z339" s="3" t="s">
        <x:v>182</x:v>
      </x:c>
      <x:c r="AA339" s="3" t="s">
        <x:v>118</x:v>
      </x:c>
      <x:c r="AB339" s="7" t="n">
        <x:v>46271.6729166667</x:v>
      </x:c>
      <x:c r="AC339" s="7" t="n">
        <x:v>46271.6763888889</x:v>
      </x:c>
      <x:c r="AD339" s="7" t="n">
        <x:v>46271.6791666667</x:v>
      </x:c>
      <x:c r="AE339" s="7" t="n">
        <x:v>46271.7034722222</x:v>
      </x:c>
      <x:c r="AF339" s="7" t="n">
        <x:v>46271.725</x:v>
      </x:c>
      <x:c r="AG339" s="3" t="n">
        <x:v>44</x:v>
      </x:c>
      <x:c r="AH339" s="3" t="n">
        <x:v>27</x:v>
      </x:c>
      <x:c r="AI339" s="3" t="s">
        <x:v>135</x:v>
      </x:c>
      <x:c r="AJ339" s="3" t="s">
        <x:v>135</x:v>
      </x:c>
      <x:c r="AK339" s="3" t="n">
        <x:v>180</x:v>
      </x:c>
      <x:c r="AL339" s="3" t="n">
        <x:v>0</x:v>
      </x:c>
      <x:c r="AM339" s="8" t="n">
        <x:v>0.3944</x:v>
      </x:c>
      <x:c r="AN339" s="3" t="n">
        <x:v>0</x:v>
      </x:c>
      <x:c r="AO339" s="3" t="s">
        <x:v>9</x:v>
      </x:c>
      <x:c r="AP339" s="3" t="s">
        <x:v>142</x:v>
      </x:c>
      <x:c r="AQ339" s="3" t="s">
        <x:v>220</x:v>
      </x:c>
      <x:c r="AR339" s="9" t="n">
        <x:v>652.4</x:v>
      </x:c>
      <x:c r="AS339" s="3" t="s">
        <x:v>144</x:v>
      </x:c>
      <x:c r="AT339" s="7" t="n">
        <x:v>46301.9166666667</x:v>
      </x:c>
    </x:row>
    <x:row r="340" ht="31.299999237060547" hidden="0">
      <x:c r="A340" s="3" t="s">
        <x:v>847</x:v>
      </x:c>
      <x:c r="B340" s="3" t="s">
        <x:v>297</x:v>
      </x:c>
      <x:c r="C340" s="3" t="s">
        <x:v>298</x:v>
      </x:c>
      <x:c r="D340" s="3" t="s">
        <x:v>299</x:v>
      </x:c>
      <x:c r="E340" s="3" t="s">
        <x:v>249</x:v>
      </x:c>
      <x:c r="F340" s="3" t="s">
        <x:v>169</x:v>
      </x:c>
      <x:c r="G340" s="3" t="s">
        <x:v>425</x:v>
      </x:c>
      <x:c r="H340" s="3" t="s">
        <x:v>301</x:v>
      </x:c>
      <x:c r="I340" s="3" t="s">
        <x:v>302</x:v>
      </x:c>
      <x:c r="J340" s="3" t="s">
        <x:v>303</x:v>
      </x:c>
      <x:c r="K340" s="3" t="s">
        <x:v>104</x:v>
      </x:c>
      <x:c r="L340" s="3" t="s">
        <x:v>304</x:v>
      </x:c>
      <x:c r="M340" s="3" t="s">
        <x:v>305</x:v>
      </x:c>
      <x:c r="N340" s="3" t="s">
        <x:v>306</x:v>
      </x:c>
      <x:c r="O340" s="3" t="s">
        <x:v>307</x:v>
      </x:c>
      <x:c r="P340" s="3" t="s">
        <x:v>308</x:v>
      </x:c>
      <x:c r="Q340" s="3" t="s">
        <x:v>309</x:v>
      </x:c>
      <x:c r="R340" s="3" t="s">
        <x:v>134</x:v>
      </x:c>
      <x:c r="S340" s="3" t="s">
        <x:v>135</x:v>
      </x:c>
      <x:c r="T340" s="3" t="s">
        <x:v>111</x:v>
      </x:c>
      <x:c r="U340" s="3" t="s">
        <x:v>136</x:v>
      </x:c>
      <x:c r="V340" s="3" t="s">
        <x:v>137</x:v>
      </x:c>
      <x:c r="W340" s="3" t="s">
        <x:v>407</x:v>
      </x:c>
      <x:c r="X340" s="3" t="s">
        <x:v>139</x:v>
      </x:c>
      <x:c r="Y340" s="3" t="s">
        <x:v>140</x:v>
      </x:c>
      <x:c r="Z340" s="3" t="s">
        <x:v>141</x:v>
      </x:c>
      <x:c r="AA340" s="3" t="s">
        <x:v>118</x:v>
      </x:c>
      <x:c r="AB340" s="7" t="n">
        <x:v>46271.725</x:v>
      </x:c>
      <x:c r="AC340" s="7" t="n">
        <x:v>46271.7284722222</x:v>
      </x:c>
      <x:c r="AD340" s="7" t="n">
        <x:v>46271.7319444444</x:v>
      </x:c>
      <x:c r="AE340" s="7" t="n">
        <x:v>46271.7541666667</x:v>
      </x:c>
      <x:c r="AF340" s="7" t="n">
        <x:v>46271.7888888889</x:v>
      </x:c>
      <x:c r="AG340" s="3" t="n">
        <x:v>42</x:v>
      </x:c>
      <x:c r="AH340" s="3" t="n">
        <x:v>45</x:v>
      </x:c>
      <x:c r="AI340" s="3" t="s">
        <x:v>135</x:v>
      </x:c>
      <x:c r="AJ340" s="3" t="s">
        <x:v>111</x:v>
      </x:c>
      <x:c r="AK340" s="3" t="n">
        <x:v>180</x:v>
      </x:c>
      <x:c r="AL340" s="3" t="n">
        <x:v>0</x:v>
      </x:c>
      <x:c r="AM340" s="8" t="n">
        <x:v>0.4833</x:v>
      </x:c>
      <x:c r="AN340" s="3" t="n">
        <x:v>1</x:v>
      </x:c>
      <x:c r="AO340" s="3" t="s">
        <x:v>9</x:v>
      </x:c>
      <x:c r="AP340" s="3" t="s">
        <x:v>584</x:v>
      </x:c>
      <x:c r="AQ340" s="3" t="s">
        <x:v>603</x:v>
      </x:c>
      <x:c r="AR340" s="9" t="n">
        <x:v>1153</x:v>
      </x:c>
      <x:c r="AS340" s="3" t="s">
        <x:v>121</x:v>
      </x:c>
      <x:c r="AT340" s="7" t="n">
        <x:v>46301.9166666667</x:v>
      </x:c>
    </x:row>
    <x:row r="341" ht="31.299999237060547" hidden="0">
      <x:c r="A341" s="3" t="s">
        <x:v>848</x:v>
      </x:c>
      <x:c r="B341" s="3" t="s">
        <x:v>146</x:v>
      </x:c>
      <x:c r="C341" s="3" t="s">
        <x:v>147</x:v>
      </x:c>
      <x:c r="D341" s="3" t="s">
        <x:v>148</x:v>
      </x:c>
      <x:c r="E341" s="3" t="s">
        <x:v>249</x:v>
      </x:c>
      <x:c r="F341" s="3" t="s">
        <x:v>127</x:v>
      </x:c>
      <x:c r="G341" s="3" t="s">
        <x:v>338</x:v>
      </x:c>
      <x:c r="H341" s="3" t="s">
        <x:v>339</x:v>
      </x:c>
      <x:c r="I341" s="3" t="s">
        <x:v>102</x:v>
      </x:c>
      <x:c r="J341" s="3" t="s">
        <x:v>103</x:v>
      </x:c>
      <x:c r="K341" s="3" t="s">
        <x:v>104</x:v>
      </x:c>
      <x:c r="L341" s="3" t="s">
        <x:v>151</x:v>
      </x:c>
      <x:c r="M341" s="3" t="s">
        <x:v>152</x:v>
      </x:c>
      <x:c r="N341" s="3" t="s">
        <x:v>153</x:v>
      </x:c>
      <x:c r="O341" s="3" t="s">
        <x:v>154</x:v>
      </x:c>
      <x:c r="P341" s="3" t="s">
        <x:v>155</x:v>
      </x:c>
      <x:c r="Q341" s="3" t="s">
        <x:v>270</x:v>
      </x:c>
      <x:c r="R341" s="3" t="s">
        <x:v>310</x:v>
      </x:c>
      <x:c r="S341" s="3" t="s">
        <x:v>135</x:v>
      </x:c>
      <x:c r="T341" s="3" t="s">
        <x:v>111</x:v>
      </x:c>
      <x:c r="U341" s="3" t="s">
        <x:v>311</x:v>
      </x:c>
      <x:c r="V341" s="3" t="s">
        <x:v>312</x:v>
      </x:c>
      <x:c r="W341" s="3" t="s">
        <x:v>351</x:v>
      </x:c>
      <x:c r="X341" s="3" t="s">
        <x:v>314</x:v>
      </x:c>
      <x:c r="Y341" s="3" t="s">
        <x:v>352</x:v>
      </x:c>
      <x:c r="Z341" s="3" t="s">
        <x:v>316</x:v>
      </x:c>
      <x:c r="AA341" s="3" t="s">
        <x:v>317</x:v>
      </x:c>
      <x:c r="AB341" s="7" t="n">
        <x:v>46271.7291666667</x:v>
      </x:c>
      <x:c r="AC341" s="7" t="n">
        <x:v>46271.73125</x:v>
      </x:c>
      <x:c r="AD341" s="7" t="n">
        <x:v>46271.7326388889</x:v>
      </x:c>
      <x:c r="AE341" s="7" t="n">
        <x:v>46271.7534722222</x:v>
      </x:c>
      <x:c r="AF341" s="7" t="n">
        <x:v>46271.7881944444</x:v>
      </x:c>
      <x:c r="AG341" s="3" t="n">
        <x:v>35</x:v>
      </x:c>
      <x:c r="AH341" s="3" t="n">
        <x:v>42</x:v>
      </x:c>
      <x:c r="AI341" s="3" t="s">
        <x:v>135</x:v>
      </x:c>
      <x:c r="AJ341" s="3" t="s">
        <x:v>135</x:v>
      </x:c>
      <x:c r="AK341" s="3" t="n">
        <x:v>180</x:v>
      </x:c>
      <x:c r="AL341" s="3" t="n">
        <x:v>0</x:v>
      </x:c>
      <x:c r="AM341" s="8" t="n">
        <x:v>0.4278</x:v>
      </x:c>
      <x:c r="AN341" s="3" t="n">
        <x:v>0</x:v>
      </x:c>
      <x:c r="AO341" s="3" t="s">
        <x:v>9</x:v>
      </x:c>
      <x:c r="AP341" s="3" t="s">
        <x:v>142</x:v>
      </x:c>
      <x:c r="AQ341" s="3" t="s">
        <x:v>459</x:v>
      </x:c>
      <x:c r="AR341" s="9" t="n">
        <x:v>719.9</x:v>
      </x:c>
      <x:c r="AS341" s="3" t="s">
        <x:v>121</x:v>
      </x:c>
      <x:c r="AT341" s="7" t="n">
        <x:v>46301.9166666667</x:v>
      </x:c>
    </x:row>
    <x:row r="342" ht="31.299999237060547" hidden="0">
      <x:c r="A342" s="3" t="s">
        <x:v>849</x:v>
      </x:c>
      <x:c r="B342" s="3" t="s">
        <x:v>397</x:v>
      </x:c>
      <x:c r="C342" s="3" t="s">
        <x:v>398</x:v>
      </x:c>
      <x:c r="D342" s="3" t="s">
        <x:v>399</x:v>
      </x:c>
      <x:c r="E342" s="3" t="s">
        <x:v>249</x:v>
      </x:c>
      <x:c r="F342" s="3" t="s">
        <x:v>99</x:v>
      </x:c>
      <x:c r="G342" s="3" t="s">
        <x:v>425</x:v>
      </x:c>
      <x:c r="H342" s="3" t="s">
        <x:v>301</x:v>
      </x:c>
      <x:c r="I342" s="3" t="s">
        <x:v>302</x:v>
      </x:c>
      <x:c r="J342" s="3" t="s">
        <x:v>303</x:v>
      </x:c>
      <x:c r="K342" s="3" t="s">
        <x:v>104</x:v>
      </x:c>
      <x:c r="L342" s="3" t="s">
        <x:v>401</x:v>
      </x:c>
      <x:c r="M342" s="3" t="s">
        <x:v>402</x:v>
      </x:c>
      <x:c r="N342" s="3" t="s">
        <x:v>403</x:v>
      </x:c>
      <x:c r="O342" s="3" t="s">
        <x:v>404</x:v>
      </x:c>
      <x:c r="P342" s="3" t="s">
        <x:v>405</x:v>
      </x:c>
      <x:c r="Q342" s="3" t="s">
        <x:v>406</x:v>
      </x:c>
      <x:c r="R342" s="3" t="s">
        <x:v>134</x:v>
      </x:c>
      <x:c r="S342" s="3" t="s">
        <x:v>135</x:v>
      </x:c>
      <x:c r="T342" s="3" t="s">
        <x:v>111</x:v>
      </x:c>
      <x:c r="U342" s="3" t="s">
        <x:v>136</x:v>
      </x:c>
      <x:c r="V342" s="3" t="s">
        <x:v>137</x:v>
      </x:c>
      <x:c r="W342" s="3" t="s">
        <x:v>138</x:v>
      </x:c>
      <x:c r="X342" s="3" t="s">
        <x:v>139</x:v>
      </x:c>
      <x:c r="Y342" s="3" t="s">
        <x:v>454</x:v>
      </x:c>
      <x:c r="Z342" s="3" t="s">
        <x:v>141</x:v>
      </x:c>
      <x:c r="AA342" s="3" t="s">
        <x:v>118</x:v>
      </x:c>
      <x:c r="AB342" s="7" t="n">
        <x:v>46271.8423611111</x:v>
      </x:c>
      <x:c r="AC342" s="7" t="n">
        <x:v>46271.8458333333</x:v>
      </x:c>
      <x:c r="AD342" s="7" t="n">
        <x:v>46271.85</x:v>
      </x:c>
      <x:c r="AE342" s="7" t="n">
        <x:v>46271.8722222222</x:v>
      </x:c>
      <x:c r="AF342" s="7" t="n">
        <x:v>46271.8875</x:v>
      </x:c>
      <x:c r="AG342" s="3" t="n">
        <x:v>43</x:v>
      </x:c>
      <x:c r="AH342" s="3" t="n">
        <x:v>13</x:v>
      </x:c>
      <x:c r="AI342" s="3" t="s">
        <x:v>135</x:v>
      </x:c>
      <x:c r="AJ342" s="3" t="s">
        <x:v>135</x:v>
      </x:c>
      <x:c r="AK342" s="3" t="n">
        <x:v>180</x:v>
      </x:c>
      <x:c r="AL342" s="3" t="n">
        <x:v>0</x:v>
      </x:c>
      <x:c r="AM342" s="8" t="n">
        <x:v>0.3111</x:v>
      </x:c>
      <x:c r="AN342" s="3" t="n">
        <x:v>1</x:v>
      </x:c>
      <x:c r="AO342" s="3" t="s">
        <x:v>9</x:v>
      </x:c>
      <x:c r="AP342" s="3" t="s">
        <x:v>500</x:v>
      </x:c>
      <x:c r="AQ342" s="3" t="s">
        <x:v>539</x:v>
      </x:c>
      <x:c r="AR342" s="9" t="n">
        <x:v>547.1</x:v>
      </x:c>
      <x:c r="AS342" s="3" t="s">
        <x:v>121</x:v>
      </x:c>
      <x:c r="AT342" s="7" t="n">
        <x:v>46301.9166666667</x:v>
      </x:c>
    </x:row>
    <x:row r="343" ht="31.299999237060547" hidden="0">
      <x:c r="A343" s="3" t="s">
        <x:v>850</x:v>
      </x:c>
      <x:c r="B343" s="3" t="s">
        <x:v>146</x:v>
      </x:c>
      <x:c r="C343" s="3" t="s">
        <x:v>147</x:v>
      </x:c>
      <x:c r="D343" s="3" t="s">
        <x:v>148</x:v>
      </x:c>
      <x:c r="E343" s="3" t="s">
        <x:v>249</x:v>
      </x:c>
      <x:c r="F343" s="3" t="s">
        <x:v>149</x:v>
      </x:c>
      <x:c r="G343" s="3" t="s">
        <x:v>463</x:v>
      </x:c>
      <x:c r="H343" s="3" t="s">
        <x:v>101</x:v>
      </x:c>
      <x:c r="I343" s="3" t="s">
        <x:v>102</x:v>
      </x:c>
      <x:c r="J343" s="3" t="s">
        <x:v>103</x:v>
      </x:c>
      <x:c r="K343" s="3" t="s">
        <x:v>104</x:v>
      </x:c>
      <x:c r="L343" s="3" t="s">
        <x:v>151</x:v>
      </x:c>
      <x:c r="M343" s="3" t="s">
        <x:v>152</x:v>
      </x:c>
      <x:c r="N343" s="3" t="s">
        <x:v>153</x:v>
      </x:c>
      <x:c r="O343" s="3" t="s">
        <x:v>154</x:v>
      </x:c>
      <x:c r="P343" s="3" t="s">
        <x:v>155</x:v>
      </x:c>
      <x:c r="Q343" s="3" t="s">
        <x:v>270</x:v>
      </x:c>
      <x:c r="R343" s="3" t="s">
        <x:v>380</x:v>
      </x:c>
      <x:c r="S343" s="3" t="s">
        <x:v>111</x:v>
      </x:c>
      <x:c r="T343" s="3" t="s">
        <x:v>111</x:v>
      </x:c>
      <x:c r="U343" s="3" t="s">
        <x:v>381</x:v>
      </x:c>
      <x:c r="V343" s="3" t="s">
        <x:v>312</x:v>
      </x:c>
      <x:c r="W343" s="3" t="s">
        <x:v>313</x:v>
      </x:c>
      <x:c r="X343" s="3" t="s">
        <x:v>314</x:v>
      </x:c>
      <x:c r="Y343" s="3" t="s">
        <x:v>315</x:v>
      </x:c>
      <x:c r="Z343" s="3" t="s">
        <x:v>384</x:v>
      </x:c>
      <x:c r="AA343" s="3" t="s">
        <x:v>385</x:v>
      </x:c>
      <x:c r="AB343" s="7" t="n">
        <x:v>46272.3430555556</x:v>
      </x:c>
      <x:c r="AC343" s="7" t="n">
        <x:v>46272.3479166667</x:v>
      </x:c>
      <x:c r="AD343" s="7" t="n">
        <x:v>46272.3527777778</x:v>
      </x:c>
      <x:c r="AE343" s="7" t="n">
        <x:v>46272.3736111111</x:v>
      </x:c>
      <x:c r="AF343" s="7" t="n">
        <x:v>46272.3868055556</x:v>
      </x:c>
      <x:c r="AG343" s="3" t="n">
        <x:v>44</x:v>
      </x:c>
      <x:c r="AH343" s="3" t="n">
        <x:v>16</x:v>
      </x:c>
      <x:c r="AI343" s="3" t="s">
        <x:v>135</x:v>
      </x:c>
      <x:c r="AJ343" s="3" t="s">
        <x:v>135</x:v>
      </x:c>
      <x:c r="AK343" s="3" t="n">
        <x:v>120</x:v>
      </x:c>
      <x:c r="AL343" s="3" t="n">
        <x:v>0</x:v>
      </x:c>
      <x:c r="AM343" s="8" t="n">
        <x:v>0.5</x:v>
      </x:c>
      <x:c r="AN343" s="3" t="n">
        <x:v>0</x:v>
      </x:c>
      <x:c r="AO343" s="3" t="s">
        <x:v>9</x:v>
      </x:c>
      <x:c r="AP343" s="3" t="s">
        <x:v>142</x:v>
      </x:c>
      <x:c r="AQ343" s="3" t="s">
        <x:v>459</x:v>
      </x:c>
      <x:c r="AR343" s="9" t="n">
        <x:v>573.2</x:v>
      </x:c>
      <x:c r="AS343" s="3" t="s">
        <x:v>121</x:v>
      </x:c>
      <x:c r="AT343" s="7" t="n">
        <x:v>46301.9166666667</x:v>
      </x:c>
    </x:row>
    <x:row r="344" ht="31.299999237060547" hidden="0">
      <x:c r="A344" s="3" t="s">
        <x:v>851</x:v>
      </x:c>
      <x:c r="B344" s="3" t="s">
        <x:v>83</x:v>
      </x:c>
      <x:c r="C344" s="3" t="s">
        <x:v>96</x:v>
      </x:c>
      <x:c r="D344" s="3" t="s">
        <x:v>97</x:v>
      </x:c>
      <x:c r="E344" s="3" t="s">
        <x:v>249</x:v>
      </x:c>
      <x:c r="F344" s="3" t="s">
        <x:v>127</x:v>
      </x:c>
      <x:c r="G344" s="3" t="s">
        <x:v>484</x:v>
      </x:c>
      <x:c r="H344" s="3" t="s">
        <x:v>101</x:v>
      </x:c>
      <x:c r="I344" s="3" t="s">
        <x:v>102</x:v>
      </x:c>
      <x:c r="J344" s="3" t="s">
        <x:v>103</x:v>
      </x:c>
      <x:c r="K344" s="3" t="s">
        <x:v>104</x:v>
      </x:c>
      <x:c r="L344" s="3" t="s">
        <x:v>105</x:v>
      </x:c>
      <x:c r="M344" s="3" t="s">
        <x:v>106</x:v>
      </x:c>
      <x:c r="N344" s="3" t="s">
        <x:v>107</x:v>
      </x:c>
      <x:c r="O344" s="3" t="s">
        <x:v>108</x:v>
      </x:c>
      <x:c r="P344" s="3" t="s">
        <x:v>109</x:v>
      </x:c>
      <x:c r="Q344" s="3" t="s">
        <x:v>250</x:v>
      </x:c>
      <x:c r="R344" s="3" t="s">
        <x:v>156</x:v>
      </x:c>
      <x:c r="S344" s="3" t="s">
        <x:v>135</x:v>
      </x:c>
      <x:c r="T344" s="3" t="s">
        <x:v>111</x:v>
      </x:c>
      <x:c r="U344" s="3" t="s">
        <x:v>157</x:v>
      </x:c>
      <x:c r="V344" s="3" t="s">
        <x:v>158</x:v>
      </x:c>
      <x:c r="W344" s="3" t="s">
        <x:v>159</x:v>
      </x:c>
      <x:c r="X344" s="3" t="s">
        <x:v>160</x:v>
      </x:c>
      <x:c r="Y344" s="3" t="s">
        <x:v>360</x:v>
      </x:c>
      <x:c r="Z344" s="3" t="s">
        <x:v>162</x:v>
      </x:c>
      <x:c r="AA344" s="3" t="s">
        <x:v>118</x:v>
      </x:c>
      <x:c r="AB344" s="7" t="n">
        <x:v>46272.3916666667</x:v>
      </x:c>
      <x:c r="AC344" s="7" t="n">
        <x:v>46272.3958333333</x:v>
      </x:c>
      <x:c r="AD344" s="7" t="n">
        <x:v>46272.3972222222</x:v>
      </x:c>
      <x:c r="AE344" s="7" t="n">
        <x:v>46272.4125</x:v>
      </x:c>
      <x:c r="AF344" s="7" t="n">
        <x:v>46272.4430555556</x:v>
      </x:c>
      <x:c r="AG344" s="3" t="n">
        <x:v>30</x:v>
      </x:c>
      <x:c r="AH344" s="3" t="n">
        <x:v>35</x:v>
      </x:c>
      <x:c r="AI344" s="3" t="s">
        <x:v>111</x:v>
      </x:c>
      <x:c r="AJ344" s="3" t="s">
        <x:v>111</x:v>
      </x:c>
      <x:c r="AK344" s="3" t="n">
        <x:v>60</x:v>
      </x:c>
      <x:c r="AL344" s="3" t="n">
        <x:v>0</x:v>
      </x:c>
      <x:c r="AM344" s="8" t="n">
        <x:v>1.0833</x:v>
      </x:c>
      <x:c r="AN344" s="3" t="n">
        <x:v>0</x:v>
      </x:c>
      <x:c r="AO344" s="3" t="s">
        <x:v>24</x:v>
      </x:c>
      <x:c r="AP344" s="3" t="s">
        <x:v>421</x:v>
      </x:c>
      <x:c r="AQ344" s="3" t="s">
        <x:v>422</x:v>
      </x:c>
      <x:c r="AR344" s="9" t="n">
        <x:v>967</x:v>
      </x:c>
      <x:c r="AS344" s="3" t="s">
        <x:v>185</x:v>
      </x:c>
      <x:c r="AT344" s="7" t="n">
        <x:v>46301.9166666667</x:v>
      </x:c>
    </x:row>
    <x:row r="345" ht="31.299999237060547" hidden="0">
      <x:c r="A345" s="3" t="s">
        <x:v>852</x:v>
      </x:c>
      <x:c r="B345" s="3" t="s">
        <x:v>433</x:v>
      </x:c>
      <x:c r="C345" s="3" t="s">
        <x:v>434</x:v>
      </x:c>
      <x:c r="D345" s="3" t="s">
        <x:v>435</x:v>
      </x:c>
      <x:c r="E345" s="3" t="s">
        <x:v>249</x:v>
      </x:c>
      <x:c r="F345" s="3" t="s">
        <x:v>149</x:v>
      </x:c>
      <x:c r="G345" s="3" t="s">
        <x:v>480</x:v>
      </x:c>
      <x:c r="H345" s="3" t="s">
        <x:v>301</x:v>
      </x:c>
      <x:c r="I345" s="3" t="s">
        <x:v>302</x:v>
      </x:c>
      <x:c r="J345" s="3" t="s">
        <x:v>303</x:v>
      </x:c>
      <x:c r="K345" s="3" t="s">
        <x:v>104</x:v>
      </x:c>
      <x:c r="L345" s="3" t="s">
        <x:v>437</x:v>
      </x:c>
      <x:c r="M345" s="3" t="s">
        <x:v>106</x:v>
      </x:c>
      <x:c r="N345" s="3" t="s">
        <x:v>438</x:v>
      </x:c>
      <x:c r="O345" s="3" t="s">
        <x:v>439</x:v>
      </x:c>
      <x:c r="P345" s="3" t="s">
        <x:v>440</x:v>
      </x:c>
      <x:c r="Q345" s="3" t="s">
        <x:v>441</x:v>
      </x:c>
      <x:c r="R345" s="3" t="s">
        <x:v>134</x:v>
      </x:c>
      <x:c r="S345" s="3" t="s">
        <x:v>135</x:v>
      </x:c>
      <x:c r="T345" s="3" t="s">
        <x:v>111</x:v>
      </x:c>
      <x:c r="U345" s="3" t="s">
        <x:v>136</x:v>
      </x:c>
      <x:c r="V345" s="3" t="s">
        <x:v>137</x:v>
      </x:c>
      <x:c r="W345" s="3" t="s">
        <x:v>407</x:v>
      </x:c>
      <x:c r="X345" s="3" t="s">
        <x:v>139</x:v>
      </x:c>
      <x:c r="Y345" s="3" t="s">
        <x:v>140</x:v>
      </x:c>
      <x:c r="Z345" s="3" t="s">
        <x:v>141</x:v>
      </x:c>
      <x:c r="AA345" s="3" t="s">
        <x:v>118</x:v>
      </x:c>
      <x:c r="AB345" s="7" t="n">
        <x:v>46272.3944444444</x:v>
      </x:c>
      <x:c r="AC345" s="7" t="n">
        <x:v>46272.3979166667</x:v>
      </x:c>
      <x:c r="AD345" s="7" t="n">
        <x:v>46272.4020833333</x:v>
      </x:c>
      <x:c r="AE345" s="7" t="n">
        <x:v>46272.4201388889</x:v>
      </x:c>
      <x:c r="AF345" s="7" t="n">
        <x:v>46272.4472222222</x:v>
      </x:c>
      <x:c r="AG345" s="3" t="n">
        <x:v>37</x:v>
      </x:c>
      <x:c r="AH345" s="3" t="n">
        <x:v>30</x:v>
      </x:c>
      <x:c r="AI345" s="3" t="s">
        <x:v>135</x:v>
      </x:c>
      <x:c r="AJ345" s="3" t="s">
        <x:v>135</x:v>
      </x:c>
      <x:c r="AK345" s="3" t="n">
        <x:v>180</x:v>
      </x:c>
      <x:c r="AL345" s="3" t="n">
        <x:v>0</x:v>
      </x:c>
      <x:c r="AM345" s="8" t="n">
        <x:v>0.3722</x:v>
      </x:c>
      <x:c r="AN345" s="3" t="n">
        <x:v>0</x:v>
      </x:c>
      <x:c r="AO345" s="3" t="s">
        <x:v>9</x:v>
      </x:c>
      <x:c r="AP345" s="3" t="s">
        <x:v>142</x:v>
      </x:c>
      <x:c r="AQ345" s="3" t="s">
        <x:v>120</x:v>
      </x:c>
      <x:c r="AR345" s="9" t="n">
        <x:v>642.5</x:v>
      </x:c>
      <x:c r="AS345" s="3" t="s">
        <x:v>121</x:v>
      </x:c>
      <x:c r="AT345" s="7" t="n">
        <x:v>46301.9166666667</x:v>
      </x:c>
    </x:row>
    <x:row r="346" ht="31.299999237060547" hidden="0">
      <x:c r="A346" s="3" t="s">
        <x:v>853</x:v>
      </x:c>
      <x:c r="B346" s="3" t="s">
        <x:v>205</x:v>
      </x:c>
      <x:c r="C346" s="3" t="s">
        <x:v>206</x:v>
      </x:c>
      <x:c r="D346" s="3" t="s">
        <x:v>207</x:v>
      </x:c>
      <x:c r="E346" s="3" t="s">
        <x:v>249</x:v>
      </x:c>
      <x:c r="F346" s="3" t="s">
        <x:v>149</x:v>
      </x:c>
      <x:c r="G346" s="3" t="s">
        <x:v>359</x:v>
      </x:c>
      <x:c r="H346" s="3" t="s">
        <x:v>101</x:v>
      </x:c>
      <x:c r="I346" s="3" t="s">
        <x:v>102</x:v>
      </x:c>
      <x:c r="J346" s="3" t="s">
        <x:v>103</x:v>
      </x:c>
      <x:c r="K346" s="3" t="s">
        <x:v>104</x:v>
      </x:c>
      <x:c r="L346" s="3" t="s">
        <x:v>209</x:v>
      </x:c>
      <x:c r="M346" s="3" t="s">
        <x:v>210</x:v>
      </x:c>
      <x:c r="N346" s="3" t="s">
        <x:v>211</x:v>
      </x:c>
      <x:c r="O346" s="3" t="s">
        <x:v>212</x:v>
      </x:c>
      <x:c r="P346" s="3" t="s">
        <x:v>213</x:v>
      </x:c>
      <x:c r="Q346" s="3" t="s">
        <x:v>254</x:v>
      </x:c>
      <x:c r="R346" s="3" t="s">
        <x:v>156</x:v>
      </x:c>
      <x:c r="S346" s="3" t="s">
        <x:v>135</x:v>
      </x:c>
      <x:c r="T346" s="3" t="s">
        <x:v>111</x:v>
      </x:c>
      <x:c r="U346" s="3" t="s">
        <x:v>157</x:v>
      </x:c>
      <x:c r="V346" s="3" t="s">
        <x:v>158</x:v>
      </x:c>
      <x:c r="W346" s="3" t="s">
        <x:v>159</x:v>
      </x:c>
      <x:c r="X346" s="3" t="s">
        <x:v>160</x:v>
      </x:c>
      <x:c r="Y346" s="3" t="s">
        <x:v>360</x:v>
      </x:c>
      <x:c r="Z346" s="3" t="s">
        <x:v>162</x:v>
      </x:c>
      <x:c r="AA346" s="3" t="s">
        <x:v>118</x:v>
      </x:c>
      <x:c r="AB346" s="7" t="n">
        <x:v>46272.4090277778</x:v>
      </x:c>
      <x:c r="AC346" s="7" t="n">
        <x:v>46272.4104166667</x:v>
      </x:c>
      <x:c r="AD346" s="7" t="n">
        <x:v>46272.4131944444</x:v>
      </x:c>
      <x:c r="AE346" s="7" t="n">
        <x:v>46272.4340277778</x:v>
      </x:c>
      <x:c r="AF346" s="7" t="n">
        <x:v>46272.4569444444</x:v>
      </x:c>
      <x:c r="AG346" s="3" t="n">
        <x:v>36</x:v>
      </x:c>
      <x:c r="AH346" s="3" t="n">
        <x:v>30</x:v>
      </x:c>
      <x:c r="AI346" s="3" t="s">
        <x:v>135</x:v>
      </x:c>
      <x:c r="AJ346" s="3" t="s">
        <x:v>135</x:v>
      </x:c>
      <x:c r="AK346" s="3" t="n">
        <x:v>180</x:v>
      </x:c>
      <x:c r="AL346" s="3" t="n">
        <x:v>0</x:v>
      </x:c>
      <x:c r="AM346" s="8" t="n">
        <x:v>0.3667</x:v>
      </x:c>
      <x:c r="AN346" s="3" t="n">
        <x:v>1</x:v>
      </x:c>
      <x:c r="AO346" s="3" t="s">
        <x:v>9</x:v>
      </x:c>
      <x:c r="AP346" s="3" t="s">
        <x:v>500</x:v>
      </x:c>
      <x:c r="AQ346" s="3" t="s">
        <x:v>697</x:v>
      </x:c>
      <x:c r="AR346" s="9" t="n">
        <x:v>638</x:v>
      </x:c>
      <x:c r="AS346" s="3" t="s">
        <x:v>144</x:v>
      </x:c>
      <x:c r="AT346" s="7" t="n">
        <x:v>46301.9166666667</x:v>
      </x:c>
    </x:row>
    <x:row r="347" ht="31.299999237060547" hidden="0">
      <x:c r="A347" s="3" t="s">
        <x:v>854</x:v>
      </x:c>
      <x:c r="B347" s="3" t="s">
        <x:v>83</x:v>
      </x:c>
      <x:c r="C347" s="3" t="s">
        <x:v>96</x:v>
      </x:c>
      <x:c r="D347" s="3" t="s">
        <x:v>97</x:v>
      </x:c>
      <x:c r="E347" s="3" t="s">
        <x:v>249</x:v>
      </x:c>
      <x:c r="F347" s="3" t="s">
        <x:v>149</x:v>
      </x:c>
      <x:c r="G347" s="3" t="s">
        <x:v>413</x:v>
      </x:c>
      <x:c r="H347" s="3" t="s">
        <x:v>101</x:v>
      </x:c>
      <x:c r="I347" s="3" t="s">
        <x:v>102</x:v>
      </x:c>
      <x:c r="J347" s="3" t="s">
        <x:v>103</x:v>
      </x:c>
      <x:c r="K347" s="3" t="s">
        <x:v>104</x:v>
      </x:c>
      <x:c r="L347" s="3" t="s">
        <x:v>105</x:v>
      </x:c>
      <x:c r="M347" s="3" t="s">
        <x:v>106</x:v>
      </x:c>
      <x:c r="N347" s="3" t="s">
        <x:v>107</x:v>
      </x:c>
      <x:c r="O347" s="3" t="s">
        <x:v>108</x:v>
      </x:c>
      <x:c r="P347" s="3" t="s">
        <x:v>109</x:v>
      </x:c>
      <x:c r="Q347" s="3" t="s">
        <x:v>250</x:v>
      </x:c>
      <x:c r="R347" s="3" t="s">
        <x:v>330</x:v>
      </x:c>
      <x:c r="S347" s="3" t="s">
        <x:v>135</x:v>
      </x:c>
      <x:c r="T347" s="3" t="s">
        <x:v>111</x:v>
      </x:c>
      <x:c r="U347" s="3" t="s">
        <x:v>331</x:v>
      </x:c>
      <x:c r="V347" s="3" t="s">
        <x:v>178</x:v>
      </x:c>
      <x:c r="W347" s="3" t="s">
        <x:v>332</x:v>
      </x:c>
      <x:c r="X347" s="3" t="s">
        <x:v>180</x:v>
      </x:c>
      <x:c r="Y347" s="3" t="s">
        <x:v>333</x:v>
      </x:c>
      <x:c r="Z347" s="3" t="s">
        <x:v>334</x:v>
      </x:c>
      <x:c r="AA347" s="3" t="s">
        <x:v>118</x:v>
      </x:c>
      <x:c r="AB347" s="7" t="n">
        <x:v>46272.4402777778</x:v>
      </x:c>
      <x:c r="AC347" s="7" t="n">
        <x:v>46272.44375</x:v>
      </x:c>
      <x:c r="AD347" s="7" t="n">
        <x:v>46272.4451388889</x:v>
      </x:c>
      <x:c r="AE347" s="7" t="n">
        <x:v>46272.4701388889</x:v>
      </x:c>
      <x:c r="AF347" s="7" t="n">
        <x:v>46272.5048611111</x:v>
      </x:c>
      <x:c r="AG347" s="3" t="n">
        <x:v>43</x:v>
      </x:c>
      <x:c r="AH347" s="3" t="n">
        <x:v>41</x:v>
      </x:c>
      <x:c r="AI347" s="3" t="s">
        <x:v>111</x:v>
      </x:c>
      <x:c r="AJ347" s="3" t="s">
        <x:v>111</x:v>
      </x:c>
      <x:c r="AK347" s="3" t="n">
        <x:v>60</x:v>
      </x:c>
      <x:c r="AL347" s="3" t="n">
        <x:v>0</x:v>
      </x:c>
      <x:c r="AM347" s="8" t="n">
        <x:v>1.4</x:v>
      </x:c>
      <x:c r="AN347" s="3" t="n">
        <x:v>2</x:v>
      </x:c>
      <x:c r="AO347" s="3" t="s">
        <x:v>24</x:v>
      </x:c>
      <x:c r="AP347" s="3" t="s">
        <x:v>729</x:v>
      </x:c>
      <x:c r="AQ347" s="3" t="s">
        <x:v>562</x:v>
      </x:c>
      <x:c r="AR347" s="9" t="n">
        <x:v>1068.7</x:v>
      </x:c>
      <x:c r="AS347" s="3" t="s">
        <x:v>185</x:v>
      </x:c>
      <x:c r="AT347" s="7" t="n">
        <x:v>46301.9166666667</x:v>
      </x:c>
    </x:row>
    <x:row r="348" ht="31.299999237060547" hidden="0">
      <x:c r="A348" s="3" t="s">
        <x:v>855</x:v>
      </x:c>
      <x:c r="B348" s="3" t="s">
        <x:v>321</x:v>
      </x:c>
      <x:c r="C348" s="3" t="s">
        <x:v>322</x:v>
      </x:c>
      <x:c r="D348" s="3" t="s">
        <x:v>323</x:v>
      </x:c>
      <x:c r="E348" s="3" t="s">
        <x:v>249</x:v>
      </x:c>
      <x:c r="F348" s="3" t="s">
        <x:v>99</x:v>
      </x:c>
      <x:c r="G348" s="3" t="s">
        <x:v>324</x:v>
      </x:c>
      <x:c r="H348" s="3" t="s">
        <x:v>301</x:v>
      </x:c>
      <x:c r="I348" s="3" t="s">
        <x:v>302</x:v>
      </x:c>
      <x:c r="J348" s="3" t="s">
        <x:v>303</x:v>
      </x:c>
      <x:c r="K348" s="3" t="s">
        <x:v>104</x:v>
      </x:c>
      <x:c r="L348" s="3" t="s">
        <x:v>325</x:v>
      </x:c>
      <x:c r="M348" s="3" t="s">
        <x:v>326</x:v>
      </x:c>
      <x:c r="N348" s="3" t="s">
        <x:v>131</x:v>
      </x:c>
      <x:c r="O348" s="3" t="s">
        <x:v>327</x:v>
      </x:c>
      <x:c r="P348" s="3" t="s">
        <x:v>328</x:v>
      </x:c>
      <x:c r="Q348" s="3" t="s">
        <x:v>329</x:v>
      </x:c>
      <x:c r="R348" s="3" t="s">
        <x:v>330</x:v>
      </x:c>
      <x:c r="S348" s="3" t="s">
        <x:v>135</x:v>
      </x:c>
      <x:c r="T348" s="3" t="s">
        <x:v>111</x:v>
      </x:c>
      <x:c r="U348" s="3" t="s">
        <x:v>331</x:v>
      </x:c>
      <x:c r="V348" s="3" t="s">
        <x:v>178</x:v>
      </x:c>
      <x:c r="W348" s="3" t="s">
        <x:v>355</x:v>
      </x:c>
      <x:c r="X348" s="3" t="s">
        <x:v>180</x:v>
      </x:c>
      <x:c r="Y348" s="3" t="s">
        <x:v>356</x:v>
      </x:c>
      <x:c r="Z348" s="3" t="s">
        <x:v>334</x:v>
      </x:c>
      <x:c r="AA348" s="3" t="s">
        <x:v>118</x:v>
      </x:c>
      <x:c r="AB348" s="7" t="n">
        <x:v>46272.4909722222</x:v>
      </x:c>
      <x:c r="AC348" s="7" t="n">
        <x:v>46272.4923611111</x:v>
      </x:c>
      <x:c r="AD348" s="7" t="n">
        <x:v>46272.49375</x:v>
      </x:c>
      <x:c r="AE348" s="7" t="n">
        <x:v>46272.5055555556</x:v>
      </x:c>
      <x:c r="AF348" s="7" t="n">
        <x:v>46272.51875</x:v>
      </x:c>
      <x:c r="AG348" s="3" t="n">
        <x:v>21</x:v>
      </x:c>
      <x:c r="AH348" s="3" t="n">
        <x:v>12</x:v>
      </x:c>
      <x:c r="AI348" s="3" t="s">
        <x:v>135</x:v>
      </x:c>
      <x:c r="AJ348" s="3" t="s">
        <x:v>111</x:v>
      </x:c>
      <x:c r="AK348" s="3" t="n">
        <x:v>180</x:v>
      </x:c>
      <x:c r="AL348" s="3" t="n">
        <x:v>0</x:v>
      </x:c>
      <x:c r="AM348" s="8" t="n">
        <x:v>0.1833</x:v>
      </x:c>
      <x:c r="AN348" s="3" t="n">
        <x:v>4</x:v>
      </x:c>
      <x:c r="AO348" s="3" t="s">
        <x:v>14</x:v>
      </x:c>
      <x:c r="AP348" s="3" t="s">
        <x:v>796</x:v>
      </x:c>
      <x:c r="AQ348" s="3" t="s">
        <x:v>685</x:v>
      </x:c>
      <x:c r="AR348" s="9" t="n">
        <x:v>690.9</x:v>
      </x:c>
      <x:c r="AS348" s="3" t="s">
        <x:v>185</x:v>
      </x:c>
      <x:c r="AT348" s="7" t="n">
        <x:v>46301.9166666667</x:v>
      </x:c>
    </x:row>
    <x:row r="349" ht="31.299999237060547" hidden="0">
      <x:c r="A349" s="3" t="s">
        <x:v>856</x:v>
      </x:c>
      <x:c r="B349" s="3" t="s">
        <x:v>187</x:v>
      </x:c>
      <x:c r="C349" s="3" t="s">
        <x:v>188</x:v>
      </x:c>
      <x:c r="D349" s="3" t="s">
        <x:v>189</x:v>
      </x:c>
      <x:c r="E349" s="3" t="s">
        <x:v>249</x:v>
      </x:c>
      <x:c r="F349" s="3" t="s">
        <x:v>127</x:v>
      </x:c>
      <x:c r="G349" s="3" t="s">
        <x:v>342</x:v>
      </x:c>
      <x:c r="H349" s="3" t="s">
        <x:v>343</x:v>
      </x:c>
      <x:c r="I349" s="3" t="s">
        <x:v>102</x:v>
      </x:c>
      <x:c r="J349" s="3" t="s">
        <x:v>103</x:v>
      </x:c>
      <x:c r="K349" s="3" t="s">
        <x:v>104</x:v>
      </x:c>
      <x:c r="L349" s="3" t="s">
        <x:v>191</x:v>
      </x:c>
      <x:c r="M349" s="3" t="s">
        <x:v>192</x:v>
      </x:c>
      <x:c r="N349" s="3" t="s">
        <x:v>193</x:v>
      </x:c>
      <x:c r="O349" s="3" t="s">
        <x:v>194</x:v>
      </x:c>
      <x:c r="P349" s="3" t="s">
        <x:v>195</x:v>
      </x:c>
      <x:c r="Q349" s="3" t="s">
        <x:v>273</x:v>
      </x:c>
      <x:c r="R349" s="3" t="s">
        <x:v>344</x:v>
      </x:c>
      <x:c r="S349" s="3" t="s">
        <x:v>111</x:v>
      </x:c>
      <x:c r="T349" s="3" t="s">
        <x:v>111</x:v>
      </x:c>
      <x:c r="U349" s="3" t="s">
        <x:v>345</x:v>
      </x:c>
      <x:c r="V349" s="3" t="s">
        <x:v>178</x:v>
      </x:c>
      <x:c r="W349" s="3" t="s">
        <x:v>332</x:v>
      </x:c>
      <x:c r="X349" s="3" t="s">
        <x:v>180</x:v>
      </x:c>
      <x:c r="Y349" s="3" t="s">
        <x:v>333</x:v>
      </x:c>
      <x:c r="Z349" s="3" t="s">
        <x:v>346</x:v>
      </x:c>
      <x:c r="AA349" s="3" t="s">
        <x:v>118</x:v>
      </x:c>
      <x:c r="AB349" s="7" t="n">
        <x:v>46272.4972222222</x:v>
      </x:c>
      <x:c r="AC349" s="7" t="n">
        <x:v>46272.5006944445</x:v>
      </x:c>
      <x:c r="AD349" s="7" t="n">
        <x:v>46272.5027777778</x:v>
      </x:c>
      <x:c r="AE349" s="7" t="n">
        <x:v>46272.5118055556</x:v>
      </x:c>
      <x:c r="AF349" s="7" t="n">
        <x:v>46272.5722222222</x:v>
      </x:c>
      <x:c r="AG349" s="3" t="n">
        <x:v>21</x:v>
      </x:c>
      <x:c r="AH349" s="3" t="n">
        <x:v>84</x:v>
      </x:c>
      <x:c r="AI349" s="3" t="s">
        <x:v>135</x:v>
      </x:c>
      <x:c r="AJ349" s="3" t="s">
        <x:v>111</x:v>
      </x:c>
      <x:c r="AK349" s="3" t="n">
        <x:v>120</x:v>
      </x:c>
      <x:c r="AL349" s="3" t="n">
        <x:v>0</x:v>
      </x:c>
      <x:c r="AM349" s="8" t="n">
        <x:v>0.875</x:v>
      </x:c>
      <x:c r="AN349" s="3" t="n">
        <x:v>0</x:v>
      </x:c>
      <x:c r="AO349" s="3" t="s">
        <x:v>19</x:v>
      </x:c>
      <x:c r="AP349" s="3" t="s">
        <x:v>444</x:v>
      </x:c>
      <x:c r="AQ349" s="3" t="s">
        <x:v>386</x:v>
      </x:c>
      <x:c r="AR349" s="9" t="n">
        <x:v>1339.3</x:v>
      </x:c>
      <x:c r="AS349" s="3" t="s">
        <x:v>185</x:v>
      </x:c>
      <x:c r="AT349" s="7" t="n">
        <x:v>46301.9166666667</x:v>
      </x:c>
    </x:row>
    <x:row r="350" ht="31.299999237060547" hidden="0">
      <x:c r="A350" s="3" t="s">
        <x:v>857</x:v>
      </x:c>
      <x:c r="B350" s="3" t="s">
        <x:v>205</x:v>
      </x:c>
      <x:c r="C350" s="3" t="s">
        <x:v>206</x:v>
      </x:c>
      <x:c r="D350" s="3" t="s">
        <x:v>207</x:v>
      </x:c>
      <x:c r="E350" s="3" t="s">
        <x:v>249</x:v>
      </x:c>
      <x:c r="F350" s="3" t="s">
        <x:v>99</x:v>
      </x:c>
      <x:c r="G350" s="3" t="s">
        <x:v>486</x:v>
      </x:c>
      <x:c r="H350" s="3" t="s">
        <x:v>101</x:v>
      </x:c>
      <x:c r="I350" s="3" t="s">
        <x:v>102</x:v>
      </x:c>
      <x:c r="J350" s="3" t="s">
        <x:v>103</x:v>
      </x:c>
      <x:c r="K350" s="3" t="s">
        <x:v>104</x:v>
      </x:c>
      <x:c r="L350" s="3" t="s">
        <x:v>209</x:v>
      </x:c>
      <x:c r="M350" s="3" t="s">
        <x:v>210</x:v>
      </x:c>
      <x:c r="N350" s="3" t="s">
        <x:v>211</x:v>
      </x:c>
      <x:c r="O350" s="3" t="s">
        <x:v>212</x:v>
      </x:c>
      <x:c r="P350" s="3" t="s">
        <x:v>213</x:v>
      </x:c>
      <x:c r="Q350" s="3" t="s">
        <x:v>254</x:v>
      </x:c>
      <x:c r="R350" s="3" t="s">
        <x:v>176</x:v>
      </x:c>
      <x:c r="S350" s="3" t="s">
        <x:v>135</x:v>
      </x:c>
      <x:c r="T350" s="3" t="s">
        <x:v>135</x:v>
      </x:c>
      <x:c r="U350" s="3" t="s">
        <x:v>177</x:v>
      </x:c>
      <x:c r="V350" s="3" t="s">
        <x:v>178</x:v>
      </x:c>
      <x:c r="W350" s="3" t="s">
        <x:v>355</x:v>
      </x:c>
      <x:c r="X350" s="3" t="s">
        <x:v>180</x:v>
      </x:c>
      <x:c r="Y350" s="3" t="s">
        <x:v>356</x:v>
      </x:c>
      <x:c r="Z350" s="3" t="s">
        <x:v>182</x:v>
      </x:c>
      <x:c r="AA350" s="3" t="s">
        <x:v>118</x:v>
      </x:c>
      <x:c r="AB350" s="7" t="n">
        <x:v>46272.5097222222</x:v>
      </x:c>
      <x:c r="AC350" s="7" t="n">
        <x:v>46272.5125</x:v>
      </x:c>
      <x:c r="AD350" s="7" t="n">
        <x:v>46272.5166666667</x:v>
      </x:c>
      <x:c r="AE350" s="7" t="n">
        <x:v>46272.5451388889</x:v>
      </x:c>
      <x:c r="AF350" s="7" t="n">
        <x:v>46272.5715277778</x:v>
      </x:c>
      <x:c r="AG350" s="3" t="n">
        <x:v>51</x:v>
      </x:c>
      <x:c r="AH350" s="3" t="n">
        <x:v>33</x:v>
      </x:c>
      <x:c r="AI350" s="3" t="s">
        <x:v>135</x:v>
      </x:c>
      <x:c r="AJ350" s="3" t="s">
        <x:v>135</x:v>
      </x:c>
      <x:c r="AK350" s="3" t="n">
        <x:v>180</x:v>
      </x:c>
      <x:c r="AL350" s="3" t="n">
        <x:v>0</x:v>
      </x:c>
      <x:c r="AM350" s="8" t="n">
        <x:v>0.4667</x:v>
      </x:c>
      <x:c r="AN350" s="3" t="n">
        <x:v>1</x:v>
      </x:c>
      <x:c r="AO350" s="3" t="s">
        <x:v>9</x:v>
      </x:c>
      <x:c r="AP350" s="3" t="s">
        <x:v>500</x:v>
      </x:c>
      <x:c r="AQ350" s="3" t="s">
        <x:v>697</x:v>
      </x:c>
      <x:c r="AR350" s="9" t="n">
        <x:v>727.1</x:v>
      </x:c>
      <x:c r="AS350" s="3" t="s">
        <x:v>121</x:v>
      </x:c>
      <x:c r="AT350" s="7" t="n">
        <x:v>46301.9166666667</x:v>
      </x:c>
    </x:row>
    <x:row r="351" ht="31.299999237060547" hidden="0">
      <x:c r="A351" s="3" t="s">
        <x:v>858</x:v>
      </x:c>
      <x:c r="B351" s="3" t="s">
        <x:v>123</x:v>
      </x:c>
      <x:c r="C351" s="3" t="s">
        <x:v>124</x:v>
      </x:c>
      <x:c r="D351" s="3" t="s">
        <x:v>125</x:v>
      </x:c>
      <x:c r="E351" s="3" t="s">
        <x:v>249</x:v>
      </x:c>
      <x:c r="F351" s="3" t="s">
        <x:v>99</x:v>
      </x:c>
      <x:c r="G351" s="3" t="s">
        <x:v>354</x:v>
      </x:c>
      <x:c r="H351" s="3" t="s">
        <x:v>101</x:v>
      </x:c>
      <x:c r="I351" s="3" t="s">
        <x:v>102</x:v>
      </x:c>
      <x:c r="J351" s="3" t="s">
        <x:v>103</x:v>
      </x:c>
      <x:c r="K351" s="3" t="s">
        <x:v>104</x:v>
      </x:c>
      <x:c r="L351" s="3" t="s">
        <x:v>129</x:v>
      </x:c>
      <x:c r="M351" s="3" t="s">
        <x:v>130</x:v>
      </x:c>
      <x:c r="N351" s="3" t="s">
        <x:v>131</x:v>
      </x:c>
      <x:c r="O351" s="3" t="s">
        <x:v>132</x:v>
      </x:c>
      <x:c r="P351" s="3" t="s">
        <x:v>133</x:v>
      </x:c>
      <x:c r="Q351" s="3" t="s">
        <x:v>268</x:v>
      </x:c>
      <x:c r="R351" s="3" t="s">
        <x:v>176</x:v>
      </x:c>
      <x:c r="S351" s="3" t="s">
        <x:v>135</x:v>
      </x:c>
      <x:c r="T351" s="3" t="s">
        <x:v>135</x:v>
      </x:c>
      <x:c r="U351" s="3" t="s">
        <x:v>177</x:v>
      </x:c>
      <x:c r="V351" s="3" t="s">
        <x:v>178</x:v>
      </x:c>
      <x:c r="W351" s="3" t="s">
        <x:v>332</x:v>
      </x:c>
      <x:c r="X351" s="3" t="s">
        <x:v>180</x:v>
      </x:c>
      <x:c r="Y351" s="3" t="s">
        <x:v>333</x:v>
      </x:c>
      <x:c r="Z351" s="3" t="s">
        <x:v>182</x:v>
      </x:c>
      <x:c r="AA351" s="3" t="s">
        <x:v>118</x:v>
      </x:c>
      <x:c r="AB351" s="7" t="n">
        <x:v>46272.525</x:v>
      </x:c>
      <x:c r="AC351" s="7" t="n">
        <x:v>46272.5263888889</x:v>
      </x:c>
      <x:c r="AD351" s="7" t="n">
        <x:v>46272.5298611111</x:v>
      </x:c>
      <x:c r="AE351" s="7" t="n">
        <x:v>46272.5534722222</x:v>
      </x:c>
      <x:c r="AF351" s="7" t="n">
        <x:v>46272.5993055556</x:v>
      </x:c>
      <x:c r="AG351" s="3" t="n">
        <x:v>41</x:v>
      </x:c>
      <x:c r="AH351" s="3" t="n">
        <x:v>60</x:v>
      </x:c>
      <x:c r="AI351" s="3" t="s">
        <x:v>135</x:v>
      </x:c>
      <x:c r="AJ351" s="3" t="s">
        <x:v>135</x:v>
      </x:c>
      <x:c r="AK351" s="3" t="n">
        <x:v>180</x:v>
      </x:c>
      <x:c r="AL351" s="3" t="n">
        <x:v>0</x:v>
      </x:c>
      <x:c r="AM351" s="8" t="n">
        <x:v>0.5611</x:v>
      </x:c>
      <x:c r="AN351" s="3" t="n">
        <x:v>2</x:v>
      </x:c>
      <x:c r="AO351" s="3" t="s">
        <x:v>14</x:v>
      </x:c>
      <x:c r="AP351" s="3" t="s">
        <x:v>573</x:v>
      </x:c>
      <x:c r="AQ351" s="3" t="s">
        <x:v>472</x:v>
      </x:c>
      <x:c r="AR351" s="9" t="n">
        <x:v>876.5</x:v>
      </x:c>
      <x:c r="AS351" s="3" t="s">
        <x:v>121</x:v>
      </x:c>
      <x:c r="AT351" s="7" t="n">
        <x:v>46301.9166666667</x:v>
      </x:c>
    </x:row>
    <x:row r="352" ht="31.299999237060547" hidden="0">
      <x:c r="A352" s="3" t="s">
        <x:v>859</x:v>
      </x:c>
      <x:c r="B352" s="3" t="s">
        <x:v>123</x:v>
      </x:c>
      <x:c r="C352" s="3" t="s">
        <x:v>124</x:v>
      </x:c>
      <x:c r="D352" s="3" t="s">
        <x:v>125</x:v>
      </x:c>
      <x:c r="E352" s="3" t="s">
        <x:v>249</x:v>
      </x:c>
      <x:c r="F352" s="3" t="s">
        <x:v>127</x:v>
      </x:c>
      <x:c r="G352" s="3" t="s">
        <x:v>359</x:v>
      </x:c>
      <x:c r="H352" s="3" t="s">
        <x:v>101</x:v>
      </x:c>
      <x:c r="I352" s="3" t="s">
        <x:v>102</x:v>
      </x:c>
      <x:c r="J352" s="3" t="s">
        <x:v>103</x:v>
      </x:c>
      <x:c r="K352" s="3" t="s">
        <x:v>104</x:v>
      </x:c>
      <x:c r="L352" s="3" t="s">
        <x:v>129</x:v>
      </x:c>
      <x:c r="M352" s="3" t="s">
        <x:v>130</x:v>
      </x:c>
      <x:c r="N352" s="3" t="s">
        <x:v>131</x:v>
      </x:c>
      <x:c r="O352" s="3" t="s">
        <x:v>132</x:v>
      </x:c>
      <x:c r="P352" s="3" t="s">
        <x:v>133</x:v>
      </x:c>
      <x:c r="Q352" s="3" t="s">
        <x:v>268</x:v>
      </x:c>
      <x:c r="R352" s="3" t="s">
        <x:v>156</x:v>
      </x:c>
      <x:c r="S352" s="3" t="s">
        <x:v>135</x:v>
      </x:c>
      <x:c r="T352" s="3" t="s">
        <x:v>111</x:v>
      </x:c>
      <x:c r="U352" s="3" t="s">
        <x:v>157</x:v>
      </x:c>
      <x:c r="V352" s="3" t="s">
        <x:v>158</x:v>
      </x:c>
      <x:c r="W352" s="3" t="s">
        <x:v>159</x:v>
      </x:c>
      <x:c r="X352" s="3" t="s">
        <x:v>160</x:v>
      </x:c>
      <x:c r="Y352" s="3" t="s">
        <x:v>360</x:v>
      </x:c>
      <x:c r="Z352" s="3" t="s">
        <x:v>162</x:v>
      </x:c>
      <x:c r="AA352" s="3" t="s">
        <x:v>118</x:v>
      </x:c>
      <x:c r="AB352" s="7" t="n">
        <x:v>46272.6277777778</x:v>
      </x:c>
      <x:c r="AC352" s="7" t="n">
        <x:v>46272.63125</x:v>
      </x:c>
      <x:c r="AD352" s="7" t="n">
        <x:v>46272.6333333333</x:v>
      </x:c>
      <x:c r="AE352" s="7" t="n">
        <x:v>46272.6451388889</x:v>
      </x:c>
      <x:c r="AF352" s="7" t="n">
        <x:v>46272.6777777778</x:v>
      </x:c>
      <x:c r="AG352" s="3" t="n">
        <x:v>25</x:v>
      </x:c>
      <x:c r="AH352" s="3" t="n">
        <x:v>39</x:v>
      </x:c>
      <x:c r="AI352" s="3" t="s">
        <x:v>135</x:v>
      </x:c>
      <x:c r="AJ352" s="3" t="s">
        <x:v>135</x:v>
      </x:c>
      <x:c r="AK352" s="3" t="n">
        <x:v>180</x:v>
      </x:c>
      <x:c r="AL352" s="3" t="n">
        <x:v>0</x:v>
      </x:c>
      <x:c r="AM352" s="8" t="n">
        <x:v>0.3556</x:v>
      </x:c>
      <x:c r="AN352" s="3" t="n">
        <x:v>3</x:v>
      </x:c>
      <x:c r="AO352" s="3" t="s">
        <x:v>14</x:v>
      </x:c>
      <x:c r="AP352" s="3" t="s">
        <x:v>183</x:v>
      </x:c>
      <x:c r="AQ352" s="3" t="s">
        <x:v>860</x:v>
      </x:c>
      <x:c r="AR352" s="9" t="n">
        <x:v>903.3</x:v>
      </x:c>
      <x:c r="AS352" s="3" t="s">
        <x:v>185</x:v>
      </x:c>
      <x:c r="AT352" s="7" t="n">
        <x:v>46301.9166666667</x:v>
      </x:c>
    </x:row>
    <x:row r="353" ht="31.299999237060547" hidden="0">
      <x:c r="A353" s="3" t="s">
        <x:v>861</x:v>
      </x:c>
      <x:c r="B353" s="3" t="s">
        <x:v>123</x:v>
      </x:c>
      <x:c r="C353" s="3" t="s">
        <x:v>124</x:v>
      </x:c>
      <x:c r="D353" s="3" t="s">
        <x:v>125</x:v>
      </x:c>
      <x:c r="E353" s="3" t="s">
        <x:v>249</x:v>
      </x:c>
      <x:c r="F353" s="3" t="s">
        <x:v>169</x:v>
      </x:c>
      <x:c r="G353" s="3" t="s">
        <x:v>522</x:v>
      </x:c>
      <x:c r="H353" s="3" t="s">
        <x:v>343</x:v>
      </x:c>
      <x:c r="I353" s="3" t="s">
        <x:v>102</x:v>
      </x:c>
      <x:c r="J353" s="3" t="s">
        <x:v>103</x:v>
      </x:c>
      <x:c r="K353" s="3" t="s">
        <x:v>104</x:v>
      </x:c>
      <x:c r="L353" s="3" t="s">
        <x:v>129</x:v>
      </x:c>
      <x:c r="M353" s="3" t="s">
        <x:v>130</x:v>
      </x:c>
      <x:c r="N353" s="3" t="s">
        <x:v>131</x:v>
      </x:c>
      <x:c r="O353" s="3" t="s">
        <x:v>132</x:v>
      </x:c>
      <x:c r="P353" s="3" t="s">
        <x:v>133</x:v>
      </x:c>
      <x:c r="Q353" s="3" t="s">
        <x:v>268</x:v>
      </x:c>
      <x:c r="R353" s="3" t="s">
        <x:v>380</x:v>
      </x:c>
      <x:c r="S353" s="3" t="s">
        <x:v>111</x:v>
      </x:c>
      <x:c r="T353" s="3" t="s">
        <x:v>111</x:v>
      </x:c>
      <x:c r="U353" s="3" t="s">
        <x:v>381</x:v>
      </x:c>
      <x:c r="V353" s="3" t="s">
        <x:v>312</x:v>
      </x:c>
      <x:c r="W353" s="3" t="s">
        <x:v>382</x:v>
      </x:c>
      <x:c r="X353" s="3" t="s">
        <x:v>314</x:v>
      </x:c>
      <x:c r="Y353" s="3" t="s">
        <x:v>383</x:v>
      </x:c>
      <x:c r="Z353" s="3" t="s">
        <x:v>384</x:v>
      </x:c>
      <x:c r="AA353" s="3" t="s">
        <x:v>385</x:v>
      </x:c>
      <x:c r="AB353" s="7" t="n">
        <x:v>46272.6333333333</x:v>
      </x:c>
      <x:c r="AC353" s="7" t="n">
        <x:v>46272.6361111111</x:v>
      </x:c>
      <x:c r="AD353" s="7" t="n">
        <x:v>46272.6375</x:v>
      </x:c>
      <x:c r="AE353" s="7" t="n">
        <x:v>46272.6659722222</x:v>
      </x:c>
      <x:c r="AF353" s="7" t="n">
        <x:v>46272.7361111111</x:v>
      </x:c>
      <x:c r="AG353" s="3" t="n">
        <x:v>47</x:v>
      </x:c>
      <x:c r="AH353" s="3" t="n">
        <x:v>97</x:v>
      </x:c>
      <x:c r="AI353" s="3" t="s">
        <x:v>135</x:v>
      </x:c>
      <x:c r="AJ353" s="3" t="s">
        <x:v>135</x:v>
      </x:c>
      <x:c r="AK353" s="3" t="n">
        <x:v>120</x:v>
      </x:c>
      <x:c r="AL353" s="3" t="n">
        <x:v>0</x:v>
      </x:c>
      <x:c r="AM353" s="8" t="n">
        <x:v>1.2</x:v>
      </x:c>
      <x:c r="AN353" s="3" t="n">
        <x:v>0</x:v>
      </x:c>
      <x:c r="AO353" s="3" t="s">
        <x:v>24</x:v>
      </x:c>
      <x:c r="AP353" s="3" t="s">
        <x:v>495</x:v>
      </x:c>
      <x:c r="AQ353" s="3" t="s">
        <x:v>482</x:v>
      </x:c>
      <x:c r="AR353" s="9" t="n">
        <x:v>1169.9</x:v>
      </x:c>
      <x:c r="AS353" s="3" t="s">
        <x:v>185</x:v>
      </x:c>
      <x:c r="AT353" s="7" t="n">
        <x:v>46301.9166666667</x:v>
      </x:c>
    </x:row>
    <x:row r="354" ht="31.299999237060547" hidden="0">
      <x:c r="A354" s="3" t="s">
        <x:v>862</x:v>
      </x:c>
      <x:c r="B354" s="3" t="s">
        <x:v>205</x:v>
      </x:c>
      <x:c r="C354" s="3" t="s">
        <x:v>206</x:v>
      </x:c>
      <x:c r="D354" s="3" t="s">
        <x:v>207</x:v>
      </x:c>
      <x:c r="E354" s="3" t="s">
        <x:v>249</x:v>
      </x:c>
      <x:c r="F354" s="3" t="s">
        <x:v>149</x:v>
      </x:c>
      <x:c r="G354" s="3" t="s">
        <x:v>477</x:v>
      </x:c>
      <x:c r="H354" s="3" t="s">
        <x:v>343</x:v>
      </x:c>
      <x:c r="I354" s="3" t="s">
        <x:v>102</x:v>
      </x:c>
      <x:c r="J354" s="3" t="s">
        <x:v>103</x:v>
      </x:c>
      <x:c r="K354" s="3" t="s">
        <x:v>104</x:v>
      </x:c>
      <x:c r="L354" s="3" t="s">
        <x:v>209</x:v>
      </x:c>
      <x:c r="M354" s="3" t="s">
        <x:v>210</x:v>
      </x:c>
      <x:c r="N354" s="3" t="s">
        <x:v>211</x:v>
      </x:c>
      <x:c r="O354" s="3" t="s">
        <x:v>212</x:v>
      </x:c>
      <x:c r="P354" s="3" t="s">
        <x:v>213</x:v>
      </x:c>
      <x:c r="Q354" s="3" t="s">
        <x:v>254</x:v>
      </x:c>
      <x:c r="R354" s="3" t="s">
        <x:v>214</x:v>
      </x:c>
      <x:c r="S354" s="3" t="s">
        <x:v>135</x:v>
      </x:c>
      <x:c r="T354" s="3" t="s">
        <x:v>111</x:v>
      </x:c>
      <x:c r="U354" s="3" t="s">
        <x:v>215</x:v>
      </x:c>
      <x:c r="V354" s="3" t="s">
        <x:v>216</x:v>
      </x:c>
      <x:c r="W354" s="3" t="s">
        <x:v>217</x:v>
      </x:c>
      <x:c r="X354" s="3" t="s">
        <x:v>430</x:v>
      </x:c>
      <x:c r="Y354" s="3" t="s">
        <x:v>555</x:v>
      </x:c>
      <x:c r="Z354" s="3" t="s">
        <x:v>219</x:v>
      </x:c>
      <x:c r="AA354" s="3" t="s">
        <x:v>118</x:v>
      </x:c>
      <x:c r="AB354" s="7" t="n">
        <x:v>46272.76875</x:v>
      </x:c>
      <x:c r="AC354" s="7" t="n">
        <x:v>46272.7722222222</x:v>
      </x:c>
      <x:c r="AD354" s="7" t="n">
        <x:v>46272.7756944444</x:v>
      </x:c>
      <x:c r="AE354" s="7" t="n">
        <x:v>46272.7847222222</x:v>
      </x:c>
      <x:c r="AF354" s="7" t="n">
        <x:v>46272.8159722222</x:v>
      </x:c>
      <x:c r="AG354" s="3" t="n">
        <x:v>23</x:v>
      </x:c>
      <x:c r="AH354" s="3" t="n">
        <x:v>36</x:v>
      </x:c>
      <x:c r="AI354" s="3" t="s">
        <x:v>135</x:v>
      </x:c>
      <x:c r="AJ354" s="3" t="s">
        <x:v>135</x:v>
      </x:c>
      <x:c r="AK354" s="3" t="n">
        <x:v>180</x:v>
      </x:c>
      <x:c r="AL354" s="3" t="n">
        <x:v>0</x:v>
      </x:c>
      <x:c r="AM354" s="8" t="n">
        <x:v>0.3278</x:v>
      </x:c>
      <x:c r="AN354" s="3" t="n">
        <x:v>2</x:v>
      </x:c>
      <x:c r="AO354" s="3" t="s">
        <x:v>14</x:v>
      </x:c>
      <x:c r="AP354" s="3" t="s">
        <x:v>573</x:v>
      </x:c>
      <x:c r="AQ354" s="3" t="s">
        <x:v>697</x:v>
      </x:c>
      <x:c r="AR354" s="9" t="n">
        <x:v>622.7</x:v>
      </x:c>
      <x:c r="AS354" s="3" t="s">
        <x:v>121</x:v>
      </x:c>
      <x:c r="AT354" s="7" t="n">
        <x:v>46301.9166666667</x:v>
      </x:c>
    </x:row>
    <x:row r="355" ht="31.299999237060547" hidden="0">
      <x:c r="A355" s="3" t="s">
        <x:v>863</x:v>
      </x:c>
      <x:c r="B355" s="3" t="s">
        <x:v>297</x:v>
      </x:c>
      <x:c r="C355" s="3" t="s">
        <x:v>298</x:v>
      </x:c>
      <x:c r="D355" s="3" t="s">
        <x:v>299</x:v>
      </x:c>
      <x:c r="E355" s="3" t="s">
        <x:v>249</x:v>
      </x:c>
      <x:c r="F355" s="3" t="s">
        <x:v>127</x:v>
      </x:c>
      <x:c r="G355" s="3" t="s">
        <x:v>575</x:v>
      </x:c>
      <x:c r="H355" s="3" t="s">
        <x:v>301</x:v>
      </x:c>
      <x:c r="I355" s="3" t="s">
        <x:v>302</x:v>
      </x:c>
      <x:c r="J355" s="3" t="s">
        <x:v>303</x:v>
      </x:c>
      <x:c r="K355" s="3" t="s">
        <x:v>104</x:v>
      </x:c>
      <x:c r="L355" s="3" t="s">
        <x:v>304</x:v>
      </x:c>
      <x:c r="M355" s="3" t="s">
        <x:v>305</x:v>
      </x:c>
      <x:c r="N355" s="3" t="s">
        <x:v>306</x:v>
      </x:c>
      <x:c r="O355" s="3" t="s">
        <x:v>307</x:v>
      </x:c>
      <x:c r="P355" s="3" t="s">
        <x:v>308</x:v>
      </x:c>
      <x:c r="Q355" s="3" t="s">
        <x:v>309</x:v>
      </x:c>
      <x:c r="R355" s="3" t="s">
        <x:v>196</x:v>
      </x:c>
      <x:c r="S355" s="3" t="s">
        <x:v>111</x:v>
      </x:c>
      <x:c r="T355" s="3" t="s">
        <x:v>111</x:v>
      </x:c>
      <x:c r="U355" s="3" t="s">
        <x:v>197</x:v>
      </x:c>
      <x:c r="V355" s="3" t="s">
        <x:v>198</x:v>
      </x:c>
      <x:c r="W355" s="3" t="s">
        <x:v>365</x:v>
      </x:c>
      <x:c r="X355" s="3" t="s">
        <x:v>366</x:v>
      </x:c>
      <x:c r="Y355" s="3" t="s">
        <x:v>367</x:v>
      </x:c>
      <x:c r="Z355" s="3" t="s">
        <x:v>201</x:v>
      </x:c>
      <x:c r="AA355" s="3" t="s">
        <x:v>368</x:v>
      </x:c>
      <x:c r="AB355" s="7" t="n">
        <x:v>46272.7708333333</x:v>
      </x:c>
      <x:c r="AC355" s="7" t="n">
        <x:v>46272.7756944444</x:v>
      </x:c>
      <x:c r="AD355" s="7" t="n">
        <x:v>46272.7791666667</x:v>
      </x:c>
      <x:c r="AE355" s="7" t="n">
        <x:v>46272.7993055556</x:v>
      </x:c>
      <x:c r="AF355" s="7" t="n">
        <x:v>46272.8756944445</x:v>
      </x:c>
      <x:c r="AG355" s="3" t="n">
        <x:v>41</x:v>
      </x:c>
      <x:c r="AH355" s="3" t="n">
        <x:v>107</x:v>
      </x:c>
      <x:c r="AI355" s="3" t="s">
        <x:v>135</x:v>
      </x:c>
      <x:c r="AJ355" s="3" t="s">
        <x:v>111</x:v>
      </x:c>
      <x:c r="AK355" s="3" t="n">
        <x:v>120</x:v>
      </x:c>
      <x:c r="AL355" s="3" t="n">
        <x:v>0</x:v>
      </x:c>
      <x:c r="AM355" s="8" t="n">
        <x:v>1.2333</x:v>
      </x:c>
      <x:c r="AN355" s="3" t="n">
        <x:v>1</x:v>
      </x:c>
      <x:c r="AO355" s="3" t="s">
        <x:v>24</x:v>
      </x:c>
      <x:c r="AP355" s="3" t="s">
        <x:v>766</x:v>
      </x:c>
      <x:c r="AQ355" s="3" t="s">
        <x:v>603</x:v>
      </x:c>
      <x:c r="AR355" s="9" t="n">
        <x:v>1594.9</x:v>
      </x:c>
      <x:c r="AS355" s="3" t="s">
        <x:v>185</x:v>
      </x:c>
      <x:c r="AT355" s="7" t="n">
        <x:v>46301.9166666667</x:v>
      </x:c>
    </x:row>
    <x:row r="356" ht="31.299999237060547" hidden="0">
      <x:c r="A356" s="3" t="s">
        <x:v>864</x:v>
      </x:c>
      <x:c r="B356" s="3" t="s">
        <x:v>166</x:v>
      </x:c>
      <x:c r="C356" s="3" t="s">
        <x:v>167</x:v>
      </x:c>
      <x:c r="D356" s="3" t="s">
        <x:v>168</x:v>
      </x:c>
      <x:c r="E356" s="3" t="s">
        <x:v>249</x:v>
      </x:c>
      <x:c r="F356" s="3" t="s">
        <x:v>99</x:v>
      </x:c>
      <x:c r="G356" s="3" t="s">
        <x:v>535</x:v>
      </x:c>
      <x:c r="H356" s="3" t="s">
        <x:v>101</x:v>
      </x:c>
      <x:c r="I356" s="3" t="s">
        <x:v>102</x:v>
      </x:c>
      <x:c r="J356" s="3" t="s">
        <x:v>103</x:v>
      </x:c>
      <x:c r="K356" s="3" t="s">
        <x:v>104</x:v>
      </x:c>
      <x:c r="L356" s="3" t="s">
        <x:v>171</x:v>
      </x:c>
      <x:c r="M356" s="3" t="s">
        <x:v>172</x:v>
      </x:c>
      <x:c r="N356" s="3" t="s">
        <x:v>173</x:v>
      </x:c>
      <x:c r="O356" s="3" t="s">
        <x:v>174</x:v>
      </x:c>
      <x:c r="P356" s="3" t="s">
        <x:v>175</x:v>
      </x:c>
      <x:c r="Q356" s="3" t="s">
        <x:v>271</x:v>
      </x:c>
      <x:c r="R356" s="3" t="s">
        <x:v>176</x:v>
      </x:c>
      <x:c r="S356" s="3" t="s">
        <x:v>135</x:v>
      </x:c>
      <x:c r="T356" s="3" t="s">
        <x:v>135</x:v>
      </x:c>
      <x:c r="U356" s="3" t="s">
        <x:v>177</x:v>
      </x:c>
      <x:c r="V356" s="3" t="s">
        <x:v>178</x:v>
      </x:c>
      <x:c r="W356" s="3" t="s">
        <x:v>179</x:v>
      </x:c>
      <x:c r="X356" s="3" t="s">
        <x:v>180</x:v>
      </x:c>
      <x:c r="Y356" s="3" t="s">
        <x:v>414</x:v>
      </x:c>
      <x:c r="Z356" s="3" t="s">
        <x:v>182</x:v>
      </x:c>
      <x:c r="AA356" s="3" t="s">
        <x:v>118</x:v>
      </x:c>
      <x:c r="AB356" s="7" t="n">
        <x:v>46272.8569444444</x:v>
      </x:c>
      <x:c r="AC356" s="7" t="n">
        <x:v>46272.8611111111</x:v>
      </x:c>
      <x:c r="AD356" s="7" t="n">
        <x:v>46272.8652777778</x:v>
      </x:c>
      <x:c r="AE356" s="7" t="n">
        <x:v>46272.8888888889</x:v>
      </x:c>
      <x:c r="AF356" s="7" t="n">
        <x:v>46272.9520833333</x:v>
      </x:c>
      <x:c r="AG356" s="3" t="n">
        <x:v>46</x:v>
      </x:c>
      <x:c r="AH356" s="3" t="n">
        <x:v>81</x:v>
      </x:c>
      <x:c r="AI356" s="3" t="s">
        <x:v>135</x:v>
      </x:c>
      <x:c r="AJ356" s="3" t="s">
        <x:v>135</x:v>
      </x:c>
      <x:c r="AK356" s="3" t="n">
        <x:v>150</x:v>
      </x:c>
      <x:c r="AL356" s="3" t="n">
        <x:v>0</x:v>
      </x:c>
      <x:c r="AM356" s="8" t="n">
        <x:v>0.8467</x:v>
      </x:c>
      <x:c r="AN356" s="3" t="n">
        <x:v>2</x:v>
      </x:c>
      <x:c r="AO356" s="3" t="s">
        <x:v>14</x:v>
      </x:c>
      <x:c r="AP356" s="3" t="s">
        <x:v>717</x:v>
      </x:c>
      <x:c r="AQ356" s="3" t="s">
        <x:v>501</x:v>
      </x:c>
      <x:c r="AR356" s="9" t="n">
        <x:v>1430.2</x:v>
      </x:c>
      <x:c r="AS356" s="3" t="s">
        <x:v>121</x:v>
      </x:c>
      <x:c r="AT356" s="7" t="n">
        <x:v>46301.9166666667</x:v>
      </x:c>
    </x:row>
    <x:row r="357" ht="31.299999237060547" hidden="0">
      <x:c r="A357" s="3" t="s">
        <x:v>865</x:v>
      </x:c>
      <x:c r="B357" s="3" t="s">
        <x:v>297</x:v>
      </x:c>
      <x:c r="C357" s="3" t="s">
        <x:v>298</x:v>
      </x:c>
      <x:c r="D357" s="3" t="s">
        <x:v>299</x:v>
      </x:c>
      <x:c r="E357" s="3" t="s">
        <x:v>249</x:v>
      </x:c>
      <x:c r="F357" s="3" t="s">
        <x:v>99</x:v>
      </x:c>
      <x:c r="G357" s="3" t="s">
        <x:v>300</x:v>
      </x:c>
      <x:c r="H357" s="3" t="s">
        <x:v>301</x:v>
      </x:c>
      <x:c r="I357" s="3" t="s">
        <x:v>302</x:v>
      </x:c>
      <x:c r="J357" s="3" t="s">
        <x:v>303</x:v>
      </x:c>
      <x:c r="K357" s="3" t="s">
        <x:v>104</x:v>
      </x:c>
      <x:c r="L357" s="3" t="s">
        <x:v>304</x:v>
      </x:c>
      <x:c r="M357" s="3" t="s">
        <x:v>305</x:v>
      </x:c>
      <x:c r="N357" s="3" t="s">
        <x:v>306</x:v>
      </x:c>
      <x:c r="O357" s="3" t="s">
        <x:v>307</x:v>
      </x:c>
      <x:c r="P357" s="3" t="s">
        <x:v>308</x:v>
      </x:c>
      <x:c r="Q357" s="3" t="s">
        <x:v>309</x:v>
      </x:c>
      <x:c r="R357" s="3" t="s">
        <x:v>310</x:v>
      </x:c>
      <x:c r="S357" s="3" t="s">
        <x:v>135</x:v>
      </x:c>
      <x:c r="T357" s="3" t="s">
        <x:v>111</x:v>
      </x:c>
      <x:c r="U357" s="3" t="s">
        <x:v>311</x:v>
      </x:c>
      <x:c r="V357" s="3" t="s">
        <x:v>312</x:v>
      </x:c>
      <x:c r="W357" s="3" t="s">
        <x:v>313</x:v>
      </x:c>
      <x:c r="X357" s="3" t="s">
        <x:v>314</x:v>
      </x:c>
      <x:c r="Y357" s="3" t="s">
        <x:v>315</x:v>
      </x:c>
      <x:c r="Z357" s="3" t="s">
        <x:v>316</x:v>
      </x:c>
      <x:c r="AA357" s="3" t="s">
        <x:v>317</x:v>
      </x:c>
      <x:c r="AB357" s="7" t="n">
        <x:v>46273.3180555556</x:v>
      </x:c>
      <x:c r="AC357" s="7" t="n">
        <x:v>46273.3208333333</x:v>
      </x:c>
      <x:c r="AD357" s="7" t="n">
        <x:v>46273.3270833333</x:v>
      </x:c>
      <x:c r="AE357" s="7" t="n">
        <x:v>46273.3472222222</x:v>
      </x:c>
      <x:c r="AF357" s="7" t="n">
        <x:v>46273.3951388889</x:v>
      </x:c>
      <x:c r="AG357" s="3" t="n">
        <x:v>42</x:v>
      </x:c>
      <x:c r="AH357" s="3" t="n">
        <x:v>59</x:v>
      </x:c>
      <x:c r="AI357" s="3" t="s">
        <x:v>135</x:v>
      </x:c>
      <x:c r="AJ357" s="3" t="s">
        <x:v>111</x:v>
      </x:c>
      <x:c r="AK357" s="3" t="n">
        <x:v>180</x:v>
      </x:c>
      <x:c r="AL357" s="3" t="n">
        <x:v>0</x:v>
      </x:c>
      <x:c r="AM357" s="8" t="n">
        <x:v>0.5611</x:v>
      </x:c>
      <x:c r="AN357" s="3" t="n">
        <x:v>1</x:v>
      </x:c>
      <x:c r="AO357" s="3" t="s">
        <x:v>9</x:v>
      </x:c>
      <x:c r="AP357" s="3" t="s">
        <x:v>584</x:v>
      </x:c>
      <x:c r="AQ357" s="3" t="s">
        <x:v>603</x:v>
      </x:c>
      <x:c r="AR357" s="9" t="n">
        <x:v>1253.8</x:v>
      </x:c>
      <x:c r="AS357" s="3" t="s">
        <x:v>121</x:v>
      </x:c>
      <x:c r="AT357" s="7" t="n">
        <x:v>46301.9166666667</x:v>
      </x:c>
    </x:row>
    <x:row r="358" ht="31.299999237060547" hidden="0">
      <x:c r="A358" s="3" t="s">
        <x:v>866</x:v>
      </x:c>
      <x:c r="B358" s="3" t="s">
        <x:v>83</x:v>
      </x:c>
      <x:c r="C358" s="3" t="s">
        <x:v>96</x:v>
      </x:c>
      <x:c r="D358" s="3" t="s">
        <x:v>97</x:v>
      </x:c>
      <x:c r="E358" s="3" t="s">
        <x:v>249</x:v>
      </x:c>
      <x:c r="F358" s="3" t="s">
        <x:v>127</x:v>
      </x:c>
      <x:c r="G358" s="3" t="s">
        <x:v>379</x:v>
      </x:c>
      <x:c r="H358" s="3" t="s">
        <x:v>339</x:v>
      </x:c>
      <x:c r="I358" s="3" t="s">
        <x:v>102</x:v>
      </x:c>
      <x:c r="J358" s="3" t="s">
        <x:v>103</x:v>
      </x:c>
      <x:c r="K358" s="3" t="s">
        <x:v>104</x:v>
      </x:c>
      <x:c r="L358" s="3" t="s">
        <x:v>105</x:v>
      </x:c>
      <x:c r="M358" s="3" t="s">
        <x:v>106</x:v>
      </x:c>
      <x:c r="N358" s="3" t="s">
        <x:v>107</x:v>
      </x:c>
      <x:c r="O358" s="3" t="s">
        <x:v>108</x:v>
      </x:c>
      <x:c r="P358" s="3" t="s">
        <x:v>109</x:v>
      </x:c>
      <x:c r="Q358" s="3" t="s">
        <x:v>250</x:v>
      </x:c>
      <x:c r="R358" s="3" t="s">
        <x:v>380</x:v>
      </x:c>
      <x:c r="S358" s="3" t="s">
        <x:v>111</x:v>
      </x:c>
      <x:c r="T358" s="3" t="s">
        <x:v>111</x:v>
      </x:c>
      <x:c r="U358" s="3" t="s">
        <x:v>381</x:v>
      </x:c>
      <x:c r="V358" s="3" t="s">
        <x:v>312</x:v>
      </x:c>
      <x:c r="W358" s="3" t="s">
        <x:v>351</x:v>
      </x:c>
      <x:c r="X358" s="3" t="s">
        <x:v>314</x:v>
      </x:c>
      <x:c r="Y358" s="3" t="s">
        <x:v>352</x:v>
      </x:c>
      <x:c r="Z358" s="3" t="s">
        <x:v>384</x:v>
      </x:c>
      <x:c r="AA358" s="3" t="s">
        <x:v>385</x:v>
      </x:c>
      <x:c r="AB358" s="7" t="n">
        <x:v>46273.3277777778</x:v>
      </x:c>
      <x:c r="AC358" s="7" t="n">
        <x:v>46273.33125</x:v>
      </x:c>
      <x:c r="AD358" s="7" t="n">
        <x:v>46273.3333333333</x:v>
      </x:c>
      <x:c r="AE358" s="7" t="n">
        <x:v>46273.35</x:v>
      </x:c>
      <x:c r="AF358" s="7" t="n">
        <x:v>46273.3805555556</x:v>
      </x:c>
      <x:c r="AG358" s="3" t="n">
        <x:v>32</x:v>
      </x:c>
      <x:c r="AH358" s="3" t="n">
        <x:v>35</x:v>
      </x:c>
      <x:c r="AI358" s="3" t="s">
        <x:v>111</x:v>
      </x:c>
      <x:c r="AJ358" s="3" t="s">
        <x:v>111</x:v>
      </x:c>
      <x:c r="AK358" s="3" t="n">
        <x:v>60</x:v>
      </x:c>
      <x:c r="AL358" s="3" t="n">
        <x:v>0</x:v>
      </x:c>
      <x:c r="AM358" s="8" t="n">
        <x:v>1.1167</x:v>
      </x:c>
      <x:c r="AN358" s="3" t="n">
        <x:v>0</x:v>
      </x:c>
      <x:c r="AO358" s="3" t="s">
        <x:v>24</x:v>
      </x:c>
      <x:c r="AP358" s="3" t="s">
        <x:v>421</x:v>
      </x:c>
      <x:c r="AQ358" s="3" t="s">
        <x:v>422</x:v>
      </x:c>
      <x:c r="AR358" s="9" t="n">
        <x:v>976</x:v>
      </x:c>
      <x:c r="AS358" s="3" t="s">
        <x:v>185</x:v>
      </x:c>
      <x:c r="AT358" s="7" t="n">
        <x:v>46301.9166666667</x:v>
      </x:c>
    </x:row>
    <x:row r="359" ht="31.299999237060547" hidden="0">
      <x:c r="A359" s="3" t="s">
        <x:v>867</x:v>
      </x:c>
      <x:c r="B359" s="3" t="s">
        <x:v>187</x:v>
      </x:c>
      <x:c r="C359" s="3" t="s">
        <x:v>188</x:v>
      </x:c>
      <x:c r="D359" s="3" t="s">
        <x:v>189</x:v>
      </x:c>
      <x:c r="E359" s="3" t="s">
        <x:v>249</x:v>
      </x:c>
      <x:c r="F359" s="3" t="s">
        <x:v>127</x:v>
      </x:c>
      <x:c r="G359" s="3" t="s">
        <x:v>458</x:v>
      </x:c>
      <x:c r="H359" s="3" t="s">
        <x:v>339</x:v>
      </x:c>
      <x:c r="I359" s="3" t="s">
        <x:v>102</x:v>
      </x:c>
      <x:c r="J359" s="3" t="s">
        <x:v>103</x:v>
      </x:c>
      <x:c r="K359" s="3" t="s">
        <x:v>104</x:v>
      </x:c>
      <x:c r="L359" s="3" t="s">
        <x:v>191</x:v>
      </x:c>
      <x:c r="M359" s="3" t="s">
        <x:v>192</x:v>
      </x:c>
      <x:c r="N359" s="3" t="s">
        <x:v>193</x:v>
      </x:c>
      <x:c r="O359" s="3" t="s">
        <x:v>194</x:v>
      </x:c>
      <x:c r="P359" s="3" t="s">
        <x:v>195</x:v>
      </x:c>
      <x:c r="Q359" s="3" t="s">
        <x:v>273</x:v>
      </x:c>
      <x:c r="R359" s="3" t="s">
        <x:v>391</x:v>
      </x:c>
      <x:c r="S359" s="3" t="s">
        <x:v>135</x:v>
      </x:c>
      <x:c r="T359" s="3" t="s">
        <x:v>135</x:v>
      </x:c>
      <x:c r="U359" s="3" t="s">
        <x:v>392</x:v>
      </x:c>
      <x:c r="V359" s="3" t="s">
        <x:v>312</x:v>
      </x:c>
      <x:c r="W359" s="3" t="s">
        <x:v>351</x:v>
      </x:c>
      <x:c r="X359" s="3" t="s">
        <x:v>314</x:v>
      </x:c>
      <x:c r="Y359" s="3" t="s">
        <x:v>352</x:v>
      </x:c>
      <x:c r="Z359" s="3" t="s">
        <x:v>393</x:v>
      </x:c>
      <x:c r="AA359" s="3" t="s">
        <x:v>394</x:v>
      </x:c>
      <x:c r="AB359" s="7" t="n">
        <x:v>46273.3895833333</x:v>
      </x:c>
      <x:c r="AC359" s="7" t="n">
        <x:v>46273.39375</x:v>
      </x:c>
      <x:c r="AD359" s="7" t="n">
        <x:v>46273.3965277778</x:v>
      </x:c>
      <x:c r="AE359" s="7" t="n">
        <x:v>46273.4277777778</x:v>
      </x:c>
      <x:c r="AF359" s="7" t="n">
        <x:v>46273.4708333333</x:v>
      </x:c>
      <x:c r="AG359" s="3" t="n">
        <x:v>55</x:v>
      </x:c>
      <x:c r="AH359" s="3" t="n">
        <x:v>59</x:v>
      </x:c>
      <x:c r="AI359" s="3" t="s">
        <x:v>135</x:v>
      </x:c>
      <x:c r="AJ359" s="3" t="s">
        <x:v>111</x:v>
      </x:c>
      <x:c r="AK359" s="3" t="n">
        <x:v>150</x:v>
      </x:c>
      <x:c r="AL359" s="3" t="n">
        <x:v>0</x:v>
      </x:c>
      <x:c r="AM359" s="8" t="n">
        <x:v>0.76</x:v>
      </x:c>
      <x:c r="AN359" s="3" t="n">
        <x:v>0</x:v>
      </x:c>
      <x:c r="AO359" s="3" t="s">
        <x:v>14</x:v>
      </x:c>
      <x:c r="AP359" s="3" t="s">
        <x:v>318</x:v>
      </x:c>
      <x:c r="AQ359" s="3" t="s">
        <x:v>386</x:v>
      </x:c>
      <x:c r="AR359" s="9" t="n">
        <x:v>1312.3</x:v>
      </x:c>
      <x:c r="AS359" s="3" t="s">
        <x:v>185</x:v>
      </x:c>
      <x:c r="AT359" s="7" t="n">
        <x:v>46301.9166666667</x:v>
      </x:c>
    </x:row>
    <x:row r="360" ht="31.299999237060547" hidden="0">
      <x:c r="A360" s="3" t="s">
        <x:v>868</x:v>
      </x:c>
      <x:c r="B360" s="3" t="s">
        <x:v>83</x:v>
      </x:c>
      <x:c r="C360" s="3" t="s">
        <x:v>96</x:v>
      </x:c>
      <x:c r="D360" s="3" t="s">
        <x:v>97</x:v>
      </x:c>
      <x:c r="E360" s="3" t="s">
        <x:v>249</x:v>
      </x:c>
      <x:c r="F360" s="3" t="s">
        <x:v>99</x:v>
      </x:c>
      <x:c r="G360" s="3" t="s">
        <x:v>428</x:v>
      </x:c>
      <x:c r="H360" s="3" t="s">
        <x:v>339</x:v>
      </x:c>
      <x:c r="I360" s="3" t="s">
        <x:v>102</x:v>
      </x:c>
      <x:c r="J360" s="3" t="s">
        <x:v>103</x:v>
      </x:c>
      <x:c r="K360" s="3" t="s">
        <x:v>104</x:v>
      </x:c>
      <x:c r="L360" s="3" t="s">
        <x:v>105</x:v>
      </x:c>
      <x:c r="M360" s="3" t="s">
        <x:v>106</x:v>
      </x:c>
      <x:c r="N360" s="3" t="s">
        <x:v>107</x:v>
      </x:c>
      <x:c r="O360" s="3" t="s">
        <x:v>108</x:v>
      </x:c>
      <x:c r="P360" s="3" t="s">
        <x:v>109</x:v>
      </x:c>
      <x:c r="Q360" s="3" t="s">
        <x:v>250</x:v>
      </x:c>
      <x:c r="R360" s="3" t="s">
        <x:v>214</x:v>
      </x:c>
      <x:c r="S360" s="3" t="s">
        <x:v>135</x:v>
      </x:c>
      <x:c r="T360" s="3" t="s">
        <x:v>111</x:v>
      </x:c>
      <x:c r="U360" s="3" t="s">
        <x:v>215</x:v>
      </x:c>
      <x:c r="V360" s="3" t="s">
        <x:v>216</x:v>
      </x:c>
      <x:c r="W360" s="3" t="s">
        <x:v>429</x:v>
      </x:c>
      <x:c r="X360" s="3" t="s">
        <x:v>430</x:v>
      </x:c>
      <x:c r="Y360" s="3" t="s">
        <x:v>431</x:v>
      </x:c>
      <x:c r="Z360" s="3" t="s">
        <x:v>219</x:v>
      </x:c>
      <x:c r="AA360" s="3" t="s">
        <x:v>118</x:v>
      </x:c>
      <x:c r="AB360" s="7" t="n">
        <x:v>46273.3909722222</x:v>
      </x:c>
      <x:c r="AC360" s="7" t="n">
        <x:v>46273.3958333333</x:v>
      </x:c>
      <x:c r="AD360" s="7" t="n">
        <x:v>46273.4</x:v>
      </x:c>
      <x:c r="AE360" s="7" t="n">
        <x:v>46273.4222222222</x:v>
      </x:c>
      <x:c r="AF360" s="7" t="n">
        <x:v>46273.4416666667</x:v>
      </x:c>
      <x:c r="AG360" s="3" t="n">
        <x:v>45</x:v>
      </x:c>
      <x:c r="AH360" s="3" t="n">
        <x:v>18</x:v>
      </x:c>
      <x:c r="AI360" s="3" t="s">
        <x:v>111</x:v>
      </x:c>
      <x:c r="AJ360" s="3" t="s">
        <x:v>111</x:v>
      </x:c>
      <x:c r="AK360" s="3" t="n">
        <x:v>60</x:v>
      </x:c>
      <x:c r="AL360" s="3" t="n">
        <x:v>0</x:v>
      </x:c>
      <x:c r="AM360" s="8" t="n">
        <x:v>1.05</x:v>
      </x:c>
      <x:c r="AN360" s="3" t="n">
        <x:v>0</x:v>
      </x:c>
      <x:c r="AO360" s="3" t="s">
        <x:v>24</x:v>
      </x:c>
      <x:c r="AP360" s="3" t="s">
        <x:v>421</x:v>
      </x:c>
      <x:c r="AQ360" s="3" t="s">
        <x:v>422</x:v>
      </x:c>
      <x:c r="AR360" s="9" t="n">
        <x:v>912.1</x:v>
      </x:c>
      <x:c r="AS360" s="3" t="s">
        <x:v>185</x:v>
      </x:c>
      <x:c r="AT360" s="7" t="n">
        <x:v>46301.9166666667</x:v>
      </x:c>
    </x:row>
    <x:row r="361" ht="31.299999237060547" hidden="0">
      <x:c r="A361" s="3" t="s">
        <x:v>869</x:v>
      </x:c>
      <x:c r="B361" s="3" t="s">
        <x:v>297</x:v>
      </x:c>
      <x:c r="C361" s="3" t="s">
        <x:v>298</x:v>
      </x:c>
      <x:c r="D361" s="3" t="s">
        <x:v>299</x:v>
      </x:c>
      <x:c r="E361" s="3" t="s">
        <x:v>249</x:v>
      </x:c>
      <x:c r="F361" s="3" t="s">
        <x:v>99</x:v>
      </x:c>
      <x:c r="G361" s="3" t="s">
        <x:v>390</x:v>
      </x:c>
      <x:c r="H361" s="3" t="s">
        <x:v>301</x:v>
      </x:c>
      <x:c r="I361" s="3" t="s">
        <x:v>302</x:v>
      </x:c>
      <x:c r="J361" s="3" t="s">
        <x:v>303</x:v>
      </x:c>
      <x:c r="K361" s="3" t="s">
        <x:v>104</x:v>
      </x:c>
      <x:c r="L361" s="3" t="s">
        <x:v>304</x:v>
      </x:c>
      <x:c r="M361" s="3" t="s">
        <x:v>305</x:v>
      </x:c>
      <x:c r="N361" s="3" t="s">
        <x:v>306</x:v>
      </x:c>
      <x:c r="O361" s="3" t="s">
        <x:v>307</x:v>
      </x:c>
      <x:c r="P361" s="3" t="s">
        <x:v>308</x:v>
      </x:c>
      <x:c r="Q361" s="3" t="s">
        <x:v>309</x:v>
      </x:c>
      <x:c r="R361" s="3" t="s">
        <x:v>391</x:v>
      </x:c>
      <x:c r="S361" s="3" t="s">
        <x:v>135</x:v>
      </x:c>
      <x:c r="T361" s="3" t="s">
        <x:v>135</x:v>
      </x:c>
      <x:c r="U361" s="3" t="s">
        <x:v>392</x:v>
      </x:c>
      <x:c r="V361" s="3" t="s">
        <x:v>312</x:v>
      </x:c>
      <x:c r="W361" s="3" t="s">
        <x:v>313</x:v>
      </x:c>
      <x:c r="X361" s="3" t="s">
        <x:v>314</x:v>
      </x:c>
      <x:c r="Y361" s="3" t="s">
        <x:v>315</x:v>
      </x:c>
      <x:c r="Z361" s="3" t="s">
        <x:v>393</x:v>
      </x:c>
      <x:c r="AA361" s="3" t="s">
        <x:v>394</x:v>
      </x:c>
      <x:c r="AB361" s="7" t="n">
        <x:v>46273.4041666667</x:v>
      </x:c>
      <x:c r="AC361" s="7" t="n">
        <x:v>46273.4083333333</x:v>
      </x:c>
      <x:c r="AD361" s="7" t="n">
        <x:v>46273.4131944444</x:v>
      </x:c>
      <x:c r="AE361" s="7" t="n">
        <x:v>46273.4423611111</x:v>
      </x:c>
      <x:c r="AF361" s="7" t="n">
        <x:v>46273.5006944445</x:v>
      </x:c>
      <x:c r="AG361" s="3" t="n">
        <x:v>55</x:v>
      </x:c>
      <x:c r="AH361" s="3" t="n">
        <x:v>74</x:v>
      </x:c>
      <x:c r="AI361" s="3" t="s">
        <x:v>135</x:v>
      </x:c>
      <x:c r="AJ361" s="3" t="s">
        <x:v>111</x:v>
      </x:c>
      <x:c r="AK361" s="3" t="n">
        <x:v>180</x:v>
      </x:c>
      <x:c r="AL361" s="3" t="n">
        <x:v>0</x:v>
      </x:c>
      <x:c r="AM361" s="8" t="n">
        <x:v>0.7167</x:v>
      </x:c>
      <x:c r="AN361" s="3" t="n">
        <x:v>1</x:v>
      </x:c>
      <x:c r="AO361" s="3" t="s">
        <x:v>14</x:v>
      </x:c>
      <x:c r="AP361" s="3" t="s">
        <x:v>664</x:v>
      </x:c>
      <x:c r="AQ361" s="3" t="s">
        <x:v>603</x:v>
      </x:c>
      <x:c r="AR361" s="9" t="n">
        <x:v>1420.3</x:v>
      </x:c>
      <x:c r="AS361" s="3" t="s">
        <x:v>121</x:v>
      </x:c>
      <x:c r="AT361" s="7" t="n">
        <x:v>46301.9166666667</x:v>
      </x:c>
    </x:row>
    <x:row r="362" ht="31.299999237060547" hidden="0">
      <x:c r="A362" s="3" t="s">
        <x:v>870</x:v>
      </x:c>
      <x:c r="B362" s="3" t="s">
        <x:v>222</x:v>
      </x:c>
      <x:c r="C362" s="3" t="s">
        <x:v>223</x:v>
      </x:c>
      <x:c r="D362" s="3" t="s">
        <x:v>224</x:v>
      </x:c>
      <x:c r="E362" s="3" t="s">
        <x:v>249</x:v>
      </x:c>
      <x:c r="F362" s="3" t="s">
        <x:v>127</x:v>
      </x:c>
      <x:c r="G362" s="3" t="s">
        <x:v>726</x:v>
      </x:c>
      <x:c r="H362" s="3" t="s">
        <x:v>343</x:v>
      </x:c>
      <x:c r="I362" s="3" t="s">
        <x:v>102</x:v>
      </x:c>
      <x:c r="J362" s="3" t="s">
        <x:v>103</x:v>
      </x:c>
      <x:c r="K362" s="3" t="s">
        <x:v>104</x:v>
      </x:c>
      <x:c r="L362" s="3" t="s">
        <x:v>226</x:v>
      </x:c>
      <x:c r="M362" s="3" t="s">
        <x:v>227</x:v>
      </x:c>
      <x:c r="N362" s="3" t="s">
        <x:v>228</x:v>
      </x:c>
      <x:c r="O362" s="3" t="s">
        <x:v>229</x:v>
      </x:c>
      <x:c r="P362" s="3" t="s">
        <x:v>230</x:v>
      </x:c>
      <x:c r="Q362" s="3" t="s">
        <x:v>274</x:v>
      </x:c>
      <x:c r="R362" s="3" t="s">
        <x:v>110</x:v>
      </x:c>
      <x:c r="S362" s="3" t="s">
        <x:v>111</x:v>
      </x:c>
      <x:c r="T362" s="3" t="s">
        <x:v>111</x:v>
      </x:c>
      <x:c r="U362" s="3" t="s">
        <x:v>112</x:v>
      </x:c>
      <x:c r="V362" s="3" t="s">
        <x:v>113</x:v>
      </x:c>
      <x:c r="W362" s="3" t="s">
        <x:v>419</x:v>
      </x:c>
      <x:c r="X362" s="3" t="s">
        <x:v>115</x:v>
      </x:c>
      <x:c r="Y362" s="3" t="s">
        <x:v>420</x:v>
      </x:c>
      <x:c r="Z362" s="3" t="s">
        <x:v>117</x:v>
      </x:c>
      <x:c r="AA362" s="3" t="s">
        <x:v>118</x:v>
      </x:c>
      <x:c r="AB362" s="7" t="n">
        <x:v>46273.5083333333</x:v>
      </x:c>
      <x:c r="AC362" s="7" t="n">
        <x:v>46273.5118055556</x:v>
      </x:c>
      <x:c r="AD362" s="7" t="n">
        <x:v>46273.5180555556</x:v>
      </x:c>
      <x:c r="AE362" s="7" t="n">
        <x:v>46273.5368055556</x:v>
      </x:c>
      <x:c r="AF362" s="7" t="n">
        <x:v>46273.5777777778</x:v>
      </x:c>
      <x:c r="AG362" s="3" t="n">
        <x:v>41</x:v>
      </x:c>
      <x:c r="AH362" s="3" t="n">
        <x:v>54</x:v>
      </x:c>
      <x:c r="AI362" s="3" t="s">
        <x:v>135</x:v>
      </x:c>
      <x:c r="AJ362" s="3" t="s">
        <x:v>135</x:v>
      </x:c>
      <x:c r="AK362" s="3" t="n">
        <x:v>120</x:v>
      </x:c>
      <x:c r="AL362" s="3" t="n">
        <x:v>0</x:v>
      </x:c>
      <x:c r="AM362" s="8" t="n">
        <x:v>0.7917</x:v>
      </x:c>
      <x:c r="AN362" s="3" t="n">
        <x:v>0</x:v>
      </x:c>
      <x:c r="AO362" s="3" t="s">
        <x:v>14</x:v>
      </x:c>
      <x:c r="AP362" s="3" t="s">
        <x:v>347</x:v>
      </x:c>
      <x:c r="AQ362" s="3" t="s">
        <x:v>370</x:v>
      </x:c>
      <x:c r="AR362" s="9" t="n">
        <x:v>833.3</x:v>
      </x:c>
      <x:c r="AS362" s="3" t="s">
        <x:v>185</x:v>
      </x:c>
      <x:c r="AT362" s="7" t="n">
        <x:v>46301.9166666667</x:v>
      </x:c>
    </x:row>
    <x:row r="363" ht="31.299999237060547" hidden="0">
      <x:c r="A363" s="3" t="s">
        <x:v>871</x:v>
      </x:c>
      <x:c r="B363" s="3" t="s">
        <x:v>397</x:v>
      </x:c>
      <x:c r="C363" s="3" t="s">
        <x:v>398</x:v>
      </x:c>
      <x:c r="D363" s="3" t="s">
        <x:v>399</x:v>
      </x:c>
      <x:c r="E363" s="3" t="s">
        <x:v>249</x:v>
      </x:c>
      <x:c r="F363" s="3" t="s">
        <x:v>127</x:v>
      </x:c>
      <x:c r="G363" s="3" t="s">
        <x:v>469</x:v>
      </x:c>
      <x:c r="H363" s="3" t="s">
        <x:v>301</x:v>
      </x:c>
      <x:c r="I363" s="3" t="s">
        <x:v>302</x:v>
      </x:c>
      <x:c r="J363" s="3" t="s">
        <x:v>303</x:v>
      </x:c>
      <x:c r="K363" s="3" t="s">
        <x:v>104</x:v>
      </x:c>
      <x:c r="L363" s="3" t="s">
        <x:v>401</x:v>
      </x:c>
      <x:c r="M363" s="3" t="s">
        <x:v>402</x:v>
      </x:c>
      <x:c r="N363" s="3" t="s">
        <x:v>403</x:v>
      </x:c>
      <x:c r="O363" s="3" t="s">
        <x:v>404</x:v>
      </x:c>
      <x:c r="P363" s="3" t="s">
        <x:v>405</x:v>
      </x:c>
      <x:c r="Q363" s="3" t="s">
        <x:v>406</x:v>
      </x:c>
      <x:c r="R363" s="3" t="s">
        <x:v>110</x:v>
      </x:c>
      <x:c r="S363" s="3" t="s">
        <x:v>111</x:v>
      </x:c>
      <x:c r="T363" s="3" t="s">
        <x:v>111</x:v>
      </x:c>
      <x:c r="U363" s="3" t="s">
        <x:v>112</x:v>
      </x:c>
      <x:c r="V363" s="3" t="s">
        <x:v>113</x:v>
      </x:c>
      <x:c r="W363" s="3" t="s">
        <x:v>114</x:v>
      </x:c>
      <x:c r="X363" s="3" t="s">
        <x:v>115</x:v>
      </x:c>
      <x:c r="Y363" s="3" t="s">
        <x:v>116</x:v>
      </x:c>
      <x:c r="Z363" s="3" t="s">
        <x:v>117</x:v>
      </x:c>
      <x:c r="AA363" s="3" t="s">
        <x:v>118</x:v>
      </x:c>
      <x:c r="AB363" s="7" t="n">
        <x:v>46273.5208333333</x:v>
      </x:c>
      <x:c r="AC363" s="7" t="n">
        <x:v>46273.5229166667</x:v>
      </x:c>
      <x:c r="AD363" s="7" t="n">
        <x:v>46273.5270833333</x:v>
      </x:c>
      <x:c r="AE363" s="7" t="n">
        <x:v>46273.5326388889</x:v>
      </x:c>
      <x:c r="AF363" s="7" t="n">
        <x:v>46273.5576388889</x:v>
      </x:c>
      <x:c r="AG363" s="3" t="n">
        <x:v>17</x:v>
      </x:c>
      <x:c r="AH363" s="3" t="n">
        <x:v>27</x:v>
      </x:c>
      <x:c r="AI363" s="3" t="s">
        <x:v>135</x:v>
      </x:c>
      <x:c r="AJ363" s="3" t="s">
        <x:v>135</x:v>
      </x:c>
      <x:c r="AK363" s="3" t="n">
        <x:v>120</x:v>
      </x:c>
      <x:c r="AL363" s="3" t="n">
        <x:v>0</x:v>
      </x:c>
      <x:c r="AM363" s="8" t="n">
        <x:v>0.3667</x:v>
      </x:c>
      <x:c r="AN363" s="3" t="n">
        <x:v>3</x:v>
      </x:c>
      <x:c r="AO363" s="3" t="s">
        <x:v>14</x:v>
      </x:c>
      <x:c r="AP363" s="3" t="s">
        <x:v>183</x:v>
      </x:c>
      <x:c r="AQ363" s="3" t="s">
        <x:v>872</x:v>
      </x:c>
      <x:c r="AR363" s="9" t="n">
        <x:v>780.9</x:v>
      </x:c>
      <x:c r="AS363" s="3" t="s">
        <x:v>185</x:v>
      </x:c>
      <x:c r="AT363" s="7" t="n">
        <x:v>46301.9166666667</x:v>
      </x:c>
    </x:row>
    <x:row r="364" ht="31.299999237060547" hidden="0">
      <x:c r="A364" s="3" t="s">
        <x:v>873</x:v>
      </x:c>
      <x:c r="B364" s="3" t="s">
        <x:v>146</x:v>
      </x:c>
      <x:c r="C364" s="3" t="s">
        <x:v>147</x:v>
      </x:c>
      <x:c r="D364" s="3" t="s">
        <x:v>148</x:v>
      </x:c>
      <x:c r="E364" s="3" t="s">
        <x:v>249</x:v>
      </x:c>
      <x:c r="F364" s="3" t="s">
        <x:v>99</x:v>
      </x:c>
      <x:c r="G364" s="3" t="s">
        <x:v>349</x:v>
      </x:c>
      <x:c r="H364" s="3" t="s">
        <x:v>343</x:v>
      </x:c>
      <x:c r="I364" s="3" t="s">
        <x:v>102</x:v>
      </x:c>
      <x:c r="J364" s="3" t="s">
        <x:v>103</x:v>
      </x:c>
      <x:c r="K364" s="3" t="s">
        <x:v>104</x:v>
      </x:c>
      <x:c r="L364" s="3" t="s">
        <x:v>151</x:v>
      </x:c>
      <x:c r="M364" s="3" t="s">
        <x:v>152</x:v>
      </x:c>
      <x:c r="N364" s="3" t="s">
        <x:v>153</x:v>
      </x:c>
      <x:c r="O364" s="3" t="s">
        <x:v>154</x:v>
      </x:c>
      <x:c r="P364" s="3" t="s">
        <x:v>155</x:v>
      </x:c>
      <x:c r="Q364" s="3" t="s">
        <x:v>270</x:v>
      </x:c>
      <x:c r="R364" s="3" t="s">
        <x:v>344</x:v>
      </x:c>
      <x:c r="S364" s="3" t="s">
        <x:v>111</x:v>
      </x:c>
      <x:c r="T364" s="3" t="s">
        <x:v>111</x:v>
      </x:c>
      <x:c r="U364" s="3" t="s">
        <x:v>345</x:v>
      </x:c>
      <x:c r="V364" s="3" t="s">
        <x:v>178</x:v>
      </x:c>
      <x:c r="W364" s="3" t="s">
        <x:v>355</x:v>
      </x:c>
      <x:c r="X364" s="3" t="s">
        <x:v>180</x:v>
      </x:c>
      <x:c r="Y364" s="3" t="s">
        <x:v>356</x:v>
      </x:c>
      <x:c r="Z364" s="3" t="s">
        <x:v>346</x:v>
      </x:c>
      <x:c r="AA364" s="3" t="s">
        <x:v>118</x:v>
      </x:c>
      <x:c r="AB364" s="7" t="n">
        <x:v>46273.5229166667</x:v>
      </x:c>
      <x:c r="AC364" s="7" t="n">
        <x:v>46273.5263888889</x:v>
      </x:c>
      <x:c r="AD364" s="7" t="n">
        <x:v>46273.5298611111</x:v>
      </x:c>
      <x:c r="AE364" s="7" t="n">
        <x:v>46273.5506944444</x:v>
      </x:c>
      <x:c r="AF364" s="7" t="n">
        <x:v>46273.5972222222</x:v>
      </x:c>
      <x:c r="AG364" s="3" t="n">
        <x:v>40</x:v>
      </x:c>
      <x:c r="AH364" s="3" t="n">
        <x:v>61</x:v>
      </x:c>
      <x:c r="AI364" s="3" t="s">
        <x:v>135</x:v>
      </x:c>
      <x:c r="AJ364" s="3" t="s">
        <x:v>135</x:v>
      </x:c>
      <x:c r="AK364" s="3" t="n">
        <x:v>120</x:v>
      </x:c>
      <x:c r="AL364" s="3" t="n">
        <x:v>0</x:v>
      </x:c>
      <x:c r="AM364" s="8" t="n">
        <x:v>0.8417</x:v>
      </x:c>
      <x:c r="AN364" s="3" t="n">
        <x:v>1</x:v>
      </x:c>
      <x:c r="AO364" s="3" t="s">
        <x:v>14</x:v>
      </x:c>
      <x:c r="AP364" s="3" t="s">
        <x:v>471</x:v>
      </x:c>
      <x:c r="AQ364" s="3" t="s">
        <x:v>533</x:v>
      </x:c>
      <x:c r="AR364" s="9" t="n">
        <x:v>879.2</x:v>
      </x:c>
      <x:c r="AS364" s="3" t="s">
        <x:v>185</x:v>
      </x:c>
      <x:c r="AT364" s="7" t="n">
        <x:v>46301.9166666667</x:v>
      </x:c>
    </x:row>
    <x:row r="365" ht="31.299999237060547" hidden="0">
      <x:c r="A365" s="3" t="s">
        <x:v>874</x:v>
      </x:c>
      <x:c r="B365" s="3" t="s">
        <x:v>166</x:v>
      </x:c>
      <x:c r="C365" s="3" t="s">
        <x:v>167</x:v>
      </x:c>
      <x:c r="D365" s="3" t="s">
        <x:v>168</x:v>
      </x:c>
      <x:c r="E365" s="3" t="s">
        <x:v>249</x:v>
      </x:c>
      <x:c r="F365" s="3" t="s">
        <x:v>127</x:v>
      </x:c>
      <x:c r="G365" s="3" t="s">
        <x:v>598</x:v>
      </x:c>
      <x:c r="H365" s="3" t="s">
        <x:v>301</x:v>
      </x:c>
      <x:c r="I365" s="3" t="s">
        <x:v>302</x:v>
      </x:c>
      <x:c r="J365" s="3" t="s">
        <x:v>303</x:v>
      </x:c>
      <x:c r="K365" s="3" t="s">
        <x:v>104</x:v>
      </x:c>
      <x:c r="L365" s="3" t="s">
        <x:v>171</x:v>
      </x:c>
      <x:c r="M365" s="3" t="s">
        <x:v>172</x:v>
      </x:c>
      <x:c r="N365" s="3" t="s">
        <x:v>173</x:v>
      </x:c>
      <x:c r="O365" s="3" t="s">
        <x:v>174</x:v>
      </x:c>
      <x:c r="P365" s="3" t="s">
        <x:v>175</x:v>
      </x:c>
      <x:c r="Q365" s="3" t="s">
        <x:v>271</x:v>
      </x:c>
      <x:c r="R365" s="3" t="s">
        <x:v>196</x:v>
      </x:c>
      <x:c r="S365" s="3" t="s">
        <x:v>111</x:v>
      </x:c>
      <x:c r="T365" s="3" t="s">
        <x:v>111</x:v>
      </x:c>
      <x:c r="U365" s="3" t="s">
        <x:v>197</x:v>
      </x:c>
      <x:c r="V365" s="3" t="s">
        <x:v>198</x:v>
      </x:c>
      <x:c r="W365" s="3" t="s">
        <x:v>199</x:v>
      </x:c>
      <x:c r="X365" s="3" t="s">
        <x:v>366</x:v>
      </x:c>
      <x:c r="Y365" s="3" t="s">
        <x:v>527</x:v>
      </x:c>
      <x:c r="Z365" s="3" t="s">
        <x:v>201</x:v>
      </x:c>
      <x:c r="AA365" s="3" t="s">
        <x:v>368</x:v>
      </x:c>
      <x:c r="AB365" s="7" t="n">
        <x:v>46273.5256944444</x:v>
      </x:c>
      <x:c r="AC365" s="7" t="n">
        <x:v>46273.5284722222</x:v>
      </x:c>
      <x:c r="AD365" s="7" t="n">
        <x:v>46273.5333333333</x:v>
      </x:c>
      <x:c r="AE365" s="7" t="n">
        <x:v>46273.5513888889</x:v>
      </x:c>
      <x:c r="AF365" s="7" t="n">
        <x:v>46273.5861111111</x:v>
      </x:c>
      <x:c r="AG365" s="3" t="n">
        <x:v>37</x:v>
      </x:c>
      <x:c r="AH365" s="3" t="n">
        <x:v>44</x:v>
      </x:c>
      <x:c r="AI365" s="3" t="s">
        <x:v>135</x:v>
      </x:c>
      <x:c r="AJ365" s="3" t="s">
        <x:v>135</x:v>
      </x:c>
      <x:c r="AK365" s="3" t="n">
        <x:v>120</x:v>
      </x:c>
      <x:c r="AL365" s="3" t="n">
        <x:v>0</x:v>
      </x:c>
      <x:c r="AM365" s="8" t="n">
        <x:v>0.675</x:v>
      </x:c>
      <x:c r="AN365" s="3" t="n">
        <x:v>0</x:v>
      </x:c>
      <x:c r="AO365" s="3" t="s">
        <x:v>14</x:v>
      </x:c>
      <x:c r="AP365" s="3" t="s">
        <x:v>347</x:v>
      </x:c>
      <x:c r="AQ365" s="3" t="s">
        <x:v>340</x:v>
      </x:c>
      <x:c r="AR365" s="9" t="n">
        <x:v>1123.3</x:v>
      </x:c>
      <x:c r="AS365" s="3" t="s">
        <x:v>185</x:v>
      </x:c>
      <x:c r="AT365" s="7" t="n">
        <x:v>46301.9166666667</x:v>
      </x:c>
    </x:row>
    <x:row r="366" ht="31.299999237060547" hidden="0">
      <x:c r="A366" s="3" t="s">
        <x:v>875</x:v>
      </x:c>
      <x:c r="B366" s="3" t="s">
        <x:v>146</x:v>
      </x:c>
      <x:c r="C366" s="3" t="s">
        <x:v>147</x:v>
      </x:c>
      <x:c r="D366" s="3" t="s">
        <x:v>148</x:v>
      </x:c>
      <x:c r="E366" s="3" t="s">
        <x:v>249</x:v>
      </x:c>
      <x:c r="F366" s="3" t="s">
        <x:v>169</x:v>
      </x:c>
      <x:c r="G366" s="3" t="s">
        <x:v>349</x:v>
      </x:c>
      <x:c r="H366" s="3" t="s">
        <x:v>343</x:v>
      </x:c>
      <x:c r="I366" s="3" t="s">
        <x:v>102</x:v>
      </x:c>
      <x:c r="J366" s="3" t="s">
        <x:v>103</x:v>
      </x:c>
      <x:c r="K366" s="3" t="s">
        <x:v>104</x:v>
      </x:c>
      <x:c r="L366" s="3" t="s">
        <x:v>151</x:v>
      </x:c>
      <x:c r="M366" s="3" t="s">
        <x:v>152</x:v>
      </x:c>
      <x:c r="N366" s="3" t="s">
        <x:v>153</x:v>
      </x:c>
      <x:c r="O366" s="3" t="s">
        <x:v>154</x:v>
      </x:c>
      <x:c r="P366" s="3" t="s">
        <x:v>155</x:v>
      </x:c>
      <x:c r="Q366" s="3" t="s">
        <x:v>270</x:v>
      </x:c>
      <x:c r="R366" s="3" t="s">
        <x:v>344</x:v>
      </x:c>
      <x:c r="S366" s="3" t="s">
        <x:v>111</x:v>
      </x:c>
      <x:c r="T366" s="3" t="s">
        <x:v>111</x:v>
      </x:c>
      <x:c r="U366" s="3" t="s">
        <x:v>345</x:v>
      </x:c>
      <x:c r="V366" s="3" t="s">
        <x:v>178</x:v>
      </x:c>
      <x:c r="W366" s="3" t="s">
        <x:v>179</x:v>
      </x:c>
      <x:c r="X366" s="3" t="s">
        <x:v>180</x:v>
      </x:c>
      <x:c r="Y366" s="3" t="s">
        <x:v>414</x:v>
      </x:c>
      <x:c r="Z366" s="3" t="s">
        <x:v>346</x:v>
      </x:c>
      <x:c r="AA366" s="3" t="s">
        <x:v>118</x:v>
      </x:c>
      <x:c r="AB366" s="7" t="n">
        <x:v>46273.5638888889</x:v>
      </x:c>
      <x:c r="AC366" s="7" t="n">
        <x:v>46273.5652777778</x:v>
      </x:c>
      <x:c r="AD366" s="7" t="n">
        <x:v>46273.56875</x:v>
      </x:c>
      <x:c r="AE366" s="7" t="n">
        <x:v>46273.5895833333</x:v>
      </x:c>
      <x:c r="AF366" s="7" t="n">
        <x:v>46273.6180555556</x:v>
      </x:c>
      <x:c r="AG366" s="3" t="n">
        <x:v>37</x:v>
      </x:c>
      <x:c r="AH366" s="3" t="n">
        <x:v>35</x:v>
      </x:c>
      <x:c r="AI366" s="3" t="s">
        <x:v>135</x:v>
      </x:c>
      <x:c r="AJ366" s="3" t="s">
        <x:v>135</x:v>
      </x:c>
      <x:c r="AK366" s="3" t="n">
        <x:v>120</x:v>
      </x:c>
      <x:c r="AL366" s="3" t="n">
        <x:v>0</x:v>
      </x:c>
      <x:c r="AM366" s="8" t="n">
        <x:v>0.6</x:v>
      </x:c>
      <x:c r="AN366" s="3" t="n">
        <x:v>2</x:v>
      </x:c>
      <x:c r="AO366" s="3" t="s">
        <x:v>14</x:v>
      </x:c>
      <x:c r="AP366" s="3" t="s">
        <x:v>717</x:v>
      </x:c>
      <x:c r="AQ366" s="3" t="s">
        <x:v>533</x:v>
      </x:c>
      <x:c r="AR366" s="9" t="n">
        <x:v>678.5</x:v>
      </x:c>
      <x:c r="AS366" s="3" t="s">
        <x:v>185</x:v>
      </x:c>
      <x:c r="AT366" s="7" t="n">
        <x:v>46301.9166666667</x:v>
      </x:c>
    </x:row>
    <x:row r="367" ht="31.299999237060547" hidden="0">
      <x:c r="A367" s="3" t="s">
        <x:v>876</x:v>
      </x:c>
      <x:c r="B367" s="3" t="s">
        <x:v>321</x:v>
      </x:c>
      <x:c r="C367" s="3" t="s">
        <x:v>322</x:v>
      </x:c>
      <x:c r="D367" s="3" t="s">
        <x:v>323</x:v>
      </x:c>
      <x:c r="E367" s="3" t="s">
        <x:v>249</x:v>
      </x:c>
      <x:c r="F367" s="3" t="s">
        <x:v>127</x:v>
      </x:c>
      <x:c r="G367" s="3" t="s">
        <x:v>489</x:v>
      </x:c>
      <x:c r="H367" s="3" t="s">
        <x:v>301</x:v>
      </x:c>
      <x:c r="I367" s="3" t="s">
        <x:v>302</x:v>
      </x:c>
      <x:c r="J367" s="3" t="s">
        <x:v>303</x:v>
      </x:c>
      <x:c r="K367" s="3" t="s">
        <x:v>104</x:v>
      </x:c>
      <x:c r="L367" s="3" t="s">
        <x:v>325</x:v>
      </x:c>
      <x:c r="M367" s="3" t="s">
        <x:v>326</x:v>
      </x:c>
      <x:c r="N367" s="3" t="s">
        <x:v>131</x:v>
      </x:c>
      <x:c r="O367" s="3" t="s">
        <x:v>327</x:v>
      </x:c>
      <x:c r="P367" s="3" t="s">
        <x:v>328</x:v>
      </x:c>
      <x:c r="Q367" s="3" t="s">
        <x:v>329</x:v>
      </x:c>
      <x:c r="R367" s="3" t="s">
        <x:v>134</x:v>
      </x:c>
      <x:c r="S367" s="3" t="s">
        <x:v>135</x:v>
      </x:c>
      <x:c r="T367" s="3" t="s">
        <x:v>111</x:v>
      </x:c>
      <x:c r="U367" s="3" t="s">
        <x:v>136</x:v>
      </x:c>
      <x:c r="V367" s="3" t="s">
        <x:v>137</x:v>
      </x:c>
      <x:c r="W367" s="3" t="s">
        <x:v>407</x:v>
      </x:c>
      <x:c r="X367" s="3" t="s">
        <x:v>139</x:v>
      </x:c>
      <x:c r="Y367" s="3" t="s">
        <x:v>140</x:v>
      </x:c>
      <x:c r="Z367" s="3" t="s">
        <x:v>141</x:v>
      </x:c>
      <x:c r="AA367" s="3" t="s">
        <x:v>118</x:v>
      </x:c>
      <x:c r="AB367" s="7" t="n">
        <x:v>46273.5659722222</x:v>
      </x:c>
      <x:c r="AC367" s="7" t="n">
        <x:v>46273.5673611111</x:v>
      </x:c>
      <x:c r="AD367" s="7" t="n">
        <x:v>46273.5694444444</x:v>
      </x:c>
      <x:c r="AE367" s="7" t="n">
        <x:v>46273.575</x:v>
      </x:c>
      <x:c r="AF367" s="7" t="n">
        <x:v>46273.5944444445</x:v>
      </x:c>
      <x:c r="AG367" s="3" t="n">
        <x:v>13</x:v>
      </x:c>
      <x:c r="AH367" s="3" t="n">
        <x:v>19</x:v>
      </x:c>
      <x:c r="AI367" s="3" t="s">
        <x:v>135</x:v>
      </x:c>
      <x:c r="AJ367" s="3" t="s">
        <x:v>111</x:v>
      </x:c>
      <x:c r="AK367" s="3" t="n">
        <x:v>180</x:v>
      </x:c>
      <x:c r="AL367" s="3" t="n">
        <x:v>0</x:v>
      </x:c>
      <x:c r="AM367" s="8" t="n">
        <x:v>0.1778</x:v>
      </x:c>
      <x:c r="AN367" s="3" t="n">
        <x:v>0</x:v>
      </x:c>
      <x:c r="AO367" s="3" t="s">
        <x:v>9</x:v>
      </x:c>
      <x:c r="AP367" s="3" t="s">
        <x:v>335</x:v>
      </x:c>
      <x:c r="AQ367" s="3" t="s">
        <x:v>336</x:v>
      </x:c>
      <x:c r="AR367" s="9" t="n">
        <x:v>455.3</x:v>
      </x:c>
      <x:c r="AS367" s="3" t="s">
        <x:v>144</x:v>
      </x:c>
      <x:c r="AT367" s="7" t="n">
        <x:v>46301.9166666667</x:v>
      </x:c>
    </x:row>
    <x:row r="368" ht="31.299999237060547" hidden="0">
      <x:c r="A368" s="3" t="s">
        <x:v>877</x:v>
      </x:c>
      <x:c r="B368" s="3" t="s">
        <x:v>433</x:v>
      </x:c>
      <x:c r="C368" s="3" t="s">
        <x:v>434</x:v>
      </x:c>
      <x:c r="D368" s="3" t="s">
        <x:v>435</x:v>
      </x:c>
      <x:c r="E368" s="3" t="s">
        <x:v>249</x:v>
      </x:c>
      <x:c r="F368" s="3" t="s">
        <x:v>127</x:v>
      </x:c>
      <x:c r="G368" s="3" t="s">
        <x:v>469</x:v>
      </x:c>
      <x:c r="H368" s="3" t="s">
        <x:v>301</x:v>
      </x:c>
      <x:c r="I368" s="3" t="s">
        <x:v>302</x:v>
      </x:c>
      <x:c r="J368" s="3" t="s">
        <x:v>303</x:v>
      </x:c>
      <x:c r="K368" s="3" t="s">
        <x:v>104</x:v>
      </x:c>
      <x:c r="L368" s="3" t="s">
        <x:v>437</x:v>
      </x:c>
      <x:c r="M368" s="3" t="s">
        <x:v>106</x:v>
      </x:c>
      <x:c r="N368" s="3" t="s">
        <x:v>438</x:v>
      </x:c>
      <x:c r="O368" s="3" t="s">
        <x:v>439</x:v>
      </x:c>
      <x:c r="P368" s="3" t="s">
        <x:v>440</x:v>
      </x:c>
      <x:c r="Q368" s="3" t="s">
        <x:v>441</x:v>
      </x:c>
      <x:c r="R368" s="3" t="s">
        <x:v>110</x:v>
      </x:c>
      <x:c r="S368" s="3" t="s">
        <x:v>111</x:v>
      </x:c>
      <x:c r="T368" s="3" t="s">
        <x:v>111</x:v>
      </x:c>
      <x:c r="U368" s="3" t="s">
        <x:v>112</x:v>
      </x:c>
      <x:c r="V368" s="3" t="s">
        <x:v>113</x:v>
      </x:c>
      <x:c r="W368" s="3" t="s">
        <x:v>114</x:v>
      </x:c>
      <x:c r="X368" s="3" t="s">
        <x:v>115</x:v>
      </x:c>
      <x:c r="Y368" s="3" t="s">
        <x:v>116</x:v>
      </x:c>
      <x:c r="Z368" s="3" t="s">
        <x:v>117</x:v>
      </x:c>
      <x:c r="AA368" s="3" t="s">
        <x:v>118</x:v>
      </x:c>
      <x:c r="AB368" s="7" t="n">
        <x:v>46273.5881944444</x:v>
      </x:c>
      <x:c r="AC368" s="7" t="n">
        <x:v>46273.5895833333</x:v>
      </x:c>
      <x:c r="AD368" s="7" t="n">
        <x:v>46273.5923611111</x:v>
      </x:c>
      <x:c r="AE368" s="7" t="n">
        <x:v>46273.5979166667</x:v>
      </x:c>
      <x:c r="AF368" s="7" t="n">
        <x:v>46273.6527777778</x:v>
      </x:c>
      <x:c r="AG368" s="3" t="n">
        <x:v>14</x:v>
      </x:c>
      <x:c r="AH368" s="3" t="n">
        <x:v>73</x:v>
      </x:c>
      <x:c r="AI368" s="3" t="s">
        <x:v>135</x:v>
      </x:c>
      <x:c r="AJ368" s="3" t="s">
        <x:v>135</x:v>
      </x:c>
      <x:c r="AK368" s="3" t="n">
        <x:v>120</x:v>
      </x:c>
      <x:c r="AL368" s="3" t="n">
        <x:v>0</x:v>
      </x:c>
      <x:c r="AM368" s="8" t="n">
        <x:v>0.725</x:v>
      </x:c>
      <x:c r="AN368" s="3" t="n">
        <x:v>2</x:v>
      </x:c>
      <x:c r="AO368" s="3" t="s">
        <x:v>14</x:v>
      </x:c>
      <x:c r="AP368" s="3" t="s">
        <x:v>717</x:v>
      </x:c>
      <x:c r="AQ368" s="3" t="s">
        <x:v>562</x:v>
      </x:c>
      <x:c r="AR368" s="9" t="n">
        <x:v>848.6</x:v>
      </x:c>
      <x:c r="AS368" s="3" t="s">
        <x:v>185</x:v>
      </x:c>
      <x:c r="AT368" s="7" t="n">
        <x:v>46301.9166666667</x:v>
      </x:c>
    </x:row>
    <x:row r="369" ht="31.299999237060547" hidden="0">
      <x:c r="A369" s="3" t="s">
        <x:v>878</x:v>
      </x:c>
      <x:c r="B369" s="3" t="s">
        <x:v>187</x:v>
      </x:c>
      <x:c r="C369" s="3" t="s">
        <x:v>188</x:v>
      </x:c>
      <x:c r="D369" s="3" t="s">
        <x:v>189</x:v>
      </x:c>
      <x:c r="E369" s="3" t="s">
        <x:v>249</x:v>
      </x:c>
      <x:c r="F369" s="3" t="s">
        <x:v>169</x:v>
      </x:c>
      <x:c r="G369" s="3" t="s">
        <x:v>484</x:v>
      </x:c>
      <x:c r="H369" s="3" t="s">
        <x:v>101</x:v>
      </x:c>
      <x:c r="I369" s="3" t="s">
        <x:v>102</x:v>
      </x:c>
      <x:c r="J369" s="3" t="s">
        <x:v>103</x:v>
      </x:c>
      <x:c r="K369" s="3" t="s">
        <x:v>104</x:v>
      </x:c>
      <x:c r="L369" s="3" t="s">
        <x:v>191</x:v>
      </x:c>
      <x:c r="M369" s="3" t="s">
        <x:v>192</x:v>
      </x:c>
      <x:c r="N369" s="3" t="s">
        <x:v>193</x:v>
      </x:c>
      <x:c r="O369" s="3" t="s">
        <x:v>194</x:v>
      </x:c>
      <x:c r="P369" s="3" t="s">
        <x:v>195</x:v>
      </x:c>
      <x:c r="Q369" s="3" t="s">
        <x:v>273</x:v>
      </x:c>
      <x:c r="R369" s="3" t="s">
        <x:v>156</x:v>
      </x:c>
      <x:c r="S369" s="3" t="s">
        <x:v>135</x:v>
      </x:c>
      <x:c r="T369" s="3" t="s">
        <x:v>111</x:v>
      </x:c>
      <x:c r="U369" s="3" t="s">
        <x:v>157</x:v>
      </x:c>
      <x:c r="V369" s="3" t="s">
        <x:v>158</x:v>
      </x:c>
      <x:c r="W369" s="3" t="s">
        <x:v>450</x:v>
      </x:c>
      <x:c r="X369" s="3" t="s">
        <x:v>160</x:v>
      </x:c>
      <x:c r="Y369" s="3" t="s">
        <x:v>451</x:v>
      </x:c>
      <x:c r="Z369" s="3" t="s">
        <x:v>162</x:v>
      </x:c>
      <x:c r="AA369" s="3" t="s">
        <x:v>118</x:v>
      </x:c>
      <x:c r="AB369" s="7" t="n">
        <x:v>46273.6194444444</x:v>
      </x:c>
      <x:c r="AC369" s="7" t="n">
        <x:v>46273.6243055556</x:v>
      </x:c>
      <x:c r="AD369" s="7" t="n">
        <x:v>46273.6263888889</x:v>
      </x:c>
      <x:c r="AE369" s="7" t="n">
        <x:v>46273.6444444444</x:v>
      </x:c>
      <x:c r="AF369" s="7" t="n">
        <x:v>46273.6729166667</x:v>
      </x:c>
      <x:c r="AG369" s="3" t="n">
        <x:v>36</x:v>
      </x:c>
      <x:c r="AH369" s="3" t="n">
        <x:v>35</x:v>
      </x:c>
      <x:c r="AI369" s="3" t="s">
        <x:v>135</x:v>
      </x:c>
      <x:c r="AJ369" s="3" t="s">
        <x:v>111</x:v>
      </x:c>
      <x:c r="AK369" s="3" t="n">
        <x:v>150</x:v>
      </x:c>
      <x:c r="AL369" s="3" t="n">
        <x:v>0</x:v>
      </x:c>
      <x:c r="AM369" s="8" t="n">
        <x:v>0.4733</x:v>
      </x:c>
      <x:c r="AN369" s="3" t="n">
        <x:v>1</x:v>
      </x:c>
      <x:c r="AO369" s="3" t="s">
        <x:v>9</x:v>
      </x:c>
      <x:c r="AP369" s="3" t="s">
        <x:v>584</x:v>
      </x:c>
      <x:c r="AQ369" s="3" t="s">
        <x:v>689</x:v>
      </x:c>
      <x:c r="AR369" s="9" t="n">
        <x:v>1054</x:v>
      </x:c>
      <x:c r="AS369" s="3" t="s">
        <x:v>121</x:v>
      </x:c>
      <x:c r="AT369" s="7" t="n">
        <x:v>46301.9166666667</x:v>
      </x:c>
    </x:row>
    <x:row r="370" ht="31.299999237060547" hidden="0">
      <x:c r="A370" s="3" t="s">
        <x:v>879</x:v>
      </x:c>
      <x:c r="B370" s="3" t="s">
        <x:v>146</x:v>
      </x:c>
      <x:c r="C370" s="3" t="s">
        <x:v>147</x:v>
      </x:c>
      <x:c r="D370" s="3" t="s">
        <x:v>148</x:v>
      </x:c>
      <x:c r="E370" s="3" t="s">
        <x:v>249</x:v>
      </x:c>
      <x:c r="F370" s="3" t="s">
        <x:v>127</x:v>
      </x:c>
      <x:c r="G370" s="3" t="s">
        <x:v>498</x:v>
      </x:c>
      <x:c r="H370" s="3" t="s">
        <x:v>101</x:v>
      </x:c>
      <x:c r="I370" s="3" t="s">
        <x:v>102</x:v>
      </x:c>
      <x:c r="J370" s="3" t="s">
        <x:v>103</x:v>
      </x:c>
      <x:c r="K370" s="3" t="s">
        <x:v>104</x:v>
      </x:c>
      <x:c r="L370" s="3" t="s">
        <x:v>151</x:v>
      </x:c>
      <x:c r="M370" s="3" t="s">
        <x:v>152</x:v>
      </x:c>
      <x:c r="N370" s="3" t="s">
        <x:v>153</x:v>
      </x:c>
      <x:c r="O370" s="3" t="s">
        <x:v>154</x:v>
      </x:c>
      <x:c r="P370" s="3" t="s">
        <x:v>155</x:v>
      </x:c>
      <x:c r="Q370" s="3" t="s">
        <x:v>270</x:v>
      </x:c>
      <x:c r="R370" s="3" t="s">
        <x:v>310</x:v>
      </x:c>
      <x:c r="S370" s="3" t="s">
        <x:v>135</x:v>
      </x:c>
      <x:c r="T370" s="3" t="s">
        <x:v>111</x:v>
      </x:c>
      <x:c r="U370" s="3" t="s">
        <x:v>311</x:v>
      </x:c>
      <x:c r="V370" s="3" t="s">
        <x:v>312</x:v>
      </x:c>
      <x:c r="W370" s="3" t="s">
        <x:v>313</x:v>
      </x:c>
      <x:c r="X370" s="3" t="s">
        <x:v>314</x:v>
      </x:c>
      <x:c r="Y370" s="3" t="s">
        <x:v>315</x:v>
      </x:c>
      <x:c r="Z370" s="3" t="s">
        <x:v>316</x:v>
      </x:c>
      <x:c r="AA370" s="3" t="s">
        <x:v>317</x:v>
      </x:c>
      <x:c r="AB370" s="7" t="n">
        <x:v>46273.6284722222</x:v>
      </x:c>
      <x:c r="AC370" s="7" t="n">
        <x:v>46273.63125</x:v>
      </x:c>
      <x:c r="AD370" s="7" t="n">
        <x:v>46273.6368055556</x:v>
      </x:c>
      <x:c r="AE370" s="7" t="n">
        <x:v>46273.6694444444</x:v>
      </x:c>
      <x:c r="AF370" s="7" t="n">
        <x:v>46273.7270833333</x:v>
      </x:c>
      <x:c r="AG370" s="3" t="n">
        <x:v>59</x:v>
      </x:c>
      <x:c r="AH370" s="3" t="n">
        <x:v>75</x:v>
      </x:c>
      <x:c r="AI370" s="3" t="s">
        <x:v>135</x:v>
      </x:c>
      <x:c r="AJ370" s="3" t="s">
        <x:v>135</x:v>
      </x:c>
      <x:c r="AK370" s="3" t="n">
        <x:v>180</x:v>
      </x:c>
      <x:c r="AL370" s="3" t="n">
        <x:v>0</x:v>
      </x:c>
      <x:c r="AM370" s="8" t="n">
        <x:v>0.7444</x:v>
      </x:c>
      <x:c r="AN370" s="3" t="n">
        <x:v>1</x:v>
      </x:c>
      <x:c r="AO370" s="3" t="s">
        <x:v>14</x:v>
      </x:c>
      <x:c r="AP370" s="3" t="s">
        <x:v>471</x:v>
      </x:c>
      <x:c r="AQ370" s="3" t="s">
        <x:v>533</x:v>
      </x:c>
      <x:c r="AR370" s="9" t="n">
        <x:v>1065.5</x:v>
      </x:c>
      <x:c r="AS370" s="3" t="s">
        <x:v>121</x:v>
      </x:c>
      <x:c r="AT370" s="7" t="n">
        <x:v>46301.9166666667</x:v>
      </x:c>
    </x:row>
    <x:row r="371" ht="31.299999237060547" hidden="0">
      <x:c r="A371" s="3" t="s">
        <x:v>880</x:v>
      </x:c>
      <x:c r="B371" s="3" t="s">
        <x:v>83</x:v>
      </x:c>
      <x:c r="C371" s="3" t="s">
        <x:v>96</x:v>
      </x:c>
      <x:c r="D371" s="3" t="s">
        <x:v>97</x:v>
      </x:c>
      <x:c r="E371" s="3" t="s">
        <x:v>249</x:v>
      </x:c>
      <x:c r="F371" s="3" t="s">
        <x:v>99</x:v>
      </x:c>
      <x:c r="G371" s="3" t="s">
        <x:v>354</x:v>
      </x:c>
      <x:c r="H371" s="3" t="s">
        <x:v>101</x:v>
      </x:c>
      <x:c r="I371" s="3" t="s">
        <x:v>102</x:v>
      </x:c>
      <x:c r="J371" s="3" t="s">
        <x:v>103</x:v>
      </x:c>
      <x:c r="K371" s="3" t="s">
        <x:v>104</x:v>
      </x:c>
      <x:c r="L371" s="3" t="s">
        <x:v>105</x:v>
      </x:c>
      <x:c r="M371" s="3" t="s">
        <x:v>106</x:v>
      </x:c>
      <x:c r="N371" s="3" t="s">
        <x:v>107</x:v>
      </x:c>
      <x:c r="O371" s="3" t="s">
        <x:v>108</x:v>
      </x:c>
      <x:c r="P371" s="3" t="s">
        <x:v>109</x:v>
      </x:c>
      <x:c r="Q371" s="3" t="s">
        <x:v>250</x:v>
      </x:c>
      <x:c r="R371" s="3" t="s">
        <x:v>176</x:v>
      </x:c>
      <x:c r="S371" s="3" t="s">
        <x:v>135</x:v>
      </x:c>
      <x:c r="T371" s="3" t="s">
        <x:v>135</x:v>
      </x:c>
      <x:c r="U371" s="3" t="s">
        <x:v>177</x:v>
      </x:c>
      <x:c r="V371" s="3" t="s">
        <x:v>178</x:v>
      </x:c>
      <x:c r="W371" s="3" t="s">
        <x:v>355</x:v>
      </x:c>
      <x:c r="X371" s="3" t="s">
        <x:v>180</x:v>
      </x:c>
      <x:c r="Y371" s="3" t="s">
        <x:v>356</x:v>
      </x:c>
      <x:c r="Z371" s="3" t="s">
        <x:v>182</x:v>
      </x:c>
      <x:c r="AA371" s="3" t="s">
        <x:v>118</x:v>
      </x:c>
      <x:c r="AB371" s="7" t="n">
        <x:v>46273.6722222222</x:v>
      </x:c>
      <x:c r="AC371" s="7" t="n">
        <x:v>46273.6770833333</x:v>
      </x:c>
      <x:c r="AD371" s="7" t="n">
        <x:v>46273.6805555556</x:v>
      </x:c>
      <x:c r="AE371" s="7" t="n">
        <x:v>46273.6916666667</x:v>
      </x:c>
      <x:c r="AF371" s="7" t="n">
        <x:v>46273.7111111111</x:v>
      </x:c>
      <x:c r="AG371" s="3" t="n">
        <x:v>28</x:v>
      </x:c>
      <x:c r="AH371" s="3" t="n">
        <x:v>18</x:v>
      </x:c>
      <x:c r="AI371" s="3" t="s">
        <x:v>111</x:v>
      </x:c>
      <x:c r="AJ371" s="3" t="s">
        <x:v>111</x:v>
      </x:c>
      <x:c r="AK371" s="3" t="n">
        <x:v>60</x:v>
      </x:c>
      <x:c r="AL371" s="3" t="n">
        <x:v>0</x:v>
      </x:c>
      <x:c r="AM371" s="8" t="n">
        <x:v>0.7667</x:v>
      </x:c>
      <x:c r="AN371" s="3" t="n">
        <x:v>2</x:v>
      </x:c>
      <x:c r="AO371" s="3" t="s">
        <x:v>19</x:v>
      </x:c>
      <x:c r="AP371" s="3" t="s">
        <x:v>881</x:v>
      </x:c>
      <x:c r="AQ371" s="3" t="s">
        <x:v>562</x:v>
      </x:c>
      <x:c r="AR371" s="9" t="n">
        <x:v>835.6</x:v>
      </x:c>
      <x:c r="AS371" s="3" t="s">
        <x:v>121</x:v>
      </x:c>
      <x:c r="AT371" s="7" t="n">
        <x:v>46301.9166666667</x:v>
      </x:c>
    </x:row>
    <x:row r="372" ht="31.299999237060547" hidden="0">
      <x:c r="A372" s="3" t="s">
        <x:v>882</x:v>
      </x:c>
      <x:c r="B372" s="3" t="s">
        <x:v>233</x:v>
      </x:c>
      <x:c r="C372" s="3" t="s">
        <x:v>234</x:v>
      </x:c>
      <x:c r="D372" s="3" t="s">
        <x:v>235</x:v>
      </x:c>
      <x:c r="E372" s="3" t="s">
        <x:v>249</x:v>
      </x:c>
      <x:c r="F372" s="3" t="s">
        <x:v>149</x:v>
      </x:c>
      <x:c r="G372" s="3" t="s">
        <x:v>498</x:v>
      </x:c>
      <x:c r="H372" s="3" t="s">
        <x:v>101</x:v>
      </x:c>
      <x:c r="I372" s="3" t="s">
        <x:v>102</x:v>
      </x:c>
      <x:c r="J372" s="3" t="s">
        <x:v>103</x:v>
      </x:c>
      <x:c r="K372" s="3" t="s">
        <x:v>104</x:v>
      </x:c>
      <x:c r="L372" s="3" t="s">
        <x:v>237</x:v>
      </x:c>
      <x:c r="M372" s="3" t="s">
        <x:v>172</x:v>
      </x:c>
      <x:c r="N372" s="3" t="s">
        <x:v>238</x:v>
      </x:c>
      <x:c r="O372" s="3" t="s">
        <x:v>239</x:v>
      </x:c>
      <x:c r="P372" s="3" t="s">
        <x:v>240</x:v>
      </x:c>
      <x:c r="Q372" s="3" t="s">
        <x:v>276</x:v>
      </x:c>
      <x:c r="R372" s="3" t="s">
        <x:v>310</x:v>
      </x:c>
      <x:c r="S372" s="3" t="s">
        <x:v>135</x:v>
      </x:c>
      <x:c r="T372" s="3" t="s">
        <x:v>111</x:v>
      </x:c>
      <x:c r="U372" s="3" t="s">
        <x:v>311</x:v>
      </x:c>
      <x:c r="V372" s="3" t="s">
        <x:v>312</x:v>
      </x:c>
      <x:c r="W372" s="3" t="s">
        <x:v>382</x:v>
      </x:c>
      <x:c r="X372" s="3" t="s">
        <x:v>314</x:v>
      </x:c>
      <x:c r="Y372" s="3" t="s">
        <x:v>383</x:v>
      </x:c>
      <x:c r="Z372" s="3" t="s">
        <x:v>316</x:v>
      </x:c>
      <x:c r="AA372" s="3" t="s">
        <x:v>317</x:v>
      </x:c>
      <x:c r="AB372" s="7" t="n">
        <x:v>46273.8048611111</x:v>
      </x:c>
      <x:c r="AC372" s="7" t="n">
        <x:v>46273.8090277778</x:v>
      </x:c>
      <x:c r="AD372" s="7" t="n">
        <x:v>46273.8118055556</x:v>
      </x:c>
      <x:c r="AE372" s="7" t="n">
        <x:v>46273.8270833333</x:v>
      </x:c>
      <x:c r="AF372" s="7" t="n">
        <x:v>46273.8715277778</x:v>
      </x:c>
      <x:c r="AG372" s="3" t="n">
        <x:v>32</x:v>
      </x:c>
      <x:c r="AH372" s="3" t="n">
        <x:v>55</x:v>
      </x:c>
      <x:c r="AI372" s="3" t="s">
        <x:v>135</x:v>
      </x:c>
      <x:c r="AJ372" s="3" t="s">
        <x:v>111</x:v>
      </x:c>
      <x:c r="AK372" s="3" t="n">
        <x:v>150</x:v>
      </x:c>
      <x:c r="AL372" s="3" t="n">
        <x:v>0</x:v>
      </x:c>
      <x:c r="AM372" s="8" t="n">
        <x:v>0.58</x:v>
      </x:c>
      <x:c r="AN372" s="3" t="n">
        <x:v>0</x:v>
      </x:c>
      <x:c r="AO372" s="3" t="s">
        <x:v>9</x:v>
      </x:c>
      <x:c r="AP372" s="3" t="s">
        <x:v>335</x:v>
      </x:c>
      <x:c r="AQ372" s="3" t="s">
        <x:v>361</x:v>
      </x:c>
      <x:c r="AR372" s="9" t="n">
        <x:v>800</x:v>
      </x:c>
      <x:c r="AS372" s="3" t="s">
        <x:v>144</x:v>
      </x:c>
      <x:c r="AT372" s="7" t="n">
        <x:v>46301.9166666667</x:v>
      </x:c>
    </x:row>
    <x:row r="373" ht="31.299999237060547" hidden="0">
      <x:c r="A373" s="3" t="s">
        <x:v>883</x:v>
      </x:c>
      <x:c r="B373" s="3" t="s">
        <x:v>83</x:v>
      </x:c>
      <x:c r="C373" s="3" t="s">
        <x:v>96</x:v>
      </x:c>
      <x:c r="D373" s="3" t="s">
        <x:v>97</x:v>
      </x:c>
      <x:c r="E373" s="3" t="s">
        <x:v>249</x:v>
      </x:c>
      <x:c r="F373" s="3" t="s">
        <x:v>99</x:v>
      </x:c>
      <x:c r="G373" s="3" t="s">
        <x:v>379</x:v>
      </x:c>
      <x:c r="H373" s="3" t="s">
        <x:v>339</x:v>
      </x:c>
      <x:c r="I373" s="3" t="s">
        <x:v>102</x:v>
      </x:c>
      <x:c r="J373" s="3" t="s">
        <x:v>103</x:v>
      </x:c>
      <x:c r="K373" s="3" t="s">
        <x:v>104</x:v>
      </x:c>
      <x:c r="L373" s="3" t="s">
        <x:v>105</x:v>
      </x:c>
      <x:c r="M373" s="3" t="s">
        <x:v>106</x:v>
      </x:c>
      <x:c r="N373" s="3" t="s">
        <x:v>107</x:v>
      </x:c>
      <x:c r="O373" s="3" t="s">
        <x:v>108</x:v>
      </x:c>
      <x:c r="P373" s="3" t="s">
        <x:v>109</x:v>
      </x:c>
      <x:c r="Q373" s="3" t="s">
        <x:v>250</x:v>
      </x:c>
      <x:c r="R373" s="3" t="s">
        <x:v>380</x:v>
      </x:c>
      <x:c r="S373" s="3" t="s">
        <x:v>111</x:v>
      </x:c>
      <x:c r="T373" s="3" t="s">
        <x:v>111</x:v>
      </x:c>
      <x:c r="U373" s="3" t="s">
        <x:v>381</x:v>
      </x:c>
      <x:c r="V373" s="3" t="s">
        <x:v>312</x:v>
      </x:c>
      <x:c r="W373" s="3" t="s">
        <x:v>313</x:v>
      </x:c>
      <x:c r="X373" s="3" t="s">
        <x:v>314</x:v>
      </x:c>
      <x:c r="Y373" s="3" t="s">
        <x:v>315</x:v>
      </x:c>
      <x:c r="Z373" s="3" t="s">
        <x:v>384</x:v>
      </x:c>
      <x:c r="AA373" s="3" t="s">
        <x:v>385</x:v>
      </x:c>
      <x:c r="AB373" s="7" t="n">
        <x:v>46274.3486111111</x:v>
      </x:c>
      <x:c r="AC373" s="7" t="n">
        <x:v>46274.3534722222</x:v>
      </x:c>
      <x:c r="AD373" s="7" t="n">
        <x:v>46274.3576388889</x:v>
      </x:c>
      <x:c r="AE373" s="7" t="n">
        <x:v>46274.3861111111</x:v>
      </x:c>
      <x:c r="AF373" s="7" t="n">
        <x:v>46274.4097222222</x:v>
      </x:c>
      <x:c r="AG373" s="3" t="n">
        <x:v>54</x:v>
      </x:c>
      <x:c r="AH373" s="3" t="n">
        <x:v>29</x:v>
      </x:c>
      <x:c r="AI373" s="3" t="s">
        <x:v>111</x:v>
      </x:c>
      <x:c r="AJ373" s="3" t="s">
        <x:v>111</x:v>
      </x:c>
      <x:c r="AK373" s="3" t="n">
        <x:v>60</x:v>
      </x:c>
      <x:c r="AL373" s="3" t="n">
        <x:v>0</x:v>
      </x:c>
      <x:c r="AM373" s="8" t="n">
        <x:v>1.3833</x:v>
      </x:c>
      <x:c r="AN373" s="3" t="n">
        <x:v>1</x:v>
      </x:c>
      <x:c r="AO373" s="3" t="s">
        <x:v>24</x:v>
      </x:c>
      <x:c r="AP373" s="3" t="s">
        <x:v>561</x:v>
      </x:c>
      <x:c r="AQ373" s="3" t="s">
        <x:v>562</x:v>
      </x:c>
      <x:c r="AR373" s="9" t="n">
        <x:v>1031.8</x:v>
      </x:c>
      <x:c r="AS373" s="3" t="s">
        <x:v>185</x:v>
      </x:c>
      <x:c r="AT373" s="7" t="n">
        <x:v>46301.9166666667</x:v>
      </x:c>
    </x:row>
    <x:row r="374" ht="31.299999237060547" hidden="0">
      <x:c r="A374" s="3" t="s">
        <x:v>884</x:v>
      </x:c>
      <x:c r="B374" s="3" t="s">
        <x:v>321</x:v>
      </x:c>
      <x:c r="C374" s="3" t="s">
        <x:v>322</x:v>
      </x:c>
      <x:c r="D374" s="3" t="s">
        <x:v>323</x:v>
      </x:c>
      <x:c r="E374" s="3" t="s">
        <x:v>249</x:v>
      </x:c>
      <x:c r="F374" s="3" t="s">
        <x:v>169</x:v>
      </x:c>
      <x:c r="G374" s="3" t="s">
        <x:v>436</x:v>
      </x:c>
      <x:c r="H374" s="3" t="s">
        <x:v>301</x:v>
      </x:c>
      <x:c r="I374" s="3" t="s">
        <x:v>302</x:v>
      </x:c>
      <x:c r="J374" s="3" t="s">
        <x:v>303</x:v>
      </x:c>
      <x:c r="K374" s="3" t="s">
        <x:v>104</x:v>
      </x:c>
      <x:c r="L374" s="3" t="s">
        <x:v>325</x:v>
      </x:c>
      <x:c r="M374" s="3" t="s">
        <x:v>326</x:v>
      </x:c>
      <x:c r="N374" s="3" t="s">
        <x:v>131</x:v>
      </x:c>
      <x:c r="O374" s="3" t="s">
        <x:v>327</x:v>
      </x:c>
      <x:c r="P374" s="3" t="s">
        <x:v>328</x:v>
      </x:c>
      <x:c r="Q374" s="3" t="s">
        <x:v>329</x:v>
      </x:c>
      <x:c r="R374" s="3" t="s">
        <x:v>391</x:v>
      </x:c>
      <x:c r="S374" s="3" t="s">
        <x:v>135</x:v>
      </x:c>
      <x:c r="T374" s="3" t="s">
        <x:v>135</x:v>
      </x:c>
      <x:c r="U374" s="3" t="s">
        <x:v>392</x:v>
      </x:c>
      <x:c r="V374" s="3" t="s">
        <x:v>312</x:v>
      </x:c>
      <x:c r="W374" s="3" t="s">
        <x:v>382</x:v>
      </x:c>
      <x:c r="X374" s="3" t="s">
        <x:v>314</x:v>
      </x:c>
      <x:c r="Y374" s="3" t="s">
        <x:v>383</x:v>
      </x:c>
      <x:c r="Z374" s="3" t="s">
        <x:v>393</x:v>
      </x:c>
      <x:c r="AA374" s="3" t="s">
        <x:v>394</x:v>
      </x:c>
      <x:c r="AB374" s="7" t="n">
        <x:v>46274.36875</x:v>
      </x:c>
      <x:c r="AC374" s="7" t="n">
        <x:v>46274.3701388889</x:v>
      </x:c>
      <x:c r="AD374" s="7" t="n">
        <x:v>46274.375</x:v>
      </x:c>
      <x:c r="AE374" s="7" t="n">
        <x:v>46274.4027777778</x:v>
      </x:c>
      <x:c r="AF374" s="7" t="n">
        <x:v>46274.4625</x:v>
      </x:c>
      <x:c r="AG374" s="3" t="n">
        <x:v>49</x:v>
      </x:c>
      <x:c r="AH374" s="3" t="n">
        <x:v>80</x:v>
      </x:c>
      <x:c r="AI374" s="3" t="s">
        <x:v>135</x:v>
      </x:c>
      <x:c r="AJ374" s="3" t="s">
        <x:v>111</x:v>
      </x:c>
      <x:c r="AK374" s="3" t="n">
        <x:v>180</x:v>
      </x:c>
      <x:c r="AL374" s="3" t="n">
        <x:v>0</x:v>
      </x:c>
      <x:c r="AM374" s="8" t="n">
        <x:v>0.7167</x:v>
      </x:c>
      <x:c r="AN374" s="3" t="n">
        <x:v>1</x:v>
      </x:c>
      <x:c r="AO374" s="3" t="s">
        <x:v>14</x:v>
      </x:c>
      <x:c r="AP374" s="3" t="s">
        <x:v>664</x:v>
      </x:c>
      <x:c r="AQ374" s="3" t="s">
        <x:v>516</x:v>
      </x:c>
      <x:c r="AR374" s="9" t="n">
        <x:v>1056.5</x:v>
      </x:c>
      <x:c r="AS374" s="3" t="s">
        <x:v>185</x:v>
      </x:c>
      <x:c r="AT374" s="7" t="n">
        <x:v>46301.9166666667</x:v>
      </x:c>
    </x:row>
    <x:row r="375" ht="31.299999237060547" hidden="0">
      <x:c r="A375" s="3" t="s">
        <x:v>885</x:v>
      </x:c>
      <x:c r="B375" s="3" t="s">
        <x:v>397</x:v>
      </x:c>
      <x:c r="C375" s="3" t="s">
        <x:v>398</x:v>
      </x:c>
      <x:c r="D375" s="3" t="s">
        <x:v>399</x:v>
      </x:c>
      <x:c r="E375" s="3" t="s">
        <x:v>249</x:v>
      </x:c>
      <x:c r="F375" s="3" t="s">
        <x:v>99</x:v>
      </x:c>
      <x:c r="G375" s="3" t="s">
        <x:v>480</x:v>
      </x:c>
      <x:c r="H375" s="3" t="s">
        <x:v>301</x:v>
      </x:c>
      <x:c r="I375" s="3" t="s">
        <x:v>302</x:v>
      </x:c>
      <x:c r="J375" s="3" t="s">
        <x:v>303</x:v>
      </x:c>
      <x:c r="K375" s="3" t="s">
        <x:v>104</x:v>
      </x:c>
      <x:c r="L375" s="3" t="s">
        <x:v>401</x:v>
      </x:c>
      <x:c r="M375" s="3" t="s">
        <x:v>402</x:v>
      </x:c>
      <x:c r="N375" s="3" t="s">
        <x:v>403</x:v>
      </x:c>
      <x:c r="O375" s="3" t="s">
        <x:v>404</x:v>
      </x:c>
      <x:c r="P375" s="3" t="s">
        <x:v>405</x:v>
      </x:c>
      <x:c r="Q375" s="3" t="s">
        <x:v>406</x:v>
      </x:c>
      <x:c r="R375" s="3" t="s">
        <x:v>134</x:v>
      </x:c>
      <x:c r="S375" s="3" t="s">
        <x:v>135</x:v>
      </x:c>
      <x:c r="T375" s="3" t="s">
        <x:v>111</x:v>
      </x:c>
      <x:c r="U375" s="3" t="s">
        <x:v>136</x:v>
      </x:c>
      <x:c r="V375" s="3" t="s">
        <x:v>137</x:v>
      </x:c>
      <x:c r="W375" s="3" t="s">
        <x:v>138</x:v>
      </x:c>
      <x:c r="X375" s="3" t="s">
        <x:v>139</x:v>
      </x:c>
      <x:c r="Y375" s="3" t="s">
        <x:v>454</x:v>
      </x:c>
      <x:c r="Z375" s="3" t="s">
        <x:v>141</x:v>
      </x:c>
      <x:c r="AA375" s="3" t="s">
        <x:v>118</x:v>
      </x:c>
      <x:c r="AB375" s="7" t="n">
        <x:v>46274.3979166667</x:v>
      </x:c>
      <x:c r="AC375" s="7" t="n">
        <x:v>46274.4027777778</x:v>
      </x:c>
      <x:c r="AD375" s="7" t="n">
        <x:v>46274.4069444445</x:v>
      </x:c>
      <x:c r="AE375" s="7" t="n">
        <x:v>46274.4319444444</x:v>
      </x:c>
      <x:c r="AF375" s="7" t="n">
        <x:v>46274.4534722222</x:v>
      </x:c>
      <x:c r="AG375" s="3" t="n">
        <x:v>49</x:v>
      </x:c>
      <x:c r="AH375" s="3" t="n">
        <x:v>27</x:v>
      </x:c>
      <x:c r="AI375" s="3" t="s">
        <x:v>135</x:v>
      </x:c>
      <x:c r="AJ375" s="3" t="s">
        <x:v>135</x:v>
      </x:c>
      <x:c r="AK375" s="3" t="n">
        <x:v>180</x:v>
      </x:c>
      <x:c r="AL375" s="3" t="n">
        <x:v>0</x:v>
      </x:c>
      <x:c r="AM375" s="8" t="n">
        <x:v>0.4222</x:v>
      </x:c>
      <x:c r="AN375" s="3" t="n">
        <x:v>1</x:v>
      </x:c>
      <x:c r="AO375" s="3" t="s">
        <x:v>9</x:v>
      </x:c>
      <x:c r="AP375" s="3" t="s">
        <x:v>500</x:v>
      </x:c>
      <x:c r="AQ375" s="3" t="s">
        <x:v>539</x:v>
      </x:c>
      <x:c r="AR375" s="9" t="n">
        <x:v>674.9</x:v>
      </x:c>
      <x:c r="AS375" s="3" t="s">
        <x:v>144</x:v>
      </x:c>
      <x:c r="AT375" s="7" t="n">
        <x:v>46301.9166666667</x:v>
      </x:c>
    </x:row>
    <x:row r="376" ht="31.299999237060547" hidden="0">
      <x:c r="A376" s="3" t="s">
        <x:v>886</x:v>
      </x:c>
      <x:c r="B376" s="3" t="s">
        <x:v>321</x:v>
      </x:c>
      <x:c r="C376" s="3" t="s">
        <x:v>322</x:v>
      </x:c>
      <x:c r="D376" s="3" t="s">
        <x:v>323</x:v>
      </x:c>
      <x:c r="E376" s="3" t="s">
        <x:v>249</x:v>
      </x:c>
      <x:c r="F376" s="3" t="s">
        <x:v>149</x:v>
      </x:c>
      <x:c r="G376" s="3" t="s">
        <x:v>436</x:v>
      </x:c>
      <x:c r="H376" s="3" t="s">
        <x:v>301</x:v>
      </x:c>
      <x:c r="I376" s="3" t="s">
        <x:v>302</x:v>
      </x:c>
      <x:c r="J376" s="3" t="s">
        <x:v>303</x:v>
      </x:c>
      <x:c r="K376" s="3" t="s">
        <x:v>104</x:v>
      </x:c>
      <x:c r="L376" s="3" t="s">
        <x:v>325</x:v>
      </x:c>
      <x:c r="M376" s="3" t="s">
        <x:v>326</x:v>
      </x:c>
      <x:c r="N376" s="3" t="s">
        <x:v>131</x:v>
      </x:c>
      <x:c r="O376" s="3" t="s">
        <x:v>327</x:v>
      </x:c>
      <x:c r="P376" s="3" t="s">
        <x:v>328</x:v>
      </x:c>
      <x:c r="Q376" s="3" t="s">
        <x:v>329</x:v>
      </x:c>
      <x:c r="R376" s="3" t="s">
        <x:v>391</x:v>
      </x:c>
      <x:c r="S376" s="3" t="s">
        <x:v>135</x:v>
      </x:c>
      <x:c r="T376" s="3" t="s">
        <x:v>135</x:v>
      </x:c>
      <x:c r="U376" s="3" t="s">
        <x:v>392</x:v>
      </x:c>
      <x:c r="V376" s="3" t="s">
        <x:v>312</x:v>
      </x:c>
      <x:c r="W376" s="3" t="s">
        <x:v>313</x:v>
      </x:c>
      <x:c r="X376" s="3" t="s">
        <x:v>314</x:v>
      </x:c>
      <x:c r="Y376" s="3" t="s">
        <x:v>315</x:v>
      </x:c>
      <x:c r="Z376" s="3" t="s">
        <x:v>393</x:v>
      </x:c>
      <x:c r="AA376" s="3" t="s">
        <x:v>394</x:v>
      </x:c>
      <x:c r="AB376" s="7" t="n">
        <x:v>46274.4576388889</x:v>
      </x:c>
      <x:c r="AC376" s="7" t="n">
        <x:v>46274.4597222222</x:v>
      </x:c>
      <x:c r="AD376" s="7" t="n">
        <x:v>46274.4631944444</x:v>
      </x:c>
      <x:c r="AE376" s="7" t="n">
        <x:v>46274.4736111111</x:v>
      </x:c>
      <x:c r="AF376" s="7" t="n">
        <x:v>46274.4847222222</x:v>
      </x:c>
      <x:c r="AG376" s="3" t="n">
        <x:v>23</x:v>
      </x:c>
      <x:c r="AH376" s="3" t="n">
        <x:v>13</x:v>
      </x:c>
      <x:c r="AI376" s="3" t="s">
        <x:v>135</x:v>
      </x:c>
      <x:c r="AJ376" s="3" t="s">
        <x:v>111</x:v>
      </x:c>
      <x:c r="AK376" s="3" t="n">
        <x:v>180</x:v>
      </x:c>
      <x:c r="AL376" s="3" t="n">
        <x:v>0</x:v>
      </x:c>
      <x:c r="AM376" s="8" t="n">
        <x:v>0.2</x:v>
      </x:c>
      <x:c r="AN376" s="3" t="n">
        <x:v>2</x:v>
      </x:c>
      <x:c r="AO376" s="3" t="s">
        <x:v>14</x:v>
      </x:c>
      <x:c r="AP376" s="3" t="s">
        <x:v>636</x:v>
      </x:c>
      <x:c r="AQ376" s="3" t="s">
        <x:v>516</x:v>
      </x:c>
      <x:c r="AR376" s="9" t="n">
        <x:v>457.1</x:v>
      </x:c>
      <x:c r="AS376" s="3" t="s">
        <x:v>121</x:v>
      </x:c>
      <x:c r="AT376" s="7" t="n">
        <x:v>46301.9166666667</x:v>
      </x:c>
    </x:row>
    <x:row r="377" ht="31.299999237060547" hidden="0">
      <x:c r="A377" s="3" t="s">
        <x:v>887</x:v>
      </x:c>
      <x:c r="B377" s="3" t="s">
        <x:v>433</x:v>
      </x:c>
      <x:c r="C377" s="3" t="s">
        <x:v>434</x:v>
      </x:c>
      <x:c r="D377" s="3" t="s">
        <x:v>435</x:v>
      </x:c>
      <x:c r="E377" s="3" t="s">
        <x:v>249</x:v>
      </x:c>
      <x:c r="F377" s="3" t="s">
        <x:v>127</x:v>
      </x:c>
      <x:c r="G377" s="3" t="s">
        <x:v>598</x:v>
      </x:c>
      <x:c r="H377" s="3" t="s">
        <x:v>301</x:v>
      </x:c>
      <x:c r="I377" s="3" t="s">
        <x:v>302</x:v>
      </x:c>
      <x:c r="J377" s="3" t="s">
        <x:v>303</x:v>
      </x:c>
      <x:c r="K377" s="3" t="s">
        <x:v>104</x:v>
      </x:c>
      <x:c r="L377" s="3" t="s">
        <x:v>437</x:v>
      </x:c>
      <x:c r="M377" s="3" t="s">
        <x:v>106</x:v>
      </x:c>
      <x:c r="N377" s="3" t="s">
        <x:v>438</x:v>
      </x:c>
      <x:c r="O377" s="3" t="s">
        <x:v>439</x:v>
      </x:c>
      <x:c r="P377" s="3" t="s">
        <x:v>440</x:v>
      </x:c>
      <x:c r="Q377" s="3" t="s">
        <x:v>441</x:v>
      </x:c>
      <x:c r="R377" s="3" t="s">
        <x:v>196</x:v>
      </x:c>
      <x:c r="S377" s="3" t="s">
        <x:v>111</x:v>
      </x:c>
      <x:c r="T377" s="3" t="s">
        <x:v>111</x:v>
      </x:c>
      <x:c r="U377" s="3" t="s">
        <x:v>197</x:v>
      </x:c>
      <x:c r="V377" s="3" t="s">
        <x:v>198</x:v>
      </x:c>
      <x:c r="W377" s="3" t="s">
        <x:v>365</x:v>
      </x:c>
      <x:c r="X377" s="3" t="s">
        <x:v>366</x:v>
      </x:c>
      <x:c r="Y377" s="3" t="s">
        <x:v>367</x:v>
      </x:c>
      <x:c r="Z377" s="3" t="s">
        <x:v>201</x:v>
      </x:c>
      <x:c r="AA377" s="3" t="s">
        <x:v>368</x:v>
      </x:c>
      <x:c r="AB377" s="7" t="n">
        <x:v>46274.5916666667</x:v>
      </x:c>
      <x:c r="AC377" s="7" t="n">
        <x:v>46274.5930555556</x:v>
      </x:c>
      <x:c r="AD377" s="7" t="n">
        <x:v>46274.5944444445</x:v>
      </x:c>
      <x:c r="AE377" s="7" t="n">
        <x:v>46274.60625</x:v>
      </x:c>
      <x:c r="AF377" s="7" t="n">
        <x:v>46274.6451388889</x:v>
      </x:c>
      <x:c r="AG377" s="3" t="n">
        <x:v>21</x:v>
      </x:c>
      <x:c r="AH377" s="3" t="n">
        <x:v>48</x:v>
      </x:c>
      <x:c r="AI377" s="3" t="s">
        <x:v>135</x:v>
      </x:c>
      <x:c r="AJ377" s="3" t="s">
        <x:v>135</x:v>
      </x:c>
      <x:c r="AK377" s="3" t="n">
        <x:v>120</x:v>
      </x:c>
      <x:c r="AL377" s="3" t="n">
        <x:v>0</x:v>
      </x:c>
      <x:c r="AM377" s="8" t="n">
        <x:v>0.575</x:v>
      </x:c>
      <x:c r="AN377" s="3" t="n">
        <x:v>0</x:v>
      </x:c>
      <x:c r="AO377" s="3" t="s">
        <x:v>9</x:v>
      </x:c>
      <x:c r="AP377" s="3" t="s">
        <x:v>142</x:v>
      </x:c>
      <x:c r="AQ377" s="3" t="s">
        <x:v>120</x:v>
      </x:c>
      <x:c r="AR377" s="9" t="n">
        <x:v>700.1</x:v>
      </x:c>
      <x:c r="AS377" s="3" t="s">
        <x:v>121</x:v>
      </x:c>
      <x:c r="AT377" s="7" t="n">
        <x:v>46301.9166666667</x:v>
      </x:c>
    </x:row>
    <x:row r="378" ht="31.299999237060547" hidden="0">
      <x:c r="A378" s="3" t="s">
        <x:v>888</x:v>
      </x:c>
      <x:c r="B378" s="3" t="s">
        <x:v>433</x:v>
      </x:c>
      <x:c r="C378" s="3" t="s">
        <x:v>434</x:v>
      </x:c>
      <x:c r="D378" s="3" t="s">
        <x:v>435</x:v>
      </x:c>
      <x:c r="E378" s="3" t="s">
        <x:v>249</x:v>
      </x:c>
      <x:c r="F378" s="3" t="s">
        <x:v>127</x:v>
      </x:c>
      <x:c r="G378" s="3" t="s">
        <x:v>390</x:v>
      </x:c>
      <x:c r="H378" s="3" t="s">
        <x:v>301</x:v>
      </x:c>
      <x:c r="I378" s="3" t="s">
        <x:v>302</x:v>
      </x:c>
      <x:c r="J378" s="3" t="s">
        <x:v>303</x:v>
      </x:c>
      <x:c r="K378" s="3" t="s">
        <x:v>104</x:v>
      </x:c>
      <x:c r="L378" s="3" t="s">
        <x:v>437</x:v>
      </x:c>
      <x:c r="M378" s="3" t="s">
        <x:v>106</x:v>
      </x:c>
      <x:c r="N378" s="3" t="s">
        <x:v>438</x:v>
      </x:c>
      <x:c r="O378" s="3" t="s">
        <x:v>439</x:v>
      </x:c>
      <x:c r="P378" s="3" t="s">
        <x:v>440</x:v>
      </x:c>
      <x:c r="Q378" s="3" t="s">
        <x:v>441</x:v>
      </x:c>
      <x:c r="R378" s="3" t="s">
        <x:v>391</x:v>
      </x:c>
      <x:c r="S378" s="3" t="s">
        <x:v>135</x:v>
      </x:c>
      <x:c r="T378" s="3" t="s">
        <x:v>135</x:v>
      </x:c>
      <x:c r="U378" s="3" t="s">
        <x:v>392</x:v>
      </x:c>
      <x:c r="V378" s="3" t="s">
        <x:v>312</x:v>
      </x:c>
      <x:c r="W378" s="3" t="s">
        <x:v>313</x:v>
      </x:c>
      <x:c r="X378" s="3" t="s">
        <x:v>314</x:v>
      </x:c>
      <x:c r="Y378" s="3" t="s">
        <x:v>315</x:v>
      </x:c>
      <x:c r="Z378" s="3" t="s">
        <x:v>393</x:v>
      </x:c>
      <x:c r="AA378" s="3" t="s">
        <x:v>394</x:v>
      </x:c>
      <x:c r="AB378" s="7" t="n">
        <x:v>46274.6097222222</x:v>
      </x:c>
      <x:c r="AC378" s="7" t="n">
        <x:v>46274.6111111111</x:v>
      </x:c>
      <x:c r="AD378" s="7" t="n">
        <x:v>46274.6159722222</x:v>
      </x:c>
      <x:c r="AE378" s="7" t="n">
        <x:v>46274.6381944444</x:v>
      </x:c>
      <x:c r="AF378" s="7" t="n">
        <x:v>46274.65625</x:v>
      </x:c>
      <x:c r="AG378" s="3" t="n">
        <x:v>41</x:v>
      </x:c>
      <x:c r="AH378" s="3" t="n">
        <x:v>18</x:v>
      </x:c>
      <x:c r="AI378" s="3" t="s">
        <x:v>135</x:v>
      </x:c>
      <x:c r="AJ378" s="3" t="s">
        <x:v>135</x:v>
      </x:c>
      <x:c r="AK378" s="3" t="n">
        <x:v>180</x:v>
      </x:c>
      <x:c r="AL378" s="3" t="n">
        <x:v>0</x:v>
      </x:c>
      <x:c r="AM378" s="8" t="n">
        <x:v>0.3278</x:v>
      </x:c>
      <x:c r="AN378" s="3" t="n">
        <x:v>4</x:v>
      </x:c>
      <x:c r="AO378" s="3" t="s">
        <x:v>14</x:v>
      </x:c>
      <x:c r="AP378" s="3" t="s">
        <x:v>889</x:v>
      </x:c>
      <x:c r="AQ378" s="3" t="s">
        <x:v>820</x:v>
      </x:c>
      <x:c r="AR378" s="9" t="n">
        <x:v>824.1</x:v>
      </x:c>
      <x:c r="AS378" s="3" t="s">
        <x:v>185</x:v>
      </x:c>
      <x:c r="AT378" s="7" t="n">
        <x:v>46301.9166666667</x:v>
      </x:c>
    </x:row>
    <x:row r="379" ht="31.299999237060547" hidden="0">
      <x:c r="A379" s="3" t="s">
        <x:v>890</x:v>
      </x:c>
      <x:c r="B379" s="3" t="s">
        <x:v>297</x:v>
      </x:c>
      <x:c r="C379" s="3" t="s">
        <x:v>298</x:v>
      </x:c>
      <x:c r="D379" s="3" t="s">
        <x:v>299</x:v>
      </x:c>
      <x:c r="E379" s="3" t="s">
        <x:v>249</x:v>
      </x:c>
      <x:c r="F379" s="3" t="s">
        <x:v>99</x:v>
      </x:c>
      <x:c r="G379" s="3" t="s">
        <x:v>544</x:v>
      </x:c>
      <x:c r="H379" s="3" t="s">
        <x:v>301</x:v>
      </x:c>
      <x:c r="I379" s="3" t="s">
        <x:v>302</x:v>
      </x:c>
      <x:c r="J379" s="3" t="s">
        <x:v>303</x:v>
      </x:c>
      <x:c r="K379" s="3" t="s">
        <x:v>104</x:v>
      </x:c>
      <x:c r="L379" s="3" t="s">
        <x:v>304</x:v>
      </x:c>
      <x:c r="M379" s="3" t="s">
        <x:v>305</x:v>
      </x:c>
      <x:c r="N379" s="3" t="s">
        <x:v>306</x:v>
      </x:c>
      <x:c r="O379" s="3" t="s">
        <x:v>307</x:v>
      </x:c>
      <x:c r="P379" s="3" t="s">
        <x:v>308</x:v>
      </x:c>
      <x:c r="Q379" s="3" t="s">
        <x:v>309</x:v>
      </x:c>
      <x:c r="R379" s="3" t="s">
        <x:v>134</x:v>
      </x:c>
      <x:c r="S379" s="3" t="s">
        <x:v>135</x:v>
      </x:c>
      <x:c r="T379" s="3" t="s">
        <x:v>111</x:v>
      </x:c>
      <x:c r="U379" s="3" t="s">
        <x:v>136</x:v>
      </x:c>
      <x:c r="V379" s="3" t="s">
        <x:v>137</x:v>
      </x:c>
      <x:c r="W379" s="3" t="s">
        <x:v>138</x:v>
      </x:c>
      <x:c r="X379" s="3" t="s">
        <x:v>139</x:v>
      </x:c>
      <x:c r="Y379" s="3" t="s">
        <x:v>454</x:v>
      </x:c>
      <x:c r="Z379" s="3" t="s">
        <x:v>141</x:v>
      </x:c>
      <x:c r="AA379" s="3" t="s">
        <x:v>118</x:v>
      </x:c>
      <x:c r="AB379" s="7" t="n">
        <x:v>46274.625</x:v>
      </x:c>
      <x:c r="AC379" s="7" t="n">
        <x:v>46274.6298611111</x:v>
      </x:c>
      <x:c r="AD379" s="7" t="n">
        <x:v>46274.63125</x:v>
      </x:c>
      <x:c r="AE379" s="7" t="n">
        <x:v>46274.6583333333</x:v>
      </x:c>
      <x:c r="AF379" s="7" t="n">
        <x:v>46274.69375</x:v>
      </x:c>
      <x:c r="AG379" s="3" t="n">
        <x:v>48</x:v>
      </x:c>
      <x:c r="AH379" s="3" t="n">
        <x:v>43</x:v>
      </x:c>
      <x:c r="AI379" s="3" t="s">
        <x:v>135</x:v>
      </x:c>
      <x:c r="AJ379" s="3" t="s">
        <x:v>111</x:v>
      </x:c>
      <x:c r="AK379" s="3" t="n">
        <x:v>180</x:v>
      </x:c>
      <x:c r="AL379" s="3" t="n">
        <x:v>0</x:v>
      </x:c>
      <x:c r="AM379" s="8" t="n">
        <x:v>0.5056</x:v>
      </x:c>
      <x:c r="AN379" s="3" t="n">
        <x:v>1</x:v>
      </x:c>
      <x:c r="AO379" s="3" t="s">
        <x:v>9</x:v>
      </x:c>
      <x:c r="AP379" s="3" t="s">
        <x:v>584</x:v>
      </x:c>
      <x:c r="AQ379" s="3" t="s">
        <x:v>603</x:v>
      </x:c>
      <x:c r="AR379" s="9" t="n">
        <x:v>1165.6</x:v>
      </x:c>
      <x:c r="AS379" s="3" t="s">
        <x:v>121</x:v>
      </x:c>
      <x:c r="AT379" s="7" t="n">
        <x:v>46301.9166666667</x:v>
      </x:c>
    </x:row>
    <x:row r="380" ht="31.299999237060547" hidden="0">
      <x:c r="A380" s="3" t="s">
        <x:v>891</x:v>
      </x:c>
      <x:c r="B380" s="3" t="s">
        <x:v>83</x:v>
      </x:c>
      <x:c r="C380" s="3" t="s">
        <x:v>96</x:v>
      </x:c>
      <x:c r="D380" s="3" t="s">
        <x:v>97</x:v>
      </x:c>
      <x:c r="E380" s="3" t="s">
        <x:v>249</x:v>
      </x:c>
      <x:c r="F380" s="3" t="s">
        <x:v>169</x:v>
      </x:c>
      <x:c r="G380" s="3" t="s">
        <x:v>372</x:v>
      </x:c>
      <x:c r="H380" s="3" t="s">
        <x:v>101</x:v>
      </x:c>
      <x:c r="I380" s="3" t="s">
        <x:v>102</x:v>
      </x:c>
      <x:c r="J380" s="3" t="s">
        <x:v>103</x:v>
      </x:c>
      <x:c r="K380" s="3" t="s">
        <x:v>104</x:v>
      </x:c>
      <x:c r="L380" s="3" t="s">
        <x:v>105</x:v>
      </x:c>
      <x:c r="M380" s="3" t="s">
        <x:v>106</x:v>
      </x:c>
      <x:c r="N380" s="3" t="s">
        <x:v>107</x:v>
      </x:c>
      <x:c r="O380" s="3" t="s">
        <x:v>108</x:v>
      </x:c>
      <x:c r="P380" s="3" t="s">
        <x:v>109</x:v>
      </x:c>
      <x:c r="Q380" s="3" t="s">
        <x:v>250</x:v>
      </x:c>
      <x:c r="R380" s="3" t="s">
        <x:v>373</x:v>
      </x:c>
      <x:c r="S380" s="3" t="s">
        <x:v>135</x:v>
      </x:c>
      <x:c r="T380" s="3" t="s">
        <x:v>111</x:v>
      </x:c>
      <x:c r="U380" s="3" t="s">
        <x:v>374</x:v>
      </x:c>
      <x:c r="V380" s="3" t="s">
        <x:v>178</x:v>
      </x:c>
      <x:c r="W380" s="3" t="s">
        <x:v>332</x:v>
      </x:c>
      <x:c r="X380" s="3" t="s">
        <x:v>180</x:v>
      </x:c>
      <x:c r="Y380" s="3" t="s">
        <x:v>333</x:v>
      </x:c>
      <x:c r="Z380" s="3" t="s">
        <x:v>375</x:v>
      </x:c>
      <x:c r="AA380" s="3" t="s">
        <x:v>118</x:v>
      </x:c>
      <x:c r="AB380" s="7" t="n">
        <x:v>46274.6680555556</x:v>
      </x:c>
      <x:c r="AC380" s="7" t="n">
        <x:v>46274.6694444444</x:v>
      </x:c>
      <x:c r="AD380" s="7" t="n">
        <x:v>46274.6736111111</x:v>
      </x:c>
      <x:c r="AE380" s="7" t="n">
        <x:v>46274.7</x:v>
      </x:c>
      <x:c r="AF380" s="7" t="n">
        <x:v>46274.7270833333</x:v>
      </x:c>
      <x:c r="AG380" s="3" t="n">
        <x:v>46</x:v>
      </x:c>
      <x:c r="AH380" s="3" t="n">
        <x:v>31</x:v>
      </x:c>
      <x:c r="AI380" s="3" t="s">
        <x:v>111</x:v>
      </x:c>
      <x:c r="AJ380" s="3" t="s">
        <x:v>111</x:v>
      </x:c>
      <x:c r="AK380" s="3" t="n">
        <x:v>60</x:v>
      </x:c>
      <x:c r="AL380" s="3" t="n">
        <x:v>0</x:v>
      </x:c>
      <x:c r="AM380" s="8" t="n">
        <x:v>1.2833</x:v>
      </x:c>
      <x:c r="AN380" s="3" t="n">
        <x:v>0</x:v>
      </x:c>
      <x:c r="AO380" s="3" t="s">
        <x:v>24</x:v>
      </x:c>
      <x:c r="AP380" s="3" t="s">
        <x:v>421</x:v>
      </x:c>
      <x:c r="AQ380" s="3" t="s">
        <x:v>422</x:v>
      </x:c>
      <x:c r="AR380" s="9" t="n">
        <x:v>1010.2</x:v>
      </x:c>
      <x:c r="AS380" s="3" t="s">
        <x:v>185</x:v>
      </x:c>
      <x:c r="AT380" s="7" t="n">
        <x:v>46301.9166666667</x:v>
      </x:c>
    </x:row>
    <x:row r="381" ht="31.299999237060547" hidden="0">
      <x:c r="A381" s="3" t="s">
        <x:v>892</x:v>
      </x:c>
      <x:c r="B381" s="3" t="s">
        <x:v>83</x:v>
      </x:c>
      <x:c r="C381" s="3" t="s">
        <x:v>96</x:v>
      </x:c>
      <x:c r="D381" s="3" t="s">
        <x:v>97</x:v>
      </x:c>
      <x:c r="E381" s="3" t="s">
        <x:v>249</x:v>
      </x:c>
      <x:c r="F381" s="3" t="s">
        <x:v>99</x:v>
      </x:c>
      <x:c r="G381" s="3" t="s">
        <x:v>491</x:v>
      </x:c>
      <x:c r="H381" s="3" t="s">
        <x:v>101</x:v>
      </x:c>
      <x:c r="I381" s="3" t="s">
        <x:v>102</x:v>
      </x:c>
      <x:c r="J381" s="3" t="s">
        <x:v>103</x:v>
      </x:c>
      <x:c r="K381" s="3" t="s">
        <x:v>104</x:v>
      </x:c>
      <x:c r="L381" s="3" t="s">
        <x:v>105</x:v>
      </x:c>
      <x:c r="M381" s="3" t="s">
        <x:v>106</x:v>
      </x:c>
      <x:c r="N381" s="3" t="s">
        <x:v>107</x:v>
      </x:c>
      <x:c r="O381" s="3" t="s">
        <x:v>108</x:v>
      </x:c>
      <x:c r="P381" s="3" t="s">
        <x:v>109</x:v>
      </x:c>
      <x:c r="Q381" s="3" t="s">
        <x:v>250</x:v>
      </x:c>
      <x:c r="R381" s="3" t="s">
        <x:v>373</x:v>
      </x:c>
      <x:c r="S381" s="3" t="s">
        <x:v>135</x:v>
      </x:c>
      <x:c r="T381" s="3" t="s">
        <x:v>111</x:v>
      </x:c>
      <x:c r="U381" s="3" t="s">
        <x:v>374</x:v>
      </x:c>
      <x:c r="V381" s="3" t="s">
        <x:v>178</x:v>
      </x:c>
      <x:c r="W381" s="3" t="s">
        <x:v>355</x:v>
      </x:c>
      <x:c r="X381" s="3" t="s">
        <x:v>180</x:v>
      </x:c>
      <x:c r="Y381" s="3" t="s">
        <x:v>356</x:v>
      </x:c>
      <x:c r="Z381" s="3" t="s">
        <x:v>375</x:v>
      </x:c>
      <x:c r="AA381" s="3" t="s">
        <x:v>118</x:v>
      </x:c>
      <x:c r="AB381" s="7" t="n">
        <x:v>46274.6680555556</x:v>
      </x:c>
      <x:c r="AC381" s="7" t="n">
        <x:v>46274.6715277778</x:v>
      </x:c>
      <x:c r="AD381" s="7" t="n">
        <x:v>46274.6763888889</x:v>
      </x:c>
      <x:c r="AE381" s="7" t="n">
        <x:v>46274.6930555556</x:v>
      </x:c>
      <x:c r="AF381" s="7" t="n">
        <x:v>46274.71875</x:v>
      </x:c>
      <x:c r="AG381" s="3" t="n">
        <x:v>36</x:v>
      </x:c>
      <x:c r="AH381" s="3" t="n">
        <x:v>34</x:v>
      </x:c>
      <x:c r="AI381" s="3" t="s">
        <x:v>111</x:v>
      </x:c>
      <x:c r="AJ381" s="3" t="s">
        <x:v>111</x:v>
      </x:c>
      <x:c r="AK381" s="3" t="n">
        <x:v>60</x:v>
      </x:c>
      <x:c r="AL381" s="3" t="n">
        <x:v>0</x:v>
      </x:c>
      <x:c r="AM381" s="8" t="n">
        <x:v>1.1667</x:v>
      </x:c>
      <x:c r="AN381" s="3" t="n">
        <x:v>0</x:v>
      </x:c>
      <x:c r="AO381" s="3" t="s">
        <x:v>24</x:v>
      </x:c>
      <x:c r="AP381" s="3" t="s">
        <x:v>421</x:v>
      </x:c>
      <x:c r="AQ381" s="3" t="s">
        <x:v>422</x:v>
      </x:c>
      <x:c r="AR381" s="9" t="n">
        <x:v>986.8</x:v>
      </x:c>
      <x:c r="AS381" s="3" t="s">
        <x:v>185</x:v>
      </x:c>
      <x:c r="AT381" s="7" t="n">
        <x:v>46301.9166666667</x:v>
      </x:c>
    </x:row>
    <x:row r="382" ht="31.299999237060547" hidden="0">
      <x:c r="A382" s="3" t="s">
        <x:v>893</x:v>
      </x:c>
      <x:c r="B382" s="3" t="s">
        <x:v>233</x:v>
      </x:c>
      <x:c r="C382" s="3" t="s">
        <x:v>234</x:v>
      </x:c>
      <x:c r="D382" s="3" t="s">
        <x:v>235</x:v>
      </x:c>
      <x:c r="E382" s="3" t="s">
        <x:v>249</x:v>
      </x:c>
      <x:c r="F382" s="3" t="s">
        <x:v>127</x:v>
      </x:c>
      <x:c r="G382" s="3" t="s">
        <x:v>377</x:v>
      </x:c>
      <x:c r="H382" s="3" t="s">
        <x:v>343</x:v>
      </x:c>
      <x:c r="I382" s="3" t="s">
        <x:v>102</x:v>
      </x:c>
      <x:c r="J382" s="3" t="s">
        <x:v>103</x:v>
      </x:c>
      <x:c r="K382" s="3" t="s">
        <x:v>104</x:v>
      </x:c>
      <x:c r="L382" s="3" t="s">
        <x:v>237</x:v>
      </x:c>
      <x:c r="M382" s="3" t="s">
        <x:v>172</x:v>
      </x:c>
      <x:c r="N382" s="3" t="s">
        <x:v>238</x:v>
      </x:c>
      <x:c r="O382" s="3" t="s">
        <x:v>239</x:v>
      </x:c>
      <x:c r="P382" s="3" t="s">
        <x:v>240</x:v>
      </x:c>
      <x:c r="Q382" s="3" t="s">
        <x:v>276</x:v>
      </x:c>
      <x:c r="R382" s="3" t="s">
        <x:v>330</x:v>
      </x:c>
      <x:c r="S382" s="3" t="s">
        <x:v>135</x:v>
      </x:c>
      <x:c r="T382" s="3" t="s">
        <x:v>111</x:v>
      </x:c>
      <x:c r="U382" s="3" t="s">
        <x:v>331</x:v>
      </x:c>
      <x:c r="V382" s="3" t="s">
        <x:v>178</x:v>
      </x:c>
      <x:c r="W382" s="3" t="s">
        <x:v>332</x:v>
      </x:c>
      <x:c r="X382" s="3" t="s">
        <x:v>180</x:v>
      </x:c>
      <x:c r="Y382" s="3" t="s">
        <x:v>333</x:v>
      </x:c>
      <x:c r="Z382" s="3" t="s">
        <x:v>334</x:v>
      </x:c>
      <x:c r="AA382" s="3" t="s">
        <x:v>118</x:v>
      </x:c>
      <x:c r="AB382" s="7" t="n">
        <x:v>46274.6868055556</x:v>
      </x:c>
      <x:c r="AC382" s="7" t="n">
        <x:v>46274.6888888889</x:v>
      </x:c>
      <x:c r="AD382" s="7" t="n">
        <x:v>46274.6951388889</x:v>
      </x:c>
      <x:c r="AE382" s="7" t="n">
        <x:v>46274.7097222222</x:v>
      </x:c>
      <x:c r="AF382" s="7" t="n">
        <x:v>46274.7472222222</x:v>
      </x:c>
      <x:c r="AG382" s="3" t="n">
        <x:v>33</x:v>
      </x:c>
      <x:c r="AH382" s="3" t="n">
        <x:v>48</x:v>
      </x:c>
      <x:c r="AI382" s="3" t="s">
        <x:v>135</x:v>
      </x:c>
      <x:c r="AJ382" s="3" t="s">
        <x:v>111</x:v>
      </x:c>
      <x:c r="AK382" s="3" t="n">
        <x:v>150</x:v>
      </x:c>
      <x:c r="AL382" s="3" t="n">
        <x:v>0</x:v>
      </x:c>
      <x:c r="AM382" s="8" t="n">
        <x:v>0.54</x:v>
      </x:c>
      <x:c r="AN382" s="3" t="n">
        <x:v>1</x:v>
      </x:c>
      <x:c r="AO382" s="3" t="s">
        <x:v>9</x:v>
      </x:c>
      <x:c r="AP382" s="3" t="s">
        <x:v>584</x:v>
      </x:c>
      <x:c r="AQ382" s="3" t="s">
        <x:v>501</x:v>
      </x:c>
      <x:c r="AR382" s="9" t="n">
        <x:v>754.1</x:v>
      </x:c>
      <x:c r="AS382" s="3" t="s">
        <x:v>121</x:v>
      </x:c>
      <x:c r="AT382" s="7" t="n">
        <x:v>46301.9166666667</x:v>
      </x:c>
    </x:row>
    <x:row r="383" ht="31.299999237060547" hidden="0">
      <x:c r="A383" s="3" t="s">
        <x:v>894</x:v>
      </x:c>
      <x:c r="B383" s="3" t="s">
        <x:v>321</x:v>
      </x:c>
      <x:c r="C383" s="3" t="s">
        <x:v>322</x:v>
      </x:c>
      <x:c r="D383" s="3" t="s">
        <x:v>323</x:v>
      </x:c>
      <x:c r="E383" s="3" t="s">
        <x:v>249</x:v>
      </x:c>
      <x:c r="F383" s="3" t="s">
        <x:v>99</x:v>
      </x:c>
      <x:c r="G383" s="3" t="s">
        <x:v>324</x:v>
      </x:c>
      <x:c r="H383" s="3" t="s">
        <x:v>301</x:v>
      </x:c>
      <x:c r="I383" s="3" t="s">
        <x:v>302</x:v>
      </x:c>
      <x:c r="J383" s="3" t="s">
        <x:v>303</x:v>
      </x:c>
      <x:c r="K383" s="3" t="s">
        <x:v>104</x:v>
      </x:c>
      <x:c r="L383" s="3" t="s">
        <x:v>325</x:v>
      </x:c>
      <x:c r="M383" s="3" t="s">
        <x:v>326</x:v>
      </x:c>
      <x:c r="N383" s="3" t="s">
        <x:v>131</x:v>
      </x:c>
      <x:c r="O383" s="3" t="s">
        <x:v>327</x:v>
      </x:c>
      <x:c r="P383" s="3" t="s">
        <x:v>328</x:v>
      </x:c>
      <x:c r="Q383" s="3" t="s">
        <x:v>329</x:v>
      </x:c>
      <x:c r="R383" s="3" t="s">
        <x:v>330</x:v>
      </x:c>
      <x:c r="S383" s="3" t="s">
        <x:v>135</x:v>
      </x:c>
      <x:c r="T383" s="3" t="s">
        <x:v>111</x:v>
      </x:c>
      <x:c r="U383" s="3" t="s">
        <x:v>331</x:v>
      </x:c>
      <x:c r="V383" s="3" t="s">
        <x:v>178</x:v>
      </x:c>
      <x:c r="W383" s="3" t="s">
        <x:v>355</x:v>
      </x:c>
      <x:c r="X383" s="3" t="s">
        <x:v>180</x:v>
      </x:c>
      <x:c r="Y383" s="3" t="s">
        <x:v>356</x:v>
      </x:c>
      <x:c r="Z383" s="3" t="s">
        <x:v>334</x:v>
      </x:c>
      <x:c r="AA383" s="3" t="s">
        <x:v>118</x:v>
      </x:c>
      <x:c r="AB383" s="7" t="n">
        <x:v>46274.73125</x:v>
      </x:c>
      <x:c r="AC383" s="7" t="n">
        <x:v>46274.7354166667</x:v>
      </x:c>
      <x:c r="AD383" s="7" t="n">
        <x:v>46274.7416666667</x:v>
      </x:c>
      <x:c r="AE383" s="7" t="n">
        <x:v>46274.7736111111</x:v>
      </x:c>
      <x:c r="AF383" s="7" t="n">
        <x:v>46274.8173611111</x:v>
      </x:c>
      <x:c r="AG383" s="3" t="n">
        <x:v>61</x:v>
      </x:c>
      <x:c r="AH383" s="3" t="n">
        <x:v>56</x:v>
      </x:c>
      <x:c r="AI383" s="3" t="s">
        <x:v>135</x:v>
      </x:c>
      <x:c r="AJ383" s="3" t="s">
        <x:v>111</x:v>
      </x:c>
      <x:c r="AK383" s="3" t="n">
        <x:v>180</x:v>
      </x:c>
      <x:c r="AL383" s="3" t="n">
        <x:v>0</x:v>
      </x:c>
      <x:c r="AM383" s="8" t="n">
        <x:v>0.65</x:v>
      </x:c>
      <x:c r="AN383" s="3" t="n">
        <x:v>5</x:v>
      </x:c>
      <x:c r="AO383" s="3" t="s">
        <x:v>14</x:v>
      </x:c>
      <x:c r="AP383" s="3" t="s">
        <x:v>895</x:v>
      </x:c>
      <x:c r="AQ383" s="3" t="s">
        <x:v>685</x:v>
      </x:c>
      <x:c r="AR383" s="9" t="n">
        <x:v>1187.7</x:v>
      </x:c>
      <x:c r="AS383" s="3" t="s">
        <x:v>185</x:v>
      </x:c>
      <x:c r="AT383" s="7" t="n">
        <x:v>46301.9166666667</x:v>
      </x:c>
    </x:row>
    <x:row r="384" ht="31.299999237060547" hidden="0">
      <x:c r="A384" s="3" t="s">
        <x:v>896</x:v>
      </x:c>
      <x:c r="B384" s="3" t="s">
        <x:v>222</x:v>
      </x:c>
      <x:c r="C384" s="3" t="s">
        <x:v>223</x:v>
      </x:c>
      <x:c r="D384" s="3" t="s">
        <x:v>224</x:v>
      </x:c>
      <x:c r="E384" s="3" t="s">
        <x:v>249</x:v>
      </x:c>
      <x:c r="F384" s="3" t="s">
        <x:v>169</x:v>
      </x:c>
      <x:c r="G384" s="3" t="s">
        <x:v>522</x:v>
      </x:c>
      <x:c r="H384" s="3" t="s">
        <x:v>343</x:v>
      </x:c>
      <x:c r="I384" s="3" t="s">
        <x:v>102</x:v>
      </x:c>
      <x:c r="J384" s="3" t="s">
        <x:v>103</x:v>
      </x:c>
      <x:c r="K384" s="3" t="s">
        <x:v>104</x:v>
      </x:c>
      <x:c r="L384" s="3" t="s">
        <x:v>226</x:v>
      </x:c>
      <x:c r="M384" s="3" t="s">
        <x:v>227</x:v>
      </x:c>
      <x:c r="N384" s="3" t="s">
        <x:v>228</x:v>
      </x:c>
      <x:c r="O384" s="3" t="s">
        <x:v>229</x:v>
      </x:c>
      <x:c r="P384" s="3" t="s">
        <x:v>230</x:v>
      </x:c>
      <x:c r="Q384" s="3" t="s">
        <x:v>274</x:v>
      </x:c>
      <x:c r="R384" s="3" t="s">
        <x:v>380</x:v>
      </x:c>
      <x:c r="S384" s="3" t="s">
        <x:v>111</x:v>
      </x:c>
      <x:c r="T384" s="3" t="s">
        <x:v>111</x:v>
      </x:c>
      <x:c r="U384" s="3" t="s">
        <x:v>381</x:v>
      </x:c>
      <x:c r="V384" s="3" t="s">
        <x:v>312</x:v>
      </x:c>
      <x:c r="W384" s="3" t="s">
        <x:v>313</x:v>
      </x:c>
      <x:c r="X384" s="3" t="s">
        <x:v>314</x:v>
      </x:c>
      <x:c r="Y384" s="3" t="s">
        <x:v>315</x:v>
      </x:c>
      <x:c r="Z384" s="3" t="s">
        <x:v>384</x:v>
      </x:c>
      <x:c r="AA384" s="3" t="s">
        <x:v>385</x:v>
      </x:c>
      <x:c r="AB384" s="7" t="n">
        <x:v>46274.7506944445</x:v>
      </x:c>
      <x:c r="AC384" s="7" t="n">
        <x:v>46274.7548611111</x:v>
      </x:c>
      <x:c r="AD384" s="7" t="n">
        <x:v>46274.7576388889</x:v>
      </x:c>
      <x:c r="AE384" s="7" t="n">
        <x:v>46274.7701388889</x:v>
      </x:c>
      <x:c r="AF384" s="7" t="n">
        <x:v>46274.8298611111</x:v>
      </x:c>
      <x:c r="AG384" s="3" t="n">
        <x:v>28</x:v>
      </x:c>
      <x:c r="AH384" s="3" t="n">
        <x:v>83</x:v>
      </x:c>
      <x:c r="AI384" s="3" t="s">
        <x:v>135</x:v>
      </x:c>
      <x:c r="AJ384" s="3" t="s">
        <x:v>135</x:v>
      </x:c>
      <x:c r="AK384" s="3" t="n">
        <x:v>120</x:v>
      </x:c>
      <x:c r="AL384" s="3" t="n">
        <x:v>0</x:v>
      </x:c>
      <x:c r="AM384" s="8" t="n">
        <x:v>0.925</x:v>
      </x:c>
      <x:c r="AN384" s="3" t="n">
        <x:v>2</x:v>
      </x:c>
      <x:c r="AO384" s="3" t="s">
        <x:v>19</x:v>
      </x:c>
      <x:c r="AP384" s="3" t="s">
        <x:v>771</x:v>
      </x:c>
      <x:c r="AQ384" s="3" t="s">
        <x:v>546</x:v>
      </x:c>
      <x:c r="AR384" s="9" t="n">
        <x:v>983.6</x:v>
      </x:c>
      <x:c r="AS384" s="3" t="s">
        <x:v>185</x:v>
      </x:c>
      <x:c r="AT384" s="7" t="n">
        <x:v>46301.9166666667</x:v>
      </x:c>
    </x:row>
    <x:row r="385" ht="31.299999237060547" hidden="0">
      <x:c r="A385" s="3" t="s">
        <x:v>897</x:v>
      </x:c>
      <x:c r="B385" s="3" t="s">
        <x:v>222</x:v>
      </x:c>
      <x:c r="C385" s="3" t="s">
        <x:v>223</x:v>
      </x:c>
      <x:c r="D385" s="3" t="s">
        <x:v>224</x:v>
      </x:c>
      <x:c r="E385" s="3" t="s">
        <x:v>249</x:v>
      </x:c>
      <x:c r="F385" s="3" t="s">
        <x:v>99</x:v>
      </x:c>
      <x:c r="G385" s="3" t="s">
        <x:v>359</x:v>
      </x:c>
      <x:c r="H385" s="3" t="s">
        <x:v>101</x:v>
      </x:c>
      <x:c r="I385" s="3" t="s">
        <x:v>102</x:v>
      </x:c>
      <x:c r="J385" s="3" t="s">
        <x:v>103</x:v>
      </x:c>
      <x:c r="K385" s="3" t="s">
        <x:v>104</x:v>
      </x:c>
      <x:c r="L385" s="3" t="s">
        <x:v>226</x:v>
      </x:c>
      <x:c r="M385" s="3" t="s">
        <x:v>227</x:v>
      </x:c>
      <x:c r="N385" s="3" t="s">
        <x:v>228</x:v>
      </x:c>
      <x:c r="O385" s="3" t="s">
        <x:v>229</x:v>
      </x:c>
      <x:c r="P385" s="3" t="s">
        <x:v>230</x:v>
      </x:c>
      <x:c r="Q385" s="3" t="s">
        <x:v>274</x:v>
      </x:c>
      <x:c r="R385" s="3" t="s">
        <x:v>156</x:v>
      </x:c>
      <x:c r="S385" s="3" t="s">
        <x:v>135</x:v>
      </x:c>
      <x:c r="T385" s="3" t="s">
        <x:v>111</x:v>
      </x:c>
      <x:c r="U385" s="3" t="s">
        <x:v>157</x:v>
      </x:c>
      <x:c r="V385" s="3" t="s">
        <x:v>158</x:v>
      </x:c>
      <x:c r="W385" s="3" t="s">
        <x:v>450</x:v>
      </x:c>
      <x:c r="X385" s="3" t="s">
        <x:v>160</x:v>
      </x:c>
      <x:c r="Y385" s="3" t="s">
        <x:v>451</x:v>
      </x:c>
      <x:c r="Z385" s="3" t="s">
        <x:v>162</x:v>
      </x:c>
      <x:c r="AA385" s="3" t="s">
        <x:v>118</x:v>
      </x:c>
      <x:c r="AB385" s="7" t="n">
        <x:v>46274.7743055556</x:v>
      </x:c>
      <x:c r="AC385" s="7" t="n">
        <x:v>46274.7777777778</x:v>
      </x:c>
      <x:c r="AD385" s="7" t="n">
        <x:v>46274.7819444445</x:v>
      </x:c>
      <x:c r="AE385" s="7" t="n">
        <x:v>46274.7909722222</x:v>
      </x:c>
      <x:c r="AF385" s="7" t="n">
        <x:v>46274.8159722222</x:v>
      </x:c>
      <x:c r="AG385" s="3" t="n">
        <x:v>24</x:v>
      </x:c>
      <x:c r="AH385" s="3" t="n">
        <x:v>30</x:v>
      </x:c>
      <x:c r="AI385" s="3" t="s">
        <x:v>135</x:v>
      </x:c>
      <x:c r="AJ385" s="3" t="s">
        <x:v>135</x:v>
      </x:c>
      <x:c r="AK385" s="3" t="n">
        <x:v>180</x:v>
      </x:c>
      <x:c r="AL385" s="3" t="n">
        <x:v>0</x:v>
      </x:c>
      <x:c r="AM385" s="8" t="n">
        <x:v>0.3</x:v>
      </x:c>
      <x:c r="AN385" s="3" t="n">
        <x:v>0</x:v>
      </x:c>
      <x:c r="AO385" s="3" t="s">
        <x:v>9</x:v>
      </x:c>
      <x:c r="AP385" s="3" t="s">
        <x:v>142</x:v>
      </x:c>
      <x:c r="AQ385" s="3" t="s">
        <x:v>452</x:v>
      </x:c>
      <x:c r="AR385" s="9" t="n">
        <x:v>584</x:v>
      </x:c>
      <x:c r="AS385" s="3" t="s">
        <x:v>144</x:v>
      </x:c>
      <x:c r="AT385" s="7" t="n">
        <x:v>46301.9166666667</x:v>
      </x:c>
    </x:row>
    <x:row r="386" ht="31.299999237060547" hidden="0">
      <x:c r="A386" s="3" t="s">
        <x:v>898</x:v>
      </x:c>
      <x:c r="B386" s="3" t="s">
        <x:v>146</x:v>
      </x:c>
      <x:c r="C386" s="3" t="s">
        <x:v>147</x:v>
      </x:c>
      <x:c r="D386" s="3" t="s">
        <x:v>148</x:v>
      </x:c>
      <x:c r="E386" s="3" t="s">
        <x:v>249</x:v>
      </x:c>
      <x:c r="F386" s="3" t="s">
        <x:v>149</x:v>
      </x:c>
      <x:c r="G386" s="3" t="s">
        <x:v>416</x:v>
      </x:c>
      <x:c r="H386" s="3" t="s">
        <x:v>339</x:v>
      </x:c>
      <x:c r="I386" s="3" t="s">
        <x:v>102</x:v>
      </x:c>
      <x:c r="J386" s="3" t="s">
        <x:v>103</x:v>
      </x:c>
      <x:c r="K386" s="3" t="s">
        <x:v>104</x:v>
      </x:c>
      <x:c r="L386" s="3" t="s">
        <x:v>151</x:v>
      </x:c>
      <x:c r="M386" s="3" t="s">
        <x:v>152</x:v>
      </x:c>
      <x:c r="N386" s="3" t="s">
        <x:v>153</x:v>
      </x:c>
      <x:c r="O386" s="3" t="s">
        <x:v>154</x:v>
      </x:c>
      <x:c r="P386" s="3" t="s">
        <x:v>155</x:v>
      </x:c>
      <x:c r="Q386" s="3" t="s">
        <x:v>270</x:v>
      </x:c>
      <x:c r="R386" s="3" t="s">
        <x:v>373</x:v>
      </x:c>
      <x:c r="S386" s="3" t="s">
        <x:v>135</x:v>
      </x:c>
      <x:c r="T386" s="3" t="s">
        <x:v>111</x:v>
      </x:c>
      <x:c r="U386" s="3" t="s">
        <x:v>374</x:v>
      </x:c>
      <x:c r="V386" s="3" t="s">
        <x:v>178</x:v>
      </x:c>
      <x:c r="W386" s="3" t="s">
        <x:v>355</x:v>
      </x:c>
      <x:c r="X386" s="3" t="s">
        <x:v>180</x:v>
      </x:c>
      <x:c r="Y386" s="3" t="s">
        <x:v>356</x:v>
      </x:c>
      <x:c r="Z386" s="3" t="s">
        <x:v>375</x:v>
      </x:c>
      <x:c r="AA386" s="3" t="s">
        <x:v>118</x:v>
      </x:c>
      <x:c r="AB386" s="7" t="n">
        <x:v>46274.8652777778</x:v>
      </x:c>
      <x:c r="AC386" s="7" t="n">
        <x:v>46274.8694444444</x:v>
      </x:c>
      <x:c r="AD386" s="7" t="n">
        <x:v>46274.8722222222</x:v>
      </x:c>
      <x:c r="AE386" s="7" t="n">
        <x:v>46274.8840277778</x:v>
      </x:c>
      <x:c r="AF386" s="7" t="n">
        <x:v>46274.9270833333</x:v>
      </x:c>
      <x:c r="AG386" s="3" t="n">
        <x:v>27</x:v>
      </x:c>
      <x:c r="AH386" s="3" t="n">
        <x:v>56</x:v>
      </x:c>
      <x:c r="AI386" s="3" t="s">
        <x:v>135</x:v>
      </x:c>
      <x:c r="AJ386" s="3" t="s">
        <x:v>135</x:v>
      </x:c>
      <x:c r="AK386" s="3" t="n">
        <x:v>180</x:v>
      </x:c>
      <x:c r="AL386" s="3" t="n">
        <x:v>0</x:v>
      </x:c>
      <x:c r="AM386" s="8" t="n">
        <x:v>0.4611</x:v>
      </x:c>
      <x:c r="AN386" s="3" t="n">
        <x:v>0</x:v>
      </x:c>
      <x:c r="AO386" s="3" t="s">
        <x:v>9</x:v>
      </x:c>
      <x:c r="AP386" s="3" t="s">
        <x:v>142</x:v>
      </x:c>
      <x:c r="AQ386" s="3" t="s">
        <x:v>411</x:v>
      </x:c>
      <x:c r="AR386" s="9" t="n">
        <x:v>784.7</x:v>
      </x:c>
      <x:c r="AS386" s="3" t="s">
        <x:v>121</x:v>
      </x:c>
      <x:c r="AT386" s="7" t="n">
        <x:v>46301.9166666667</x:v>
      </x:c>
    </x:row>
    <x:row r="387" ht="31.299999237060547" hidden="0">
      <x:c r="A387" s="3" t="s">
        <x:v>899</x:v>
      </x:c>
      <x:c r="B387" s="3" t="s">
        <x:v>297</x:v>
      </x:c>
      <x:c r="C387" s="3" t="s">
        <x:v>298</x:v>
      </x:c>
      <x:c r="D387" s="3" t="s">
        <x:v>299</x:v>
      </x:c>
      <x:c r="E387" s="3" t="s">
        <x:v>249</x:v>
      </x:c>
      <x:c r="F387" s="3" t="s">
        <x:v>99</x:v>
      </x:c>
      <x:c r="G387" s="3" t="s">
        <x:v>467</x:v>
      </x:c>
      <x:c r="H387" s="3" t="s">
        <x:v>301</x:v>
      </x:c>
      <x:c r="I387" s="3" t="s">
        <x:v>302</x:v>
      </x:c>
      <x:c r="J387" s="3" t="s">
        <x:v>303</x:v>
      </x:c>
      <x:c r="K387" s="3" t="s">
        <x:v>104</x:v>
      </x:c>
      <x:c r="L387" s="3" t="s">
        <x:v>304</x:v>
      </x:c>
      <x:c r="M387" s="3" t="s">
        <x:v>305</x:v>
      </x:c>
      <x:c r="N387" s="3" t="s">
        <x:v>306</x:v>
      </x:c>
      <x:c r="O387" s="3" t="s">
        <x:v>307</x:v>
      </x:c>
      <x:c r="P387" s="3" t="s">
        <x:v>308</x:v>
      </x:c>
      <x:c r="Q387" s="3" t="s">
        <x:v>309</x:v>
      </x:c>
      <x:c r="R387" s="3" t="s">
        <x:v>214</x:v>
      </x:c>
      <x:c r="S387" s="3" t="s">
        <x:v>135</x:v>
      </x:c>
      <x:c r="T387" s="3" t="s">
        <x:v>111</x:v>
      </x:c>
      <x:c r="U387" s="3" t="s">
        <x:v>215</x:v>
      </x:c>
      <x:c r="V387" s="3" t="s">
        <x:v>216</x:v>
      </x:c>
      <x:c r="W387" s="3" t="s">
        <x:v>429</x:v>
      </x:c>
      <x:c r="X387" s="3" t="s">
        <x:v>430</x:v>
      </x:c>
      <x:c r="Y387" s="3" t="s">
        <x:v>431</x:v>
      </x:c>
      <x:c r="Z387" s="3" t="s">
        <x:v>219</x:v>
      </x:c>
      <x:c r="AA387" s="3" t="s">
        <x:v>118</x:v>
      </x:c>
      <x:c r="AB387" s="7" t="n">
        <x:v>46275.3979166667</x:v>
      </x:c>
      <x:c r="AC387" s="7" t="n">
        <x:v>46275.4027777778</x:v>
      </x:c>
      <x:c r="AD387" s="7" t="n">
        <x:v>46275.4048611111</x:v>
      </x:c>
      <x:c r="AE387" s="7" t="n">
        <x:v>46275.4263888889</x:v>
      </x:c>
      <x:c r="AF387" s="7" t="n">
        <x:v>46275.4548611111</x:v>
      </x:c>
      <x:c r="AG387" s="3" t="n">
        <x:v>41</x:v>
      </x:c>
      <x:c r="AH387" s="3" t="n">
        <x:v>38</x:v>
      </x:c>
      <x:c r="AI387" s="3" t="s">
        <x:v>135</x:v>
      </x:c>
      <x:c r="AJ387" s="3" t="s">
        <x:v>111</x:v>
      </x:c>
      <x:c r="AK387" s="3" t="n">
        <x:v>180</x:v>
      </x:c>
      <x:c r="AL387" s="3" t="n">
        <x:v>0</x:v>
      </x:c>
      <x:c r="AM387" s="8" t="n">
        <x:v>0.4389</x:v>
      </x:c>
      <x:c r="AN387" s="3" t="n">
        <x:v>1</x:v>
      </x:c>
      <x:c r="AO387" s="3" t="s">
        <x:v>9</x:v>
      </x:c>
      <x:c r="AP387" s="3" t="s">
        <x:v>584</x:v>
      </x:c>
      <x:c r="AQ387" s="3" t="s">
        <x:v>603</x:v>
      </x:c>
      <x:c r="AR387" s="9" t="n">
        <x:v>1098.1</x:v>
      </x:c>
      <x:c r="AS387" s="3" t="s">
        <x:v>121</x:v>
      </x:c>
      <x:c r="AT387" s="7" t="n">
        <x:v>46301.9166666667</x:v>
      </x:c>
    </x:row>
    <x:row r="388" ht="31.299999237060547" hidden="0">
      <x:c r="A388" s="3" t="s">
        <x:v>900</x:v>
      </x:c>
      <x:c r="B388" s="3" t="s">
        <x:v>83</x:v>
      </x:c>
      <x:c r="C388" s="3" t="s">
        <x:v>96</x:v>
      </x:c>
      <x:c r="D388" s="3" t="s">
        <x:v>97</x:v>
      </x:c>
      <x:c r="E388" s="3" t="s">
        <x:v>249</x:v>
      </x:c>
      <x:c r="F388" s="3" t="s">
        <x:v>149</x:v>
      </x:c>
      <x:c r="G388" s="3" t="s">
        <x:v>477</x:v>
      </x:c>
      <x:c r="H388" s="3" t="s">
        <x:v>343</x:v>
      </x:c>
      <x:c r="I388" s="3" t="s">
        <x:v>102</x:v>
      </x:c>
      <x:c r="J388" s="3" t="s">
        <x:v>103</x:v>
      </x:c>
      <x:c r="K388" s="3" t="s">
        <x:v>104</x:v>
      </x:c>
      <x:c r="L388" s="3" t="s">
        <x:v>105</x:v>
      </x:c>
      <x:c r="M388" s="3" t="s">
        <x:v>106</x:v>
      </x:c>
      <x:c r="N388" s="3" t="s">
        <x:v>107</x:v>
      </x:c>
      <x:c r="O388" s="3" t="s">
        <x:v>108</x:v>
      </x:c>
      <x:c r="P388" s="3" t="s">
        <x:v>109</x:v>
      </x:c>
      <x:c r="Q388" s="3" t="s">
        <x:v>250</x:v>
      </x:c>
      <x:c r="R388" s="3" t="s">
        <x:v>214</x:v>
      </x:c>
      <x:c r="S388" s="3" t="s">
        <x:v>135</x:v>
      </x:c>
      <x:c r="T388" s="3" t="s">
        <x:v>111</x:v>
      </x:c>
      <x:c r="U388" s="3" t="s">
        <x:v>215</x:v>
      </x:c>
      <x:c r="V388" s="3" t="s">
        <x:v>216</x:v>
      </x:c>
      <x:c r="W388" s="3" t="s">
        <x:v>429</x:v>
      </x:c>
      <x:c r="X388" s="3" t="s">
        <x:v>430</x:v>
      </x:c>
      <x:c r="Y388" s="3" t="s">
        <x:v>431</x:v>
      </x:c>
      <x:c r="Z388" s="3" t="s">
        <x:v>219</x:v>
      </x:c>
      <x:c r="AA388" s="3" t="s">
        <x:v>118</x:v>
      </x:c>
      <x:c r="AB388" s="7" t="n">
        <x:v>46275.4138888889</x:v>
      </x:c>
      <x:c r="AC388" s="7" t="n">
        <x:v>46275.41875</x:v>
      </x:c>
      <x:c r="AD388" s="7" t="n">
        <x:v>46275.4222222222</x:v>
      </x:c>
      <x:c r="AE388" s="7" t="n">
        <x:v>46275.4493055556</x:v>
      </x:c>
      <x:c r="AF388" s="7" t="n">
        <x:v>46275.4833333333</x:v>
      </x:c>
      <x:c r="AG388" s="3" t="n">
        <x:v>51</x:v>
      </x:c>
      <x:c r="AH388" s="3" t="n">
        <x:v>44</x:v>
      </x:c>
      <x:c r="AI388" s="3" t="s">
        <x:v>111</x:v>
      </x:c>
      <x:c r="AJ388" s="3" t="s">
        <x:v>111</x:v>
      </x:c>
      <x:c r="AK388" s="3" t="n">
        <x:v>60</x:v>
      </x:c>
      <x:c r="AL388" s="3" t="n">
        <x:v>0</x:v>
      </x:c>
      <x:c r="AM388" s="8" t="n">
        <x:v>1.5833</x:v>
      </x:c>
      <x:c r="AN388" s="3" t="n">
        <x:v>2</x:v>
      </x:c>
      <x:c r="AO388" s="3" t="s">
        <x:v>24</x:v>
      </x:c>
      <x:c r="AP388" s="3" t="s">
        <x:v>729</x:v>
      </x:c>
      <x:c r="AQ388" s="3" t="s">
        <x:v>562</x:v>
      </x:c>
      <x:c r="AR388" s="9" t="n">
        <x:v>1126.3</x:v>
      </x:c>
      <x:c r="AS388" s="3" t="s">
        <x:v>185</x:v>
      </x:c>
      <x:c r="AT388" s="7" t="n">
        <x:v>46301.9166666667</x:v>
      </x:c>
    </x:row>
    <x:row r="389" ht="31.299999237060547" hidden="0">
      <x:c r="A389" s="3" t="s">
        <x:v>901</x:v>
      </x:c>
      <x:c r="B389" s="3" t="s">
        <x:v>146</x:v>
      </x:c>
      <x:c r="C389" s="3" t="s">
        <x:v>147</x:v>
      </x:c>
      <x:c r="D389" s="3" t="s">
        <x:v>148</x:v>
      </x:c>
      <x:c r="E389" s="3" t="s">
        <x:v>249</x:v>
      </x:c>
      <x:c r="F389" s="3" t="s">
        <x:v>99</x:v>
      </x:c>
      <x:c r="G389" s="3" t="s">
        <x:v>456</x:v>
      </x:c>
      <x:c r="H389" s="3" t="s">
        <x:v>343</x:v>
      </x:c>
      <x:c r="I389" s="3" t="s">
        <x:v>102</x:v>
      </x:c>
      <x:c r="J389" s="3" t="s">
        <x:v>103</x:v>
      </x:c>
      <x:c r="K389" s="3" t="s">
        <x:v>104</x:v>
      </x:c>
      <x:c r="L389" s="3" t="s">
        <x:v>151</x:v>
      </x:c>
      <x:c r="M389" s="3" t="s">
        <x:v>152</x:v>
      </x:c>
      <x:c r="N389" s="3" t="s">
        <x:v>153</x:v>
      </x:c>
      <x:c r="O389" s="3" t="s">
        <x:v>154</x:v>
      </x:c>
      <x:c r="P389" s="3" t="s">
        <x:v>155</x:v>
      </x:c>
      <x:c r="Q389" s="3" t="s">
        <x:v>270</x:v>
      </x:c>
      <x:c r="R389" s="3" t="s">
        <x:v>391</x:v>
      </x:c>
      <x:c r="S389" s="3" t="s">
        <x:v>135</x:v>
      </x:c>
      <x:c r="T389" s="3" t="s">
        <x:v>135</x:v>
      </x:c>
      <x:c r="U389" s="3" t="s">
        <x:v>392</x:v>
      </x:c>
      <x:c r="V389" s="3" t="s">
        <x:v>312</x:v>
      </x:c>
      <x:c r="W389" s="3" t="s">
        <x:v>382</x:v>
      </x:c>
      <x:c r="X389" s="3" t="s">
        <x:v>314</x:v>
      </x:c>
      <x:c r="Y389" s="3" t="s">
        <x:v>383</x:v>
      </x:c>
      <x:c r="Z389" s="3" t="s">
        <x:v>393</x:v>
      </x:c>
      <x:c r="AA389" s="3" t="s">
        <x:v>394</x:v>
      </x:c>
      <x:c r="AB389" s="7" t="n">
        <x:v>46275.4284722222</x:v>
      </x:c>
      <x:c r="AC389" s="7" t="n">
        <x:v>46275.4305555556</x:v>
      </x:c>
      <x:c r="AD389" s="7" t="n">
        <x:v>46275.4361111111</x:v>
      </x:c>
      <x:c r="AE389" s="7" t="n">
        <x:v>46275.4576388889</x:v>
      </x:c>
      <x:c r="AF389" s="7" t="n">
        <x:v>46275.5125</x:v>
      </x:c>
      <x:c r="AG389" s="3" t="n">
        <x:v>42</x:v>
      </x:c>
      <x:c r="AH389" s="3" t="n">
        <x:v>73</x:v>
      </x:c>
      <x:c r="AI389" s="3" t="s">
        <x:v>135</x:v>
      </x:c>
      <x:c r="AJ389" s="3" t="s">
        <x:v>135</x:v>
      </x:c>
      <x:c r="AK389" s="3" t="n">
        <x:v>180</x:v>
      </x:c>
      <x:c r="AL389" s="3" t="n">
        <x:v>0</x:v>
      </x:c>
      <x:c r="AM389" s="8" t="n">
        <x:v>0.6389</x:v>
      </x:c>
      <x:c r="AN389" s="3" t="n">
        <x:v>0</x:v>
      </x:c>
      <x:c r="AO389" s="3" t="s">
        <x:v>14</x:v>
      </x:c>
      <x:c r="AP389" s="3" t="s">
        <x:v>347</x:v>
      </x:c>
      <x:c r="AQ389" s="3" t="s">
        <x:v>411</x:v>
      </x:c>
      <x:c r="AR389" s="9" t="n">
        <x:v>974.6</x:v>
      </x:c>
      <x:c r="AS389" s="3" t="s">
        <x:v>185</x:v>
      </x:c>
      <x:c r="AT389" s="7" t="n">
        <x:v>46301.9166666667</x:v>
      </x:c>
    </x:row>
    <x:row r="390" ht="31.299999237060547" hidden="0">
      <x:c r="A390" s="3" t="s">
        <x:v>902</x:v>
      </x:c>
      <x:c r="B390" s="3" t="s">
        <x:v>123</x:v>
      </x:c>
      <x:c r="C390" s="3" t="s">
        <x:v>124</x:v>
      </x:c>
      <x:c r="D390" s="3" t="s">
        <x:v>125</x:v>
      </x:c>
      <x:c r="E390" s="3" t="s">
        <x:v>249</x:v>
      </x:c>
      <x:c r="F390" s="3" t="s">
        <x:v>149</x:v>
      </x:c>
      <x:c r="G390" s="3" t="s">
        <x:v>388</x:v>
      </x:c>
      <x:c r="H390" s="3" t="s">
        <x:v>339</x:v>
      </x:c>
      <x:c r="I390" s="3" t="s">
        <x:v>102</x:v>
      </x:c>
      <x:c r="J390" s="3" t="s">
        <x:v>103</x:v>
      </x:c>
      <x:c r="K390" s="3" t="s">
        <x:v>104</x:v>
      </x:c>
      <x:c r="L390" s="3" t="s">
        <x:v>129</x:v>
      </x:c>
      <x:c r="M390" s="3" t="s">
        <x:v>130</x:v>
      </x:c>
      <x:c r="N390" s="3" t="s">
        <x:v>131</x:v>
      </x:c>
      <x:c r="O390" s="3" t="s">
        <x:v>132</x:v>
      </x:c>
      <x:c r="P390" s="3" t="s">
        <x:v>133</x:v>
      </x:c>
      <x:c r="Q390" s="3" t="s">
        <x:v>268</x:v>
      </x:c>
      <x:c r="R390" s="3" t="s">
        <x:v>110</x:v>
      </x:c>
      <x:c r="S390" s="3" t="s">
        <x:v>111</x:v>
      </x:c>
      <x:c r="T390" s="3" t="s">
        <x:v>111</x:v>
      </x:c>
      <x:c r="U390" s="3" t="s">
        <x:v>112</x:v>
      </x:c>
      <x:c r="V390" s="3" t="s">
        <x:v>113</x:v>
      </x:c>
      <x:c r="W390" s="3" t="s">
        <x:v>114</x:v>
      </x:c>
      <x:c r="X390" s="3" t="s">
        <x:v>115</x:v>
      </x:c>
      <x:c r="Y390" s="3" t="s">
        <x:v>116</x:v>
      </x:c>
      <x:c r="Z390" s="3" t="s">
        <x:v>117</x:v>
      </x:c>
      <x:c r="AA390" s="3" t="s">
        <x:v>118</x:v>
      </x:c>
      <x:c r="AB390" s="7" t="n">
        <x:v>46275.4541666667</x:v>
      </x:c>
      <x:c r="AC390" s="7" t="n">
        <x:v>46275.4583333333</x:v>
      </x:c>
      <x:c r="AD390" s="7" t="n">
        <x:v>46275.4611111111</x:v>
      </x:c>
      <x:c r="AE390" s="7" t="n">
        <x:v>46275.4784722222</x:v>
      </x:c>
      <x:c r="AF390" s="7" t="n">
        <x:v>46275.5041666667</x:v>
      </x:c>
      <x:c r="AG390" s="3" t="n">
        <x:v>35</x:v>
      </x:c>
      <x:c r="AH390" s="3" t="n">
        <x:v>31</x:v>
      </x:c>
      <x:c r="AI390" s="3" t="s">
        <x:v>135</x:v>
      </x:c>
      <x:c r="AJ390" s="3" t="s">
        <x:v>135</x:v>
      </x:c>
      <x:c r="AK390" s="3" t="n">
        <x:v>120</x:v>
      </x:c>
      <x:c r="AL390" s="3" t="n">
        <x:v>0</x:v>
      </x:c>
      <x:c r="AM390" s="8" t="n">
        <x:v>0.55</x:v>
      </x:c>
      <x:c r="AN390" s="3" t="n">
        <x:v>0</x:v>
      </x:c>
      <x:c r="AO390" s="3" t="s">
        <x:v>9</x:v>
      </x:c>
      <x:c r="AP390" s="3" t="s">
        <x:v>142</x:v>
      </x:c>
      <x:c r="AQ390" s="3" t="s">
        <x:v>482</x:v>
      </x:c>
      <x:c r="AR390" s="9" t="n">
        <x:v>640.7</x:v>
      </x:c>
      <x:c r="AS390" s="3" t="s">
        <x:v>185</x:v>
      </x:c>
      <x:c r="AT390" s="7" t="n">
        <x:v>46301.9166666667</x:v>
      </x:c>
    </x:row>
    <x:row r="391" ht="31.299999237060547" hidden="0">
      <x:c r="A391" s="3" t="s">
        <x:v>903</x:v>
      </x:c>
      <x:c r="B391" s="3" t="s">
        <x:v>222</x:v>
      </x:c>
      <x:c r="C391" s="3" t="s">
        <x:v>223</x:v>
      </x:c>
      <x:c r="D391" s="3" t="s">
        <x:v>224</x:v>
      </x:c>
      <x:c r="E391" s="3" t="s">
        <x:v>249</x:v>
      </x:c>
      <x:c r="F391" s="3" t="s">
        <x:v>149</x:v>
      </x:c>
      <x:c r="G391" s="3" t="s">
        <x:v>379</x:v>
      </x:c>
      <x:c r="H391" s="3" t="s">
        <x:v>339</x:v>
      </x:c>
      <x:c r="I391" s="3" t="s">
        <x:v>102</x:v>
      </x:c>
      <x:c r="J391" s="3" t="s">
        <x:v>103</x:v>
      </x:c>
      <x:c r="K391" s="3" t="s">
        <x:v>104</x:v>
      </x:c>
      <x:c r="L391" s="3" t="s">
        <x:v>226</x:v>
      </x:c>
      <x:c r="M391" s="3" t="s">
        <x:v>227</x:v>
      </x:c>
      <x:c r="N391" s="3" t="s">
        <x:v>228</x:v>
      </x:c>
      <x:c r="O391" s="3" t="s">
        <x:v>229</x:v>
      </x:c>
      <x:c r="P391" s="3" t="s">
        <x:v>230</x:v>
      </x:c>
      <x:c r="Q391" s="3" t="s">
        <x:v>274</x:v>
      </x:c>
      <x:c r="R391" s="3" t="s">
        <x:v>380</x:v>
      </x:c>
      <x:c r="S391" s="3" t="s">
        <x:v>111</x:v>
      </x:c>
      <x:c r="T391" s="3" t="s">
        <x:v>111</x:v>
      </x:c>
      <x:c r="U391" s="3" t="s">
        <x:v>381</x:v>
      </x:c>
      <x:c r="V391" s="3" t="s">
        <x:v>312</x:v>
      </x:c>
      <x:c r="W391" s="3" t="s">
        <x:v>351</x:v>
      </x:c>
      <x:c r="X391" s="3" t="s">
        <x:v>314</x:v>
      </x:c>
      <x:c r="Y391" s="3" t="s">
        <x:v>352</x:v>
      </x:c>
      <x:c r="Z391" s="3" t="s">
        <x:v>384</x:v>
      </x:c>
      <x:c r="AA391" s="3" t="s">
        <x:v>385</x:v>
      </x:c>
      <x:c r="AB391" s="7" t="n">
        <x:v>46275.5347222222</x:v>
      </x:c>
      <x:c r="AC391" s="7" t="n">
        <x:v>46275.5388888889</x:v>
      </x:c>
      <x:c r="AD391" s="7" t="n">
        <x:v>46275.5416666667</x:v>
      </x:c>
      <x:c r="AE391" s="7" t="n">
        <x:v>46275.5680555556</x:v>
      </x:c>
      <x:c r="AF391" s="7" t="n">
        <x:v>46275.5972222222</x:v>
      </x:c>
      <x:c r="AG391" s="3" t="n">
        <x:v>48</x:v>
      </x:c>
      <x:c r="AH391" s="3" t="n">
        <x:v>38</x:v>
      </x:c>
      <x:c r="AI391" s="3" t="s">
        <x:v>135</x:v>
      </x:c>
      <x:c r="AJ391" s="3" t="s">
        <x:v>135</x:v>
      </x:c>
      <x:c r="AK391" s="3" t="n">
        <x:v>120</x:v>
      </x:c>
      <x:c r="AL391" s="3" t="n">
        <x:v>0</x:v>
      </x:c>
      <x:c r="AM391" s="8" t="n">
        <x:v>0.7167</x:v>
      </x:c>
      <x:c r="AN391" s="3" t="n">
        <x:v>0</x:v>
      </x:c>
      <x:c r="AO391" s="3" t="s">
        <x:v>14</x:v>
      </x:c>
      <x:c r="AP391" s="3" t="s">
        <x:v>347</x:v>
      </x:c>
      <x:c r="AQ391" s="3" t="s">
        <x:v>370</x:v>
      </x:c>
      <x:c r="AR391" s="9" t="n">
        <x:v>749.6</x:v>
      </x:c>
      <x:c r="AS391" s="3" t="s">
        <x:v>121</x:v>
      </x:c>
      <x:c r="AT391" s="7" t="n">
        <x:v>46301.9166666667</x:v>
      </x:c>
    </x:row>
    <x:row r="392" ht="31.299999237060547" hidden="0">
      <x:c r="A392" s="3" t="s">
        <x:v>904</x:v>
      </x:c>
      <x:c r="B392" s="3" t="s">
        <x:v>166</x:v>
      </x:c>
      <x:c r="C392" s="3" t="s">
        <x:v>167</x:v>
      </x:c>
      <x:c r="D392" s="3" t="s">
        <x:v>168</x:v>
      </x:c>
      <x:c r="E392" s="3" t="s">
        <x:v>249</x:v>
      </x:c>
      <x:c r="F392" s="3" t="s">
        <x:v>169</x:v>
      </x:c>
      <x:c r="G392" s="3" t="s">
        <x:v>498</x:v>
      </x:c>
      <x:c r="H392" s="3" t="s">
        <x:v>101</x:v>
      </x:c>
      <x:c r="I392" s="3" t="s">
        <x:v>102</x:v>
      </x:c>
      <x:c r="J392" s="3" t="s">
        <x:v>103</x:v>
      </x:c>
      <x:c r="K392" s="3" t="s">
        <x:v>104</x:v>
      </x:c>
      <x:c r="L392" s="3" t="s">
        <x:v>171</x:v>
      </x:c>
      <x:c r="M392" s="3" t="s">
        <x:v>172</x:v>
      </x:c>
      <x:c r="N392" s="3" t="s">
        <x:v>173</x:v>
      </x:c>
      <x:c r="O392" s="3" t="s">
        <x:v>174</x:v>
      </x:c>
      <x:c r="P392" s="3" t="s">
        <x:v>175</x:v>
      </x:c>
      <x:c r="Q392" s="3" t="s">
        <x:v>271</x:v>
      </x:c>
      <x:c r="R392" s="3" t="s">
        <x:v>310</x:v>
      </x:c>
      <x:c r="S392" s="3" t="s">
        <x:v>135</x:v>
      </x:c>
      <x:c r="T392" s="3" t="s">
        <x:v>111</x:v>
      </x:c>
      <x:c r="U392" s="3" t="s">
        <x:v>311</x:v>
      </x:c>
      <x:c r="V392" s="3" t="s">
        <x:v>312</x:v>
      </x:c>
      <x:c r="W392" s="3" t="s">
        <x:v>351</x:v>
      </x:c>
      <x:c r="X392" s="3" t="s">
        <x:v>314</x:v>
      </x:c>
      <x:c r="Y392" s="3" t="s">
        <x:v>352</x:v>
      </x:c>
      <x:c r="Z392" s="3" t="s">
        <x:v>316</x:v>
      </x:c>
      <x:c r="AA392" s="3" t="s">
        <x:v>317</x:v>
      </x:c>
      <x:c r="AB392" s="7" t="n">
        <x:v>46275.5888888889</x:v>
      </x:c>
      <x:c r="AC392" s="7" t="n">
        <x:v>46275.5902777778</x:v>
      </x:c>
      <x:c r="AD392" s="7" t="n">
        <x:v>46275.5944444445</x:v>
      </x:c>
      <x:c r="AE392" s="7" t="n">
        <x:v>46275.6125</x:v>
      </x:c>
      <x:c r="AF392" s="7" t="n">
        <x:v>46275.6631944444</x:v>
      </x:c>
      <x:c r="AG392" s="3" t="n">
        <x:v>34</x:v>
      </x:c>
      <x:c r="AH392" s="3" t="n">
        <x:v>64</x:v>
      </x:c>
      <x:c r="AI392" s="3" t="s">
        <x:v>135</x:v>
      </x:c>
      <x:c r="AJ392" s="3" t="s">
        <x:v>135</x:v>
      </x:c>
      <x:c r="AK392" s="3" t="n">
        <x:v>150</x:v>
      </x:c>
      <x:c r="AL392" s="3" t="n">
        <x:v>0</x:v>
      </x:c>
      <x:c r="AM392" s="8" t="n">
        <x:v>0.6533</x:v>
      </x:c>
      <x:c r="AN392" s="3" t="n">
        <x:v>1</x:v>
      </x:c>
      <x:c r="AO392" s="3" t="s">
        <x:v>14</x:v>
      </x:c>
      <x:c r="AP392" s="3" t="s">
        <x:v>471</x:v>
      </x:c>
      <x:c r="AQ392" s="3" t="s">
        <x:v>501</x:v>
      </x:c>
      <x:c r="AR392" s="9" t="n">
        <x:v>1253.8</x:v>
      </x:c>
      <x:c r="AS392" s="3" t="s">
        <x:v>121</x:v>
      </x:c>
      <x:c r="AT392" s="7" t="n">
        <x:v>46301.9166666667</x:v>
      </x:c>
    </x:row>
    <x:row r="393" ht="31.299999237060547" hidden="0">
      <x:c r="A393" s="3" t="s">
        <x:v>905</x:v>
      </x:c>
      <x:c r="B393" s="3" t="s">
        <x:v>83</x:v>
      </x:c>
      <x:c r="C393" s="3" t="s">
        <x:v>96</x:v>
      </x:c>
      <x:c r="D393" s="3" t="s">
        <x:v>97</x:v>
      </x:c>
      <x:c r="E393" s="3" t="s">
        <x:v>249</x:v>
      </x:c>
      <x:c r="F393" s="3" t="s">
        <x:v>169</x:v>
      </x:c>
      <x:c r="G393" s="3" t="s">
        <x:v>416</x:v>
      </x:c>
      <x:c r="H393" s="3" t="s">
        <x:v>339</x:v>
      </x:c>
      <x:c r="I393" s="3" t="s">
        <x:v>102</x:v>
      </x:c>
      <x:c r="J393" s="3" t="s">
        <x:v>103</x:v>
      </x:c>
      <x:c r="K393" s="3" t="s">
        <x:v>104</x:v>
      </x:c>
      <x:c r="L393" s="3" t="s">
        <x:v>105</x:v>
      </x:c>
      <x:c r="M393" s="3" t="s">
        <x:v>106</x:v>
      </x:c>
      <x:c r="N393" s="3" t="s">
        <x:v>107</x:v>
      </x:c>
      <x:c r="O393" s="3" t="s">
        <x:v>108</x:v>
      </x:c>
      <x:c r="P393" s="3" t="s">
        <x:v>109</x:v>
      </x:c>
      <x:c r="Q393" s="3" t="s">
        <x:v>250</x:v>
      </x:c>
      <x:c r="R393" s="3" t="s">
        <x:v>373</x:v>
      </x:c>
      <x:c r="S393" s="3" t="s">
        <x:v>135</x:v>
      </x:c>
      <x:c r="T393" s="3" t="s">
        <x:v>111</x:v>
      </x:c>
      <x:c r="U393" s="3" t="s">
        <x:v>374</x:v>
      </x:c>
      <x:c r="V393" s="3" t="s">
        <x:v>178</x:v>
      </x:c>
      <x:c r="W393" s="3" t="s">
        <x:v>179</x:v>
      </x:c>
      <x:c r="X393" s="3" t="s">
        <x:v>180</x:v>
      </x:c>
      <x:c r="Y393" s="3" t="s">
        <x:v>414</x:v>
      </x:c>
      <x:c r="Z393" s="3" t="s">
        <x:v>375</x:v>
      </x:c>
      <x:c r="AA393" s="3" t="s">
        <x:v>118</x:v>
      </x:c>
      <x:c r="AB393" s="7" t="n">
        <x:v>46275.6548611111</x:v>
      </x:c>
      <x:c r="AC393" s="7" t="n">
        <x:v>46275.6576388889</x:v>
      </x:c>
      <x:c r="AD393" s="7" t="n">
        <x:v>46275.6590277778</x:v>
      </x:c>
      <x:c r="AE393" s="7" t="n">
        <x:v>46275.6756944444</x:v>
      </x:c>
      <x:c r="AF393" s="7" t="n">
        <x:v>46275.7006944444</x:v>
      </x:c>
      <x:c r="AG393" s="3" t="n">
        <x:v>30</x:v>
      </x:c>
      <x:c r="AH393" s="3" t="n">
        <x:v>33</x:v>
      </x:c>
      <x:c r="AI393" s="3" t="s">
        <x:v>111</x:v>
      </x:c>
      <x:c r="AJ393" s="3" t="s">
        <x:v>111</x:v>
      </x:c>
      <x:c r="AK393" s="3" t="n">
        <x:v>60</x:v>
      </x:c>
      <x:c r="AL393" s="3" t="n">
        <x:v>0</x:v>
      </x:c>
      <x:c r="AM393" s="8" t="n">
        <x:v>1.05</x:v>
      </x:c>
      <x:c r="AN393" s="3" t="n">
        <x:v>3</x:v>
      </x:c>
      <x:c r="AO393" s="3" t="s">
        <x:v>24</x:v>
      </x:c>
      <x:c r="AP393" s="3" t="s">
        <x:v>906</x:v>
      </x:c>
      <x:c r="AQ393" s="3" t="s">
        <x:v>907</x:v>
      </x:c>
      <x:c r="AR393" s="9" t="n">
        <x:v>1202.6</x:v>
      </x:c>
      <x:c r="AS393" s="3" t="s">
        <x:v>185</x:v>
      </x:c>
      <x:c r="AT393" s="7" t="n">
        <x:v>46301.9166666667</x:v>
      </x:c>
    </x:row>
    <x:row r="394" ht="31.299999237060547" hidden="0">
      <x:c r="A394" s="3" t="s">
        <x:v>908</x:v>
      </x:c>
      <x:c r="B394" s="3" t="s">
        <x:v>187</x:v>
      </x:c>
      <x:c r="C394" s="3" t="s">
        <x:v>188</x:v>
      </x:c>
      <x:c r="D394" s="3" t="s">
        <x:v>189</x:v>
      </x:c>
      <x:c r="E394" s="3" t="s">
        <x:v>249</x:v>
      </x:c>
      <x:c r="F394" s="3" t="s">
        <x:v>127</x:v>
      </x:c>
      <x:c r="G394" s="3" t="s">
        <x:v>443</x:v>
      </x:c>
      <x:c r="H394" s="3" t="s">
        <x:v>101</x:v>
      </x:c>
      <x:c r="I394" s="3" t="s">
        <x:v>102</x:v>
      </x:c>
      <x:c r="J394" s="3" t="s">
        <x:v>103</x:v>
      </x:c>
      <x:c r="K394" s="3" t="s">
        <x:v>104</x:v>
      </x:c>
      <x:c r="L394" s="3" t="s">
        <x:v>191</x:v>
      </x:c>
      <x:c r="M394" s="3" t="s">
        <x:v>192</x:v>
      </x:c>
      <x:c r="N394" s="3" t="s">
        <x:v>193</x:v>
      </x:c>
      <x:c r="O394" s="3" t="s">
        <x:v>194</x:v>
      </x:c>
      <x:c r="P394" s="3" t="s">
        <x:v>195</x:v>
      </x:c>
      <x:c r="Q394" s="3" t="s">
        <x:v>273</x:v>
      </x:c>
      <x:c r="R394" s="3" t="s">
        <x:v>330</x:v>
      </x:c>
      <x:c r="S394" s="3" t="s">
        <x:v>135</x:v>
      </x:c>
      <x:c r="T394" s="3" t="s">
        <x:v>111</x:v>
      </x:c>
      <x:c r="U394" s="3" t="s">
        <x:v>331</x:v>
      </x:c>
      <x:c r="V394" s="3" t="s">
        <x:v>178</x:v>
      </x:c>
      <x:c r="W394" s="3" t="s">
        <x:v>355</x:v>
      </x:c>
      <x:c r="X394" s="3" t="s">
        <x:v>180</x:v>
      </x:c>
      <x:c r="Y394" s="3" t="s">
        <x:v>356</x:v>
      </x:c>
      <x:c r="Z394" s="3" t="s">
        <x:v>334</x:v>
      </x:c>
      <x:c r="AA394" s="3" t="s">
        <x:v>118</x:v>
      </x:c>
      <x:c r="AB394" s="7" t="n">
        <x:v>46275.6694444444</x:v>
      </x:c>
      <x:c r="AC394" s="7" t="n">
        <x:v>46275.6736111111</x:v>
      </x:c>
      <x:c r="AD394" s="7" t="n">
        <x:v>46275.6770833333</x:v>
      </x:c>
      <x:c r="AE394" s="7" t="n">
        <x:v>46275.6902777778</x:v>
      </x:c>
      <x:c r="AF394" s="7" t="n">
        <x:v>46275.7465277778</x:v>
      </x:c>
      <x:c r="AG394" s="3" t="n">
        <x:v>30</x:v>
      </x:c>
      <x:c r="AH394" s="3" t="n">
        <x:v>78</x:v>
      </x:c>
      <x:c r="AI394" s="3" t="s">
        <x:v>135</x:v>
      </x:c>
      <x:c r="AJ394" s="3" t="s">
        <x:v>111</x:v>
      </x:c>
      <x:c r="AK394" s="3" t="n">
        <x:v>150</x:v>
      </x:c>
      <x:c r="AL394" s="3" t="n">
        <x:v>0</x:v>
      </x:c>
      <x:c r="AM394" s="8" t="n">
        <x:v>0.72</x:v>
      </x:c>
      <x:c r="AN394" s="3" t="n">
        <x:v>0</x:v>
      </x:c>
      <x:c r="AO394" s="3" t="s">
        <x:v>14</x:v>
      </x:c>
      <x:c r="AP394" s="3" t="s">
        <x:v>318</x:v>
      </x:c>
      <x:c r="AQ394" s="3" t="s">
        <x:v>386</x:v>
      </x:c>
      <x:c r="AR394" s="9" t="n">
        <x:v>1336.6</x:v>
      </x:c>
      <x:c r="AS394" s="3" t="s">
        <x:v>185</x:v>
      </x:c>
      <x:c r="AT394" s="7" t="n">
        <x:v>46301.9166666667</x:v>
      </x:c>
    </x:row>
    <x:row r="395" ht="31.299999237060547" hidden="0">
      <x:c r="A395" s="3" t="s">
        <x:v>909</x:v>
      </x:c>
      <x:c r="B395" s="3" t="s">
        <x:v>166</x:v>
      </x:c>
      <x:c r="C395" s="3" t="s">
        <x:v>167</x:v>
      </x:c>
      <x:c r="D395" s="3" t="s">
        <x:v>168</x:v>
      </x:c>
      <x:c r="E395" s="3" t="s">
        <x:v>249</x:v>
      </x:c>
      <x:c r="F395" s="3" t="s">
        <x:v>99</x:v>
      </x:c>
      <x:c r="G395" s="3" t="s">
        <x:v>522</x:v>
      </x:c>
      <x:c r="H395" s="3" t="s">
        <x:v>343</x:v>
      </x:c>
      <x:c r="I395" s="3" t="s">
        <x:v>102</x:v>
      </x:c>
      <x:c r="J395" s="3" t="s">
        <x:v>103</x:v>
      </x:c>
      <x:c r="K395" s="3" t="s">
        <x:v>104</x:v>
      </x:c>
      <x:c r="L395" s="3" t="s">
        <x:v>171</x:v>
      </x:c>
      <x:c r="M395" s="3" t="s">
        <x:v>172</x:v>
      </x:c>
      <x:c r="N395" s="3" t="s">
        <x:v>173</x:v>
      </x:c>
      <x:c r="O395" s="3" t="s">
        <x:v>174</x:v>
      </x:c>
      <x:c r="P395" s="3" t="s">
        <x:v>175</x:v>
      </x:c>
      <x:c r="Q395" s="3" t="s">
        <x:v>271</x:v>
      </x:c>
      <x:c r="R395" s="3" t="s">
        <x:v>380</x:v>
      </x:c>
      <x:c r="S395" s="3" t="s">
        <x:v>111</x:v>
      </x:c>
      <x:c r="T395" s="3" t="s">
        <x:v>111</x:v>
      </x:c>
      <x:c r="U395" s="3" t="s">
        <x:v>381</x:v>
      </x:c>
      <x:c r="V395" s="3" t="s">
        <x:v>312</x:v>
      </x:c>
      <x:c r="W395" s="3" t="s">
        <x:v>313</x:v>
      </x:c>
      <x:c r="X395" s="3" t="s">
        <x:v>314</x:v>
      </x:c>
      <x:c r="Y395" s="3" t="s">
        <x:v>315</x:v>
      </x:c>
      <x:c r="Z395" s="3" t="s">
        <x:v>384</x:v>
      </x:c>
      <x:c r="AA395" s="3" t="s">
        <x:v>385</x:v>
      </x:c>
      <x:c r="AB395" s="7" t="n">
        <x:v>46275.6826388889</x:v>
      </x:c>
      <x:c r="AC395" s="7" t="n">
        <x:v>46275.6840277778</x:v>
      </x:c>
      <x:c r="AD395" s="7" t="n">
        <x:v>46275.6888888889</x:v>
      </x:c>
      <x:c r="AE395" s="7" t="n">
        <x:v>46275.7048611111</x:v>
      </x:c>
      <x:c r="AF395" s="7" t="n">
        <x:v>46275.7645833333</x:v>
      </x:c>
      <x:c r="AG395" s="3" t="n">
        <x:v>32</x:v>
      </x:c>
      <x:c r="AH395" s="3" t="n">
        <x:v>76</x:v>
      </x:c>
      <x:c r="AI395" s="3" t="s">
        <x:v>135</x:v>
      </x:c>
      <x:c r="AJ395" s="3" t="s">
        <x:v>135</x:v>
      </x:c>
      <x:c r="AK395" s="3" t="n">
        <x:v>120</x:v>
      </x:c>
      <x:c r="AL395" s="3" t="n">
        <x:v>0</x:v>
      </x:c>
      <x:c r="AM395" s="8" t="n">
        <x:v>0.9</x:v>
      </x:c>
      <x:c r="AN395" s="3" t="n">
        <x:v>1</x:v>
      </x:c>
      <x:c r="AO395" s="3" t="s">
        <x:v>19</x:v>
      </x:c>
      <x:c r="AP395" s="3" t="s">
        <x:v>660</x:v>
      </x:c>
      <x:c r="AQ395" s="3" t="s">
        <x:v>501</x:v>
      </x:c>
      <x:c r="AR395" s="9" t="n">
        <x:v>1331.2</x:v>
      </x:c>
      <x:c r="AS395" s="3" t="s">
        <x:v>185</x:v>
      </x:c>
      <x:c r="AT395" s="7" t="n">
        <x:v>46301.9166666667</x:v>
      </x:c>
    </x:row>
    <x:row r="396" ht="31.299999237060547" hidden="0">
      <x:c r="A396" s="3" t="s">
        <x:v>910</x:v>
      </x:c>
      <x:c r="B396" s="3" t="s">
        <x:v>433</x:v>
      </x:c>
      <x:c r="C396" s="3" t="s">
        <x:v>434</x:v>
      </x:c>
      <x:c r="D396" s="3" t="s">
        <x:v>435</x:v>
      </x:c>
      <x:c r="E396" s="3" t="s">
        <x:v>249</x:v>
      </x:c>
      <x:c r="F396" s="3" t="s">
        <x:v>149</x:v>
      </x:c>
      <x:c r="G396" s="3" t="s">
        <x:v>469</x:v>
      </x:c>
      <x:c r="H396" s="3" t="s">
        <x:v>301</x:v>
      </x:c>
      <x:c r="I396" s="3" t="s">
        <x:v>302</x:v>
      </x:c>
      <x:c r="J396" s="3" t="s">
        <x:v>303</x:v>
      </x:c>
      <x:c r="K396" s="3" t="s">
        <x:v>104</x:v>
      </x:c>
      <x:c r="L396" s="3" t="s">
        <x:v>437</x:v>
      </x:c>
      <x:c r="M396" s="3" t="s">
        <x:v>106</x:v>
      </x:c>
      <x:c r="N396" s="3" t="s">
        <x:v>438</x:v>
      </x:c>
      <x:c r="O396" s="3" t="s">
        <x:v>439</x:v>
      </x:c>
      <x:c r="P396" s="3" t="s">
        <x:v>440</x:v>
      </x:c>
      <x:c r="Q396" s="3" t="s">
        <x:v>441</x:v>
      </x:c>
      <x:c r="R396" s="3" t="s">
        <x:v>110</x:v>
      </x:c>
      <x:c r="S396" s="3" t="s">
        <x:v>111</x:v>
      </x:c>
      <x:c r="T396" s="3" t="s">
        <x:v>111</x:v>
      </x:c>
      <x:c r="U396" s="3" t="s">
        <x:v>112</x:v>
      </x:c>
      <x:c r="V396" s="3" t="s">
        <x:v>113</x:v>
      </x:c>
      <x:c r="W396" s="3" t="s">
        <x:v>114</x:v>
      </x:c>
      <x:c r="X396" s="3" t="s">
        <x:v>115</x:v>
      </x:c>
      <x:c r="Y396" s="3" t="s">
        <x:v>116</x:v>
      </x:c>
      <x:c r="Z396" s="3" t="s">
        <x:v>117</x:v>
      </x:c>
      <x:c r="AA396" s="3" t="s">
        <x:v>118</x:v>
      </x:c>
      <x:c r="AB396" s="7" t="n">
        <x:v>46275.7159722222</x:v>
      </x:c>
      <x:c r="AC396" s="7" t="n">
        <x:v>46275.7208333333</x:v>
      </x:c>
      <x:c r="AD396" s="7" t="n">
        <x:v>46275.7270833333</x:v>
      </x:c>
      <x:c r="AE396" s="7" t="n">
        <x:v>46275.7326388889</x:v>
      </x:c>
      <x:c r="AF396" s="7" t="n">
        <x:v>46275.7951388889</x:v>
      </x:c>
      <x:c r="AG396" s="3" t="n">
        <x:v>24</x:v>
      </x:c>
      <x:c r="AH396" s="3" t="n">
        <x:v>81</x:v>
      </x:c>
      <x:c r="AI396" s="3" t="s">
        <x:v>135</x:v>
      </x:c>
      <x:c r="AJ396" s="3" t="s">
        <x:v>135</x:v>
      </x:c>
      <x:c r="AK396" s="3" t="n">
        <x:v>120</x:v>
      </x:c>
      <x:c r="AL396" s="3" t="n">
        <x:v>0</x:v>
      </x:c>
      <x:c r="AM396" s="8" t="n">
        <x:v>0.875</x:v>
      </x:c>
      <x:c r="AN396" s="3" t="n">
        <x:v>2</x:v>
      </x:c>
      <x:c r="AO396" s="3" t="s">
        <x:v>19</x:v>
      </x:c>
      <x:c r="AP396" s="3" t="s">
        <x:v>771</x:v>
      </x:c>
      <x:c r="AQ396" s="3" t="s">
        <x:v>562</x:v>
      </x:c>
      <x:c r="AR396" s="9" t="n">
        <x:v>951.2</x:v>
      </x:c>
      <x:c r="AS396" s="3" t="s">
        <x:v>185</x:v>
      </x:c>
      <x:c r="AT396" s="7" t="n">
        <x:v>46301.9166666667</x:v>
      </x:c>
    </x:row>
    <x:row r="397" ht="31.299999237060547" hidden="0">
      <x:c r="A397" s="3" t="s">
        <x:v>911</x:v>
      </x:c>
      <x:c r="B397" s="3" t="s">
        <x:v>233</x:v>
      </x:c>
      <x:c r="C397" s="3" t="s">
        <x:v>234</x:v>
      </x:c>
      <x:c r="D397" s="3" t="s">
        <x:v>235</x:v>
      </x:c>
      <x:c r="E397" s="3" t="s">
        <x:v>249</x:v>
      </x:c>
      <x:c r="F397" s="3" t="s">
        <x:v>99</x:v>
      </x:c>
      <x:c r="G397" s="3" t="s">
        <x:v>498</x:v>
      </x:c>
      <x:c r="H397" s="3" t="s">
        <x:v>101</x:v>
      </x:c>
      <x:c r="I397" s="3" t="s">
        <x:v>102</x:v>
      </x:c>
      <x:c r="J397" s="3" t="s">
        <x:v>103</x:v>
      </x:c>
      <x:c r="K397" s="3" t="s">
        <x:v>104</x:v>
      </x:c>
      <x:c r="L397" s="3" t="s">
        <x:v>237</x:v>
      </x:c>
      <x:c r="M397" s="3" t="s">
        <x:v>172</x:v>
      </x:c>
      <x:c r="N397" s="3" t="s">
        <x:v>238</x:v>
      </x:c>
      <x:c r="O397" s="3" t="s">
        <x:v>239</x:v>
      </x:c>
      <x:c r="P397" s="3" t="s">
        <x:v>240</x:v>
      </x:c>
      <x:c r="Q397" s="3" t="s">
        <x:v>276</x:v>
      </x:c>
      <x:c r="R397" s="3" t="s">
        <x:v>310</x:v>
      </x:c>
      <x:c r="S397" s="3" t="s">
        <x:v>135</x:v>
      </x:c>
      <x:c r="T397" s="3" t="s">
        <x:v>111</x:v>
      </x:c>
      <x:c r="U397" s="3" t="s">
        <x:v>311</x:v>
      </x:c>
      <x:c r="V397" s="3" t="s">
        <x:v>312</x:v>
      </x:c>
      <x:c r="W397" s="3" t="s">
        <x:v>313</x:v>
      </x:c>
      <x:c r="X397" s="3" t="s">
        <x:v>314</x:v>
      </x:c>
      <x:c r="Y397" s="3" t="s">
        <x:v>315</x:v>
      </x:c>
      <x:c r="Z397" s="3" t="s">
        <x:v>316</x:v>
      </x:c>
      <x:c r="AA397" s="3" t="s">
        <x:v>317</x:v>
      </x:c>
      <x:c r="AB397" s="7" t="n">
        <x:v>46275.7333333333</x:v>
      </x:c>
      <x:c r="AC397" s="7" t="n">
        <x:v>46275.7375</x:v>
      </x:c>
      <x:c r="AD397" s="7" t="n">
        <x:v>46275.7430555556</x:v>
      </x:c>
      <x:c r="AE397" s="7" t="n">
        <x:v>46275.7659722222</x:v>
      </x:c>
      <x:c r="AF397" s="7" t="n">
        <x:v>46275.8159722222</x:v>
      </x:c>
      <x:c r="AG397" s="3" t="n">
        <x:v>47</x:v>
      </x:c>
      <x:c r="AH397" s="3" t="n">
        <x:v>62</x:v>
      </x:c>
      <x:c r="AI397" s="3" t="s">
        <x:v>135</x:v>
      </x:c>
      <x:c r="AJ397" s="3" t="s">
        <x:v>111</x:v>
      </x:c>
      <x:c r="AK397" s="3" t="n">
        <x:v>150</x:v>
      </x:c>
      <x:c r="AL397" s="3" t="n">
        <x:v>0</x:v>
      </x:c>
      <x:c r="AM397" s="8" t="n">
        <x:v>0.7267</x:v>
      </x:c>
      <x:c r="AN397" s="3" t="n">
        <x:v>1</x:v>
      </x:c>
      <x:c r="AO397" s="3" t="s">
        <x:v>14</x:v>
      </x:c>
      <x:c r="AP397" s="3" t="s">
        <x:v>664</x:v>
      </x:c>
      <x:c r="AQ397" s="3" t="s">
        <x:v>501</x:v>
      </x:c>
      <x:c r="AR397" s="9" t="n">
        <x:v>917.9</x:v>
      </x:c>
      <x:c r="AS397" s="3" t="s">
        <x:v>121</x:v>
      </x:c>
      <x:c r="AT397" s="7" t="n">
        <x:v>46301.9166666667</x:v>
      </x:c>
    </x:row>
    <x:row r="398" ht="31.299999237060547" hidden="0">
      <x:c r="A398" s="3" t="s">
        <x:v>912</x:v>
      </x:c>
      <x:c r="B398" s="3" t="s">
        <x:v>233</x:v>
      </x:c>
      <x:c r="C398" s="3" t="s">
        <x:v>234</x:v>
      </x:c>
      <x:c r="D398" s="3" t="s">
        <x:v>235</x:v>
      </x:c>
      <x:c r="E398" s="3" t="s">
        <x:v>249</x:v>
      </x:c>
      <x:c r="F398" s="3" t="s">
        <x:v>99</x:v>
      </x:c>
      <x:c r="G398" s="3" t="s">
        <x:v>416</x:v>
      </x:c>
      <x:c r="H398" s="3" t="s">
        <x:v>339</x:v>
      </x:c>
      <x:c r="I398" s="3" t="s">
        <x:v>102</x:v>
      </x:c>
      <x:c r="J398" s="3" t="s">
        <x:v>103</x:v>
      </x:c>
      <x:c r="K398" s="3" t="s">
        <x:v>104</x:v>
      </x:c>
      <x:c r="L398" s="3" t="s">
        <x:v>237</x:v>
      </x:c>
      <x:c r="M398" s="3" t="s">
        <x:v>172</x:v>
      </x:c>
      <x:c r="N398" s="3" t="s">
        <x:v>238</x:v>
      </x:c>
      <x:c r="O398" s="3" t="s">
        <x:v>239</x:v>
      </x:c>
      <x:c r="P398" s="3" t="s">
        <x:v>240</x:v>
      </x:c>
      <x:c r="Q398" s="3" t="s">
        <x:v>276</x:v>
      </x:c>
      <x:c r="R398" s="3" t="s">
        <x:v>373</x:v>
      </x:c>
      <x:c r="S398" s="3" t="s">
        <x:v>135</x:v>
      </x:c>
      <x:c r="T398" s="3" t="s">
        <x:v>111</x:v>
      </x:c>
      <x:c r="U398" s="3" t="s">
        <x:v>374</x:v>
      </x:c>
      <x:c r="V398" s="3" t="s">
        <x:v>178</x:v>
      </x:c>
      <x:c r="W398" s="3" t="s">
        <x:v>179</x:v>
      </x:c>
      <x:c r="X398" s="3" t="s">
        <x:v>180</x:v>
      </x:c>
      <x:c r="Y398" s="3" t="s">
        <x:v>414</x:v>
      </x:c>
      <x:c r="Z398" s="3" t="s">
        <x:v>375</x:v>
      </x:c>
      <x:c r="AA398" s="3" t="s">
        <x:v>118</x:v>
      </x:c>
      <x:c r="AB398" s="7" t="n">
        <x:v>46275.81875</x:v>
      </x:c>
      <x:c r="AC398" s="7" t="n">
        <x:v>46275.8229166667</x:v>
      </x:c>
      <x:c r="AD398" s="7" t="n">
        <x:v>46275.8263888889</x:v>
      </x:c>
      <x:c r="AE398" s="7" t="n">
        <x:v>46275.8354166667</x:v>
      </x:c>
      <x:c r="AF398" s="7" t="n">
        <x:v>46275.8798611111</x:v>
      </x:c>
      <x:c r="AG398" s="3" t="n">
        <x:v>24</x:v>
      </x:c>
      <x:c r="AH398" s="3" t="n">
        <x:v>60</x:v>
      </x:c>
      <x:c r="AI398" s="3" t="s">
        <x:v>135</x:v>
      </x:c>
      <x:c r="AJ398" s="3" t="s">
        <x:v>111</x:v>
      </x:c>
      <x:c r="AK398" s="3" t="n">
        <x:v>150</x:v>
      </x:c>
      <x:c r="AL398" s="3" t="n">
        <x:v>0</x:v>
      </x:c>
      <x:c r="AM398" s="8" t="n">
        <x:v>0.56</x:v>
      </x:c>
      <x:c r="AN398" s="3" t="n">
        <x:v>2</x:v>
      </x:c>
      <x:c r="AO398" s="3" t="s">
        <x:v>14</x:v>
      </x:c>
      <x:c r="AP398" s="3" t="s">
        <x:v>636</x:v>
      </x:c>
      <x:c r="AQ398" s="3" t="s">
        <x:v>501</x:v>
      </x:c>
      <x:c r="AR398" s="9" t="n">
        <x:v>800</x:v>
      </x:c>
      <x:c r="AS398" s="3" t="s">
        <x:v>121</x:v>
      </x:c>
      <x:c r="AT398" s="7" t="n">
        <x:v>46301.9166666667</x:v>
      </x:c>
    </x:row>
    <x:row r="399" ht="31.299999237060547" hidden="0">
      <x:c r="A399" s="3" t="s">
        <x:v>913</x:v>
      </x:c>
      <x:c r="B399" s="3" t="s">
        <x:v>321</x:v>
      </x:c>
      <x:c r="C399" s="3" t="s">
        <x:v>322</x:v>
      </x:c>
      <x:c r="D399" s="3" t="s">
        <x:v>323</x:v>
      </x:c>
      <x:c r="E399" s="3" t="s">
        <x:v>249</x:v>
      </x:c>
      <x:c r="F399" s="3" t="s">
        <x:v>99</x:v>
      </x:c>
      <x:c r="G399" s="3" t="s">
        <x:v>390</x:v>
      </x:c>
      <x:c r="H399" s="3" t="s">
        <x:v>301</x:v>
      </x:c>
      <x:c r="I399" s="3" t="s">
        <x:v>302</x:v>
      </x:c>
      <x:c r="J399" s="3" t="s">
        <x:v>303</x:v>
      </x:c>
      <x:c r="K399" s="3" t="s">
        <x:v>104</x:v>
      </x:c>
      <x:c r="L399" s="3" t="s">
        <x:v>325</x:v>
      </x:c>
      <x:c r="M399" s="3" t="s">
        <x:v>326</x:v>
      </x:c>
      <x:c r="N399" s="3" t="s">
        <x:v>131</x:v>
      </x:c>
      <x:c r="O399" s="3" t="s">
        <x:v>327</x:v>
      </x:c>
      <x:c r="P399" s="3" t="s">
        <x:v>328</x:v>
      </x:c>
      <x:c r="Q399" s="3" t="s">
        <x:v>329</x:v>
      </x:c>
      <x:c r="R399" s="3" t="s">
        <x:v>391</x:v>
      </x:c>
      <x:c r="S399" s="3" t="s">
        <x:v>135</x:v>
      </x:c>
      <x:c r="T399" s="3" t="s">
        <x:v>135</x:v>
      </x:c>
      <x:c r="U399" s="3" t="s">
        <x:v>392</x:v>
      </x:c>
      <x:c r="V399" s="3" t="s">
        <x:v>312</x:v>
      </x:c>
      <x:c r="W399" s="3" t="s">
        <x:v>351</x:v>
      </x:c>
      <x:c r="X399" s="3" t="s">
        <x:v>314</x:v>
      </x:c>
      <x:c r="Y399" s="3" t="s">
        <x:v>352</x:v>
      </x:c>
      <x:c r="Z399" s="3" t="s">
        <x:v>393</x:v>
      </x:c>
      <x:c r="AA399" s="3" t="s">
        <x:v>394</x:v>
      </x:c>
      <x:c r="AB399" s="7" t="n">
        <x:v>46275.8611111111</x:v>
      </x:c>
      <x:c r="AC399" s="7" t="n">
        <x:v>46275.8638888889</x:v>
      </x:c>
      <x:c r="AD399" s="7" t="n">
        <x:v>46275.8694444444</x:v>
      </x:c>
      <x:c r="AE399" s="7" t="n">
        <x:v>46275.89375</x:v>
      </x:c>
      <x:c r="AF399" s="7" t="n">
        <x:v>46275.9298611111</x:v>
      </x:c>
      <x:c r="AG399" s="3" t="n">
        <x:v>47</x:v>
      </x:c>
      <x:c r="AH399" s="3" t="n">
        <x:v>49</x:v>
      </x:c>
      <x:c r="AI399" s="3" t="s">
        <x:v>135</x:v>
      </x:c>
      <x:c r="AJ399" s="3" t="s">
        <x:v>111</x:v>
      </x:c>
      <x:c r="AK399" s="3" t="n">
        <x:v>180</x:v>
      </x:c>
      <x:c r="AL399" s="3" t="n">
        <x:v>0</x:v>
      </x:c>
      <x:c r="AM399" s="8" t="n">
        <x:v>0.5333</x:v>
      </x:c>
      <x:c r="AN399" s="3" t="n">
        <x:v>1</x:v>
      </x:c>
      <x:c r="AO399" s="3" t="s">
        <x:v>9</x:v>
      </x:c>
      <x:c r="AP399" s="3" t="s">
        <x:v>584</x:v>
      </x:c>
      <x:c r="AQ399" s="3" t="s">
        <x:v>516</x:v>
      </x:c>
      <x:c r="AR399" s="9" t="n">
        <x:v>824.3</x:v>
      </x:c>
      <x:c r="AS399" s="3" t="s">
        <x:v>185</x:v>
      </x:c>
      <x:c r="AT399" s="7" t="n">
        <x:v>46301.9166666667</x:v>
      </x:c>
    </x:row>
    <x:row r="400" ht="31.299999237060547" hidden="0">
      <x:c r="A400" s="3" t="s">
        <x:v>914</x:v>
      </x:c>
      <x:c r="B400" s="3" t="s">
        <x:v>146</x:v>
      </x:c>
      <x:c r="C400" s="3" t="s">
        <x:v>147</x:v>
      </x:c>
      <x:c r="D400" s="3" t="s">
        <x:v>148</x:v>
      </x:c>
      <x:c r="E400" s="3" t="s">
        <x:v>249</x:v>
      </x:c>
      <x:c r="F400" s="3" t="s">
        <x:v>99</x:v>
      </x:c>
      <x:c r="G400" s="3" t="s">
        <x:v>416</x:v>
      </x:c>
      <x:c r="H400" s="3" t="s">
        <x:v>339</x:v>
      </x:c>
      <x:c r="I400" s="3" t="s">
        <x:v>102</x:v>
      </x:c>
      <x:c r="J400" s="3" t="s">
        <x:v>103</x:v>
      </x:c>
      <x:c r="K400" s="3" t="s">
        <x:v>104</x:v>
      </x:c>
      <x:c r="L400" s="3" t="s">
        <x:v>151</x:v>
      </x:c>
      <x:c r="M400" s="3" t="s">
        <x:v>152</x:v>
      </x:c>
      <x:c r="N400" s="3" t="s">
        <x:v>153</x:v>
      </x:c>
      <x:c r="O400" s="3" t="s">
        <x:v>154</x:v>
      </x:c>
      <x:c r="P400" s="3" t="s">
        <x:v>155</x:v>
      </x:c>
      <x:c r="Q400" s="3" t="s">
        <x:v>270</x:v>
      </x:c>
      <x:c r="R400" s="3" t="s">
        <x:v>373</x:v>
      </x:c>
      <x:c r="S400" s="3" t="s">
        <x:v>135</x:v>
      </x:c>
      <x:c r="T400" s="3" t="s">
        <x:v>111</x:v>
      </x:c>
      <x:c r="U400" s="3" t="s">
        <x:v>374</x:v>
      </x:c>
      <x:c r="V400" s="3" t="s">
        <x:v>178</x:v>
      </x:c>
      <x:c r="W400" s="3" t="s">
        <x:v>179</x:v>
      </x:c>
      <x:c r="X400" s="3" t="s">
        <x:v>180</x:v>
      </x:c>
      <x:c r="Y400" s="3" t="s">
        <x:v>414</x:v>
      </x:c>
      <x:c r="Z400" s="3" t="s">
        <x:v>375</x:v>
      </x:c>
      <x:c r="AA400" s="3" t="s">
        <x:v>118</x:v>
      </x:c>
      <x:c r="AB400" s="7" t="n">
        <x:v>46276.3597222222</x:v>
      </x:c>
      <x:c r="AC400" s="7" t="n">
        <x:v>46276.3631944444</x:v>
      </x:c>
      <x:c r="AD400" s="7" t="n">
        <x:v>46276.3694444444</x:v>
      </x:c>
      <x:c r="AE400" s="7" t="n">
        <x:v>46276.3902777778</x:v>
      </x:c>
      <x:c r="AF400" s="7" t="n">
        <x:v>46276.4013888889</x:v>
      </x:c>
      <x:c r="AG400" s="3" t="n">
        <x:v>44</x:v>
      </x:c>
      <x:c r="AH400" s="3" t="n">
        <x:v>12</x:v>
      </x:c>
      <x:c r="AI400" s="3" t="s">
        <x:v>135</x:v>
      </x:c>
      <x:c r="AJ400" s="3" t="s">
        <x:v>135</x:v>
      </x:c>
      <x:c r="AK400" s="3" t="n">
        <x:v>180</x:v>
      </x:c>
      <x:c r="AL400" s="3" t="n">
        <x:v>0</x:v>
      </x:c>
      <x:c r="AM400" s="8" t="n">
        <x:v>0.3111</x:v>
      </x:c>
      <x:c r="AN400" s="3" t="n">
        <x:v>1</x:v>
      </x:c>
      <x:c r="AO400" s="3" t="s">
        <x:v>9</x:v>
      </x:c>
      <x:c r="AP400" s="3" t="s">
        <x:v>500</x:v>
      </x:c>
      <x:c r="AQ400" s="3" t="s">
        <x:v>533</x:v>
      </x:c>
      <x:c r="AR400" s="9" t="n">
        <x:v>544.4</x:v>
      </x:c>
      <x:c r="AS400" s="3" t="s">
        <x:v>121</x:v>
      </x:c>
      <x:c r="AT400" s="7" t="n">
        <x:v>46301.9166666667</x:v>
      </x:c>
    </x:row>
    <x:row r="401" ht="31.299999237060547" hidden="0">
      <x:c r="A401" s="3" t="s">
        <x:v>915</x:v>
      </x:c>
      <x:c r="B401" s="3" t="s">
        <x:v>83</x:v>
      </x:c>
      <x:c r="C401" s="3" t="s">
        <x:v>96</x:v>
      </x:c>
      <x:c r="D401" s="3" t="s">
        <x:v>97</x:v>
      </x:c>
      <x:c r="E401" s="3" t="s">
        <x:v>249</x:v>
      </x:c>
      <x:c r="F401" s="3" t="s">
        <x:v>149</x:v>
      </x:c>
      <x:c r="G401" s="3" t="s">
        <x:v>418</x:v>
      </x:c>
      <x:c r="H401" s="3" t="s">
        <x:v>343</x:v>
      </x:c>
      <x:c r="I401" s="3" t="s">
        <x:v>102</x:v>
      </x:c>
      <x:c r="J401" s="3" t="s">
        <x:v>103</x:v>
      </x:c>
      <x:c r="K401" s="3" t="s">
        <x:v>104</x:v>
      </x:c>
      <x:c r="L401" s="3" t="s">
        <x:v>105</x:v>
      </x:c>
      <x:c r="M401" s="3" t="s">
        <x:v>106</x:v>
      </x:c>
      <x:c r="N401" s="3" t="s">
        <x:v>107</x:v>
      </x:c>
      <x:c r="O401" s="3" t="s">
        <x:v>108</x:v>
      </x:c>
      <x:c r="P401" s="3" t="s">
        <x:v>109</x:v>
      </x:c>
      <x:c r="Q401" s="3" t="s">
        <x:v>250</x:v>
      </x:c>
      <x:c r="R401" s="3" t="s">
        <x:v>110</x:v>
      </x:c>
      <x:c r="S401" s="3" t="s">
        <x:v>111</x:v>
      </x:c>
      <x:c r="T401" s="3" t="s">
        <x:v>111</x:v>
      </x:c>
      <x:c r="U401" s="3" t="s">
        <x:v>112</x:v>
      </x:c>
      <x:c r="V401" s="3" t="s">
        <x:v>113</x:v>
      </x:c>
      <x:c r="W401" s="3" t="s">
        <x:v>114</x:v>
      </x:c>
      <x:c r="X401" s="3" t="s">
        <x:v>115</x:v>
      </x:c>
      <x:c r="Y401" s="3" t="s">
        <x:v>116</x:v>
      </x:c>
      <x:c r="Z401" s="3" t="s">
        <x:v>117</x:v>
      </x:c>
      <x:c r="AA401" s="3" t="s">
        <x:v>118</x:v>
      </x:c>
      <x:c r="AB401" s="7" t="n">
        <x:v>46276.3770833333</x:v>
      </x:c>
      <x:c r="AC401" s="7" t="n">
        <x:v>46276.3784722222</x:v>
      </x:c>
      <x:c r="AD401" s="7" t="n">
        <x:v>46276.38125</x:v>
      </x:c>
      <x:c r="AE401" s="7" t="n">
        <x:v>46276.3875</x:v>
      </x:c>
      <x:c r="AF401" s="7" t="n">
        <x:v>46276.4118055556</x:v>
      </x:c>
      <x:c r="AG401" s="3" t="n">
        <x:v>15</x:v>
      </x:c>
      <x:c r="AH401" s="3" t="n">
        <x:v>30</x:v>
      </x:c>
      <x:c r="AI401" s="3" t="s">
        <x:v>111</x:v>
      </x:c>
      <x:c r="AJ401" s="3" t="s">
        <x:v>111</x:v>
      </x:c>
      <x:c r="AK401" s="3" t="n">
        <x:v>60</x:v>
      </x:c>
      <x:c r="AL401" s="3" t="n">
        <x:v>0</x:v>
      </x:c>
      <x:c r="AM401" s="8" t="n">
        <x:v>0.75</x:v>
      </x:c>
      <x:c r="AN401" s="3" t="n">
        <x:v>0</x:v>
      </x:c>
      <x:c r="AO401" s="3" t="s">
        <x:v>19</x:v>
      </x:c>
      <x:c r="AP401" s="3" t="s">
        <x:v>699</x:v>
      </x:c>
      <x:c r="AQ401" s="3" t="s">
        <x:v>422</x:v>
      </x:c>
      <x:c r="AR401" s="9" t="n">
        <x:v>863.5</x:v>
      </x:c>
      <x:c r="AS401" s="3" t="s">
        <x:v>185</x:v>
      </x:c>
      <x:c r="AT401" s="7" t="n">
        <x:v>46301.9166666667</x:v>
      </x:c>
    </x:row>
    <x:row r="402" ht="31.299999237060547" hidden="0">
      <x:c r="A402" s="3" t="s">
        <x:v>916</x:v>
      </x:c>
      <x:c r="B402" s="3" t="s">
        <x:v>83</x:v>
      </x:c>
      <x:c r="C402" s="3" t="s">
        <x:v>96</x:v>
      </x:c>
      <x:c r="D402" s="3" t="s">
        <x:v>97</x:v>
      </x:c>
      <x:c r="E402" s="3" t="s">
        <x:v>249</x:v>
      </x:c>
      <x:c r="F402" s="3" t="s">
        <x:v>127</x:v>
      </x:c>
      <x:c r="G402" s="3" t="s">
        <x:v>486</x:v>
      </x:c>
      <x:c r="H402" s="3" t="s">
        <x:v>101</x:v>
      </x:c>
      <x:c r="I402" s="3" t="s">
        <x:v>102</x:v>
      </x:c>
      <x:c r="J402" s="3" t="s">
        <x:v>103</x:v>
      </x:c>
      <x:c r="K402" s="3" t="s">
        <x:v>104</x:v>
      </x:c>
      <x:c r="L402" s="3" t="s">
        <x:v>105</x:v>
      </x:c>
      <x:c r="M402" s="3" t="s">
        <x:v>106</x:v>
      </x:c>
      <x:c r="N402" s="3" t="s">
        <x:v>107</x:v>
      </x:c>
      <x:c r="O402" s="3" t="s">
        <x:v>108</x:v>
      </x:c>
      <x:c r="P402" s="3" t="s">
        <x:v>109</x:v>
      </x:c>
      <x:c r="Q402" s="3" t="s">
        <x:v>250</x:v>
      </x:c>
      <x:c r="R402" s="3" t="s">
        <x:v>176</x:v>
      </x:c>
      <x:c r="S402" s="3" t="s">
        <x:v>135</x:v>
      </x:c>
      <x:c r="T402" s="3" t="s">
        <x:v>135</x:v>
      </x:c>
      <x:c r="U402" s="3" t="s">
        <x:v>177</x:v>
      </x:c>
      <x:c r="V402" s="3" t="s">
        <x:v>178</x:v>
      </x:c>
      <x:c r="W402" s="3" t="s">
        <x:v>179</x:v>
      </x:c>
      <x:c r="X402" s="3" t="s">
        <x:v>180</x:v>
      </x:c>
      <x:c r="Y402" s="3" t="s">
        <x:v>414</x:v>
      </x:c>
      <x:c r="Z402" s="3" t="s">
        <x:v>182</x:v>
      </x:c>
      <x:c r="AA402" s="3" t="s">
        <x:v>118</x:v>
      </x:c>
      <x:c r="AB402" s="7" t="n">
        <x:v>46276.4375</x:v>
      </x:c>
      <x:c r="AC402" s="7" t="n">
        <x:v>46276.4416666667</x:v>
      </x:c>
      <x:c r="AD402" s="7" t="n">
        <x:v>46276.44375</x:v>
      </x:c>
      <x:c r="AE402" s="7" t="n">
        <x:v>46276.4611111111</x:v>
      </x:c>
      <x:c r="AF402" s="7" t="n">
        <x:v>46276.4805555556</x:v>
      </x:c>
      <x:c r="AG402" s="3" t="n">
        <x:v>34</x:v>
      </x:c>
      <x:c r="AH402" s="3" t="n">
        <x:v>25</x:v>
      </x:c>
      <x:c r="AI402" s="3" t="s">
        <x:v>111</x:v>
      </x:c>
      <x:c r="AJ402" s="3" t="s">
        <x:v>111</x:v>
      </x:c>
      <x:c r="AK402" s="3" t="n">
        <x:v>60</x:v>
      </x:c>
      <x:c r="AL402" s="3" t="n">
        <x:v>0</x:v>
      </x:c>
      <x:c r="AM402" s="8" t="n">
        <x:v>0.9833</x:v>
      </x:c>
      <x:c r="AN402" s="3" t="n">
        <x:v>1</x:v>
      </x:c>
      <x:c r="AO402" s="3" t="s">
        <x:v>24</x:v>
      </x:c>
      <x:c r="AP402" s="3" t="s">
        <x:v>629</x:v>
      </x:c>
      <x:c r="AQ402" s="3" t="s">
        <x:v>562</x:v>
      </x:c>
      <x:c r="AR402" s="9" t="n">
        <x:v>913</x:v>
      </x:c>
      <x:c r="AS402" s="3" t="s">
        <x:v>121</x:v>
      </x:c>
      <x:c r="AT402" s="7" t="n">
        <x:v>46301.9166666667</x:v>
      </x:c>
    </x:row>
    <x:row r="403" ht="31.299999237060547" hidden="0">
      <x:c r="A403" s="3" t="s">
        <x:v>917</x:v>
      </x:c>
      <x:c r="B403" s="3" t="s">
        <x:v>166</x:v>
      </x:c>
      <x:c r="C403" s="3" t="s">
        <x:v>167</x:v>
      </x:c>
      <x:c r="D403" s="3" t="s">
        <x:v>168</x:v>
      </x:c>
      <x:c r="E403" s="3" t="s">
        <x:v>249</x:v>
      </x:c>
      <x:c r="F403" s="3" t="s">
        <x:v>149</x:v>
      </x:c>
      <x:c r="G403" s="3" t="s">
        <x:v>498</x:v>
      </x:c>
      <x:c r="H403" s="3" t="s">
        <x:v>101</x:v>
      </x:c>
      <x:c r="I403" s="3" t="s">
        <x:v>102</x:v>
      </x:c>
      <x:c r="J403" s="3" t="s">
        <x:v>103</x:v>
      </x:c>
      <x:c r="K403" s="3" t="s">
        <x:v>104</x:v>
      </x:c>
      <x:c r="L403" s="3" t="s">
        <x:v>171</x:v>
      </x:c>
      <x:c r="M403" s="3" t="s">
        <x:v>172</x:v>
      </x:c>
      <x:c r="N403" s="3" t="s">
        <x:v>173</x:v>
      </x:c>
      <x:c r="O403" s="3" t="s">
        <x:v>174</x:v>
      </x:c>
      <x:c r="P403" s="3" t="s">
        <x:v>175</x:v>
      </x:c>
      <x:c r="Q403" s="3" t="s">
        <x:v>271</x:v>
      </x:c>
      <x:c r="R403" s="3" t="s">
        <x:v>310</x:v>
      </x:c>
      <x:c r="S403" s="3" t="s">
        <x:v>135</x:v>
      </x:c>
      <x:c r="T403" s="3" t="s">
        <x:v>111</x:v>
      </x:c>
      <x:c r="U403" s="3" t="s">
        <x:v>311</x:v>
      </x:c>
      <x:c r="V403" s="3" t="s">
        <x:v>312</x:v>
      </x:c>
      <x:c r="W403" s="3" t="s">
        <x:v>351</x:v>
      </x:c>
      <x:c r="X403" s="3" t="s">
        <x:v>314</x:v>
      </x:c>
      <x:c r="Y403" s="3" t="s">
        <x:v>352</x:v>
      </x:c>
      <x:c r="Z403" s="3" t="s">
        <x:v>316</x:v>
      </x:c>
      <x:c r="AA403" s="3" t="s">
        <x:v>317</x:v>
      </x:c>
      <x:c r="AB403" s="7" t="n">
        <x:v>46276.4597222222</x:v>
      </x:c>
      <x:c r="AC403" s="7" t="n">
        <x:v>46276.4645833333</x:v>
      </x:c>
      <x:c r="AD403" s="7" t="n">
        <x:v>46276.4694444445</x:v>
      </x:c>
      <x:c r="AE403" s="7" t="n">
        <x:v>46276.4847222222</x:v>
      </x:c>
      <x:c r="AF403" s="7" t="n">
        <x:v>46276.5381944444</x:v>
      </x:c>
      <x:c r="AG403" s="3" t="n">
        <x:v>36</x:v>
      </x:c>
      <x:c r="AH403" s="3" t="n">
        <x:v>71</x:v>
      </x:c>
      <x:c r="AI403" s="3" t="s">
        <x:v>135</x:v>
      </x:c>
      <x:c r="AJ403" s="3" t="s">
        <x:v>135</x:v>
      </x:c>
      <x:c r="AK403" s="3" t="n">
        <x:v>150</x:v>
      </x:c>
      <x:c r="AL403" s="3" t="n">
        <x:v>0</x:v>
      </x:c>
      <x:c r="AM403" s="8" t="n">
        <x:v>0.7133</x:v>
      </x:c>
      <x:c r="AN403" s="3" t="n">
        <x:v>2</x:v>
      </x:c>
      <x:c r="AO403" s="3" t="s">
        <x:v>14</x:v>
      </x:c>
      <x:c r="AP403" s="3" t="s">
        <x:v>717</x:v>
      </x:c>
      <x:c r="AQ403" s="3" t="s">
        <x:v>501</x:v>
      </x:c>
      <x:c r="AR403" s="9" t="n">
        <x:v>1313.2</x:v>
      </x:c>
      <x:c r="AS403" s="3" t="s">
        <x:v>185</x:v>
      </x:c>
      <x:c r="AT403" s="7" t="n">
        <x:v>46301.9166666667</x:v>
      </x:c>
    </x:row>
    <x:row r="404" ht="31.299999237060547" hidden="0">
      <x:c r="A404" s="3" t="s">
        <x:v>918</x:v>
      </x:c>
      <x:c r="B404" s="3" t="s">
        <x:v>233</x:v>
      </x:c>
      <x:c r="C404" s="3" t="s">
        <x:v>234</x:v>
      </x:c>
      <x:c r="D404" s="3" t="s">
        <x:v>235</x:v>
      </x:c>
      <x:c r="E404" s="3" t="s">
        <x:v>249</x:v>
      </x:c>
      <x:c r="F404" s="3" t="s">
        <x:v>99</x:v>
      </x:c>
      <x:c r="G404" s="3" t="s">
        <x:v>726</x:v>
      </x:c>
      <x:c r="H404" s="3" t="s">
        <x:v>343</x:v>
      </x:c>
      <x:c r="I404" s="3" t="s">
        <x:v>102</x:v>
      </x:c>
      <x:c r="J404" s="3" t="s">
        <x:v>103</x:v>
      </x:c>
      <x:c r="K404" s="3" t="s">
        <x:v>104</x:v>
      </x:c>
      <x:c r="L404" s="3" t="s">
        <x:v>237</x:v>
      </x:c>
      <x:c r="M404" s="3" t="s">
        <x:v>172</x:v>
      </x:c>
      <x:c r="N404" s="3" t="s">
        <x:v>238</x:v>
      </x:c>
      <x:c r="O404" s="3" t="s">
        <x:v>239</x:v>
      </x:c>
      <x:c r="P404" s="3" t="s">
        <x:v>240</x:v>
      </x:c>
      <x:c r="Q404" s="3" t="s">
        <x:v>276</x:v>
      </x:c>
      <x:c r="R404" s="3" t="s">
        <x:v>110</x:v>
      </x:c>
      <x:c r="S404" s="3" t="s">
        <x:v>111</x:v>
      </x:c>
      <x:c r="T404" s="3" t="s">
        <x:v>111</x:v>
      </x:c>
      <x:c r="U404" s="3" t="s">
        <x:v>112</x:v>
      </x:c>
      <x:c r="V404" s="3" t="s">
        <x:v>113</x:v>
      </x:c>
      <x:c r="W404" s="3" t="s">
        <x:v>114</x:v>
      </x:c>
      <x:c r="X404" s="3" t="s">
        <x:v>115</x:v>
      </x:c>
      <x:c r="Y404" s="3" t="s">
        <x:v>116</x:v>
      </x:c>
      <x:c r="Z404" s="3" t="s">
        <x:v>117</x:v>
      </x:c>
      <x:c r="AA404" s="3" t="s">
        <x:v>118</x:v>
      </x:c>
      <x:c r="AB404" s="7" t="n">
        <x:v>46276.5979166667</x:v>
      </x:c>
      <x:c r="AC404" s="7" t="n">
        <x:v>46276.6027777778</x:v>
      </x:c>
      <x:c r="AD404" s="7" t="n">
        <x:v>46276.6090277778</x:v>
      </x:c>
      <x:c r="AE404" s="7" t="n">
        <x:v>46276.6201388889</x:v>
      </x:c>
      <x:c r="AF404" s="7" t="n">
        <x:v>46276.6673611111</x:v>
      </x:c>
      <x:c r="AG404" s="3" t="n">
        <x:v>32</x:v>
      </x:c>
      <x:c r="AH404" s="3" t="n">
        <x:v>63</x:v>
      </x:c>
      <x:c r="AI404" s="3" t="s">
        <x:v>135</x:v>
      </x:c>
      <x:c r="AJ404" s="3" t="s">
        <x:v>111</x:v>
      </x:c>
      <x:c r="AK404" s="3" t="n">
        <x:v>120</x:v>
      </x:c>
      <x:c r="AL404" s="3" t="n">
        <x:v>0</x:v>
      </x:c>
      <x:c r="AM404" s="8" t="n">
        <x:v>0.7917</x:v>
      </x:c>
      <x:c r="AN404" s="3" t="n">
        <x:v>0</x:v>
      </x:c>
      <x:c r="AO404" s="3" t="s">
        <x:v>14</x:v>
      </x:c>
      <x:c r="AP404" s="3" t="s">
        <x:v>318</x:v>
      </x:c>
      <x:c r="AQ404" s="3" t="s">
        <x:v>340</x:v>
      </x:c>
      <x:c r="AR404" s="9" t="n">
        <x:v>857.6</x:v>
      </x:c>
      <x:c r="AS404" s="3" t="s">
        <x:v>185</x:v>
      </x:c>
      <x:c r="AT404" s="7" t="n">
        <x:v>46301.9166666667</x:v>
      </x:c>
    </x:row>
    <x:row r="405" ht="31.299999237060547" hidden="0">
      <x:c r="A405" s="3" t="s">
        <x:v>919</x:v>
      </x:c>
      <x:c r="B405" s="3" t="s">
        <x:v>166</x:v>
      </x:c>
      <x:c r="C405" s="3" t="s">
        <x:v>167</x:v>
      </x:c>
      <x:c r="D405" s="3" t="s">
        <x:v>168</x:v>
      </x:c>
      <x:c r="E405" s="3" t="s">
        <x:v>249</x:v>
      </x:c>
      <x:c r="F405" s="3" t="s">
        <x:v>127</x:v>
      </x:c>
      <x:c r="G405" s="3" t="s">
        <x:v>364</x:v>
      </x:c>
      <x:c r="H405" s="3" t="s">
        <x:v>339</x:v>
      </x:c>
      <x:c r="I405" s="3" t="s">
        <x:v>102</x:v>
      </x:c>
      <x:c r="J405" s="3" t="s">
        <x:v>103</x:v>
      </x:c>
      <x:c r="K405" s="3" t="s">
        <x:v>104</x:v>
      </x:c>
      <x:c r="L405" s="3" t="s">
        <x:v>171</x:v>
      </x:c>
      <x:c r="M405" s="3" t="s">
        <x:v>172</x:v>
      </x:c>
      <x:c r="N405" s="3" t="s">
        <x:v>173</x:v>
      </x:c>
      <x:c r="O405" s="3" t="s">
        <x:v>174</x:v>
      </x:c>
      <x:c r="P405" s="3" t="s">
        <x:v>175</x:v>
      </x:c>
      <x:c r="Q405" s="3" t="s">
        <x:v>271</x:v>
      </x:c>
      <x:c r="R405" s="3" t="s">
        <x:v>196</x:v>
      </x:c>
      <x:c r="S405" s="3" t="s">
        <x:v>111</x:v>
      </x:c>
      <x:c r="T405" s="3" t="s">
        <x:v>111</x:v>
      </x:c>
      <x:c r="U405" s="3" t="s">
        <x:v>197</x:v>
      </x:c>
      <x:c r="V405" s="3" t="s">
        <x:v>198</x:v>
      </x:c>
      <x:c r="W405" s="3" t="s">
        <x:v>199</x:v>
      </x:c>
      <x:c r="X405" s="3" t="s">
        <x:v>366</x:v>
      </x:c>
      <x:c r="Y405" s="3" t="s">
        <x:v>527</x:v>
      </x:c>
      <x:c r="Z405" s="3" t="s">
        <x:v>201</x:v>
      </x:c>
      <x:c r="AA405" s="3" t="s">
        <x:v>368</x:v>
      </x:c>
      <x:c r="AB405" s="7" t="n">
        <x:v>46276.6402777778</x:v>
      </x:c>
      <x:c r="AC405" s="7" t="n">
        <x:v>46276.6416666667</x:v>
      </x:c>
      <x:c r="AD405" s="7" t="n">
        <x:v>46276.6479166667</x:v>
      </x:c>
      <x:c r="AE405" s="7" t="n">
        <x:v>46276.6673611111</x:v>
      </x:c>
      <x:c r="AF405" s="7" t="n">
        <x:v>46276.7201388889</x:v>
      </x:c>
      <x:c r="AG405" s="3" t="n">
        <x:v>39</x:v>
      </x:c>
      <x:c r="AH405" s="3" t="n">
        <x:v>70</x:v>
      </x:c>
      <x:c r="AI405" s="3" t="s">
        <x:v>135</x:v>
      </x:c>
      <x:c r="AJ405" s="3" t="s">
        <x:v>135</x:v>
      </x:c>
      <x:c r="AK405" s="3" t="n">
        <x:v>120</x:v>
      </x:c>
      <x:c r="AL405" s="3" t="n">
        <x:v>0</x:v>
      </x:c>
      <x:c r="AM405" s="8" t="n">
        <x:v>0.9083</x:v>
      </x:c>
      <x:c r="AN405" s="3" t="n">
        <x:v>0</x:v>
      </x:c>
      <x:c r="AO405" s="3" t="s">
        <x:v>19</x:v>
      </x:c>
      <x:c r="AP405" s="3" t="s">
        <x:v>369</x:v>
      </x:c>
      <x:c r="AQ405" s="3" t="s">
        <x:v>340</x:v>
      </x:c>
      <x:c r="AR405" s="9" t="n">
        <x:v>1319.5</x:v>
      </x:c>
      <x:c r="AS405" s="3" t="s">
        <x:v>185</x:v>
      </x:c>
      <x:c r="AT405" s="7" t="n">
        <x:v>46301.9166666667</x:v>
      </x:c>
    </x:row>
    <x:row r="406" ht="31.299999237060547" hidden="0">
      <x:c r="A406" s="3" t="s">
        <x:v>920</x:v>
      </x:c>
      <x:c r="B406" s="3" t="s">
        <x:v>397</x:v>
      </x:c>
      <x:c r="C406" s="3" t="s">
        <x:v>398</x:v>
      </x:c>
      <x:c r="D406" s="3" t="s">
        <x:v>399</x:v>
      </x:c>
      <x:c r="E406" s="3" t="s">
        <x:v>249</x:v>
      </x:c>
      <x:c r="F406" s="3" t="s">
        <x:v>149</x:v>
      </x:c>
      <x:c r="G406" s="3" t="s">
        <x:v>400</x:v>
      </x:c>
      <x:c r="H406" s="3" t="s">
        <x:v>301</x:v>
      </x:c>
      <x:c r="I406" s="3" t="s">
        <x:v>302</x:v>
      </x:c>
      <x:c r="J406" s="3" t="s">
        <x:v>303</x:v>
      </x:c>
      <x:c r="K406" s="3" t="s">
        <x:v>104</x:v>
      </x:c>
      <x:c r="L406" s="3" t="s">
        <x:v>401</x:v>
      </x:c>
      <x:c r="M406" s="3" t="s">
        <x:v>402</x:v>
      </x:c>
      <x:c r="N406" s="3" t="s">
        <x:v>403</x:v>
      </x:c>
      <x:c r="O406" s="3" t="s">
        <x:v>404</x:v>
      </x:c>
      <x:c r="P406" s="3" t="s">
        <x:v>405</x:v>
      </x:c>
      <x:c r="Q406" s="3" t="s">
        <x:v>406</x:v>
      </x:c>
      <x:c r="R406" s="3" t="s">
        <x:v>134</x:v>
      </x:c>
      <x:c r="S406" s="3" t="s">
        <x:v>135</x:v>
      </x:c>
      <x:c r="T406" s="3" t="s">
        <x:v>111</x:v>
      </x:c>
      <x:c r="U406" s="3" t="s">
        <x:v>136</x:v>
      </x:c>
      <x:c r="V406" s="3" t="s">
        <x:v>137</x:v>
      </x:c>
      <x:c r="W406" s="3" t="s">
        <x:v>138</x:v>
      </x:c>
      <x:c r="X406" s="3" t="s">
        <x:v>139</x:v>
      </x:c>
      <x:c r="Y406" s="3" t="s">
        <x:v>454</x:v>
      </x:c>
      <x:c r="Z406" s="3" t="s">
        <x:v>141</x:v>
      </x:c>
      <x:c r="AA406" s="3" t="s">
        <x:v>118</x:v>
      </x:c>
      <x:c r="AB406" s="7" t="n">
        <x:v>46276.6451388889</x:v>
      </x:c>
      <x:c r="AC406" s="7" t="n">
        <x:v>46276.6472222222</x:v>
      </x:c>
      <x:c r="AD406" s="7" t="n">
        <x:v>46276.65</x:v>
      </x:c>
      <x:c r="AE406" s="7" t="n">
        <x:v>46276.6763888889</x:v>
      </x:c>
      <x:c r="AF406" s="7" t="n">
        <x:v>46276.6993055556</x:v>
      </x:c>
      <x:c r="AG406" s="3" t="n">
        <x:v>45</x:v>
      </x:c>
      <x:c r="AH406" s="3" t="n">
        <x:v>27</x:v>
      </x:c>
      <x:c r="AI406" s="3" t="s">
        <x:v>135</x:v>
      </x:c>
      <x:c r="AJ406" s="3" t="s">
        <x:v>135</x:v>
      </x:c>
      <x:c r="AK406" s="3" t="n">
        <x:v>180</x:v>
      </x:c>
      <x:c r="AL406" s="3" t="n">
        <x:v>0</x:v>
      </x:c>
      <x:c r="AM406" s="8" t="n">
        <x:v>0.4</x:v>
      </x:c>
      <x:c r="AN406" s="3" t="n">
        <x:v>3</x:v>
      </x:c>
      <x:c r="AO406" s="3" t="s">
        <x:v>14</x:v>
      </x:c>
      <x:c r="AP406" s="3" t="s">
        <x:v>183</x:v>
      </x:c>
      <x:c r="AQ406" s="3" t="s">
        <x:v>593</x:v>
      </x:c>
      <x:c r="AR406" s="9" t="n">
        <x:v>906.9</x:v>
      </x:c>
      <x:c r="AS406" s="3" t="s">
        <x:v>185</x:v>
      </x:c>
      <x:c r="AT406" s="7" t="n">
        <x:v>46301.9166666667</x:v>
      </x:c>
    </x:row>
    <x:row r="407" ht="31.299999237060547" hidden="0">
      <x:c r="A407" s="3" t="s">
        <x:v>921</x:v>
      </x:c>
      <x:c r="B407" s="3" t="s">
        <x:v>397</x:v>
      </x:c>
      <x:c r="C407" s="3" t="s">
        <x:v>398</x:v>
      </x:c>
      <x:c r="D407" s="3" t="s">
        <x:v>399</x:v>
      </x:c>
      <x:c r="E407" s="3" t="s">
        <x:v>249</x:v>
      </x:c>
      <x:c r="F407" s="3" t="s">
        <x:v>149</x:v>
      </x:c>
      <x:c r="G407" s="3" t="s">
        <x:v>324</x:v>
      </x:c>
      <x:c r="H407" s="3" t="s">
        <x:v>301</x:v>
      </x:c>
      <x:c r="I407" s="3" t="s">
        <x:v>302</x:v>
      </x:c>
      <x:c r="J407" s="3" t="s">
        <x:v>303</x:v>
      </x:c>
      <x:c r="K407" s="3" t="s">
        <x:v>104</x:v>
      </x:c>
      <x:c r="L407" s="3" t="s">
        <x:v>401</x:v>
      </x:c>
      <x:c r="M407" s="3" t="s">
        <x:v>402</x:v>
      </x:c>
      <x:c r="N407" s="3" t="s">
        <x:v>403</x:v>
      </x:c>
      <x:c r="O407" s="3" t="s">
        <x:v>404</x:v>
      </x:c>
      <x:c r="P407" s="3" t="s">
        <x:v>405</x:v>
      </x:c>
      <x:c r="Q407" s="3" t="s">
        <x:v>406</x:v>
      </x:c>
      <x:c r="R407" s="3" t="s">
        <x:v>330</x:v>
      </x:c>
      <x:c r="S407" s="3" t="s">
        <x:v>135</x:v>
      </x:c>
      <x:c r="T407" s="3" t="s">
        <x:v>111</x:v>
      </x:c>
      <x:c r="U407" s="3" t="s">
        <x:v>331</x:v>
      </x:c>
      <x:c r="V407" s="3" t="s">
        <x:v>178</x:v>
      </x:c>
      <x:c r="W407" s="3" t="s">
        <x:v>355</x:v>
      </x:c>
      <x:c r="X407" s="3" t="s">
        <x:v>180</x:v>
      </x:c>
      <x:c r="Y407" s="3" t="s">
        <x:v>356</x:v>
      </x:c>
      <x:c r="Z407" s="3" t="s">
        <x:v>334</x:v>
      </x:c>
      <x:c r="AA407" s="3" t="s">
        <x:v>118</x:v>
      </x:c>
      <x:c r="AB407" s="7" t="n">
        <x:v>46276.6576388889</x:v>
      </x:c>
      <x:c r="AC407" s="7" t="n">
        <x:v>46276.6618055556</x:v>
      </x:c>
      <x:c r="AD407" s="7" t="n">
        <x:v>46276.6638888889</x:v>
      </x:c>
      <x:c r="AE407" s="7" t="n">
        <x:v>46276.6881944445</x:v>
      </x:c>
      <x:c r="AF407" s="7" t="n">
        <x:v>46276.7118055556</x:v>
      </x:c>
      <x:c r="AG407" s="3" t="n">
        <x:v>44</x:v>
      </x:c>
      <x:c r="AH407" s="3" t="n">
        <x:v>30</x:v>
      </x:c>
      <x:c r="AI407" s="3" t="s">
        <x:v>135</x:v>
      </x:c>
      <x:c r="AJ407" s="3" t="s">
        <x:v>135</x:v>
      </x:c>
      <x:c r="AK407" s="3" t="n">
        <x:v>180</x:v>
      </x:c>
      <x:c r="AL407" s="3" t="n">
        <x:v>0</x:v>
      </x:c>
      <x:c r="AM407" s="8" t="n">
        <x:v>0.4111</x:v>
      </x:c>
      <x:c r="AN407" s="3" t="n">
        <x:v>2</x:v>
      </x:c>
      <x:c r="AO407" s="3" t="s">
        <x:v>14</x:v>
      </x:c>
      <x:c r="AP407" s="3" t="s">
        <x:v>573</x:v>
      </x:c>
      <x:c r="AQ407" s="3" t="s">
        <x:v>539</x:v>
      </x:c>
      <x:c r="AR407" s="9" t="n">
        <x:v>674</x:v>
      </x:c>
      <x:c r="AS407" s="3" t="s">
        <x:v>121</x:v>
      </x:c>
      <x:c r="AT407" s="7" t="n">
        <x:v>46301.9166666667</x:v>
      </x:c>
    </x:row>
    <x:row r="408" ht="31.299999237060547" hidden="0">
      <x:c r="A408" s="3" t="s">
        <x:v>922</x:v>
      </x:c>
      <x:c r="B408" s="3" t="s">
        <x:v>297</x:v>
      </x:c>
      <x:c r="C408" s="3" t="s">
        <x:v>298</x:v>
      </x:c>
      <x:c r="D408" s="3" t="s">
        <x:v>299</x:v>
      </x:c>
      <x:c r="E408" s="3" t="s">
        <x:v>249</x:v>
      </x:c>
      <x:c r="F408" s="3" t="s">
        <x:v>169</x:v>
      </x:c>
      <x:c r="G408" s="3" t="s">
        <x:v>436</x:v>
      </x:c>
      <x:c r="H408" s="3" t="s">
        <x:v>301</x:v>
      </x:c>
      <x:c r="I408" s="3" t="s">
        <x:v>302</x:v>
      </x:c>
      <x:c r="J408" s="3" t="s">
        <x:v>303</x:v>
      </x:c>
      <x:c r="K408" s="3" t="s">
        <x:v>104</x:v>
      </x:c>
      <x:c r="L408" s="3" t="s">
        <x:v>304</x:v>
      </x:c>
      <x:c r="M408" s="3" t="s">
        <x:v>305</x:v>
      </x:c>
      <x:c r="N408" s="3" t="s">
        <x:v>306</x:v>
      </x:c>
      <x:c r="O408" s="3" t="s">
        <x:v>307</x:v>
      </x:c>
      <x:c r="P408" s="3" t="s">
        <x:v>308</x:v>
      </x:c>
      <x:c r="Q408" s="3" t="s">
        <x:v>309</x:v>
      </x:c>
      <x:c r="R408" s="3" t="s">
        <x:v>391</x:v>
      </x:c>
      <x:c r="S408" s="3" t="s">
        <x:v>135</x:v>
      </x:c>
      <x:c r="T408" s="3" t="s">
        <x:v>135</x:v>
      </x:c>
      <x:c r="U408" s="3" t="s">
        <x:v>392</x:v>
      </x:c>
      <x:c r="V408" s="3" t="s">
        <x:v>312</x:v>
      </x:c>
      <x:c r="W408" s="3" t="s">
        <x:v>313</x:v>
      </x:c>
      <x:c r="X408" s="3" t="s">
        <x:v>314</x:v>
      </x:c>
      <x:c r="Y408" s="3" t="s">
        <x:v>315</x:v>
      </x:c>
      <x:c r="Z408" s="3" t="s">
        <x:v>393</x:v>
      </x:c>
      <x:c r="AA408" s="3" t="s">
        <x:v>394</x:v>
      </x:c>
      <x:c r="AB408" s="7" t="n">
        <x:v>46276.6645833333</x:v>
      </x:c>
      <x:c r="AC408" s="7" t="n">
        <x:v>46276.6673611111</x:v>
      </x:c>
      <x:c r="AD408" s="7" t="n">
        <x:v>46276.6729166667</x:v>
      </x:c>
      <x:c r="AE408" s="7" t="n">
        <x:v>46276.6993055556</x:v>
      </x:c>
      <x:c r="AF408" s="7" t="n">
        <x:v>46276.76875</x:v>
      </x:c>
      <x:c r="AG408" s="3" t="n">
        <x:v>50</x:v>
      </x:c>
      <x:c r="AH408" s="3" t="n">
        <x:v>90</x:v>
      </x:c>
      <x:c r="AI408" s="3" t="s">
        <x:v>135</x:v>
      </x:c>
      <x:c r="AJ408" s="3" t="s">
        <x:v>111</x:v>
      </x:c>
      <x:c r="AK408" s="3" t="n">
        <x:v>180</x:v>
      </x:c>
      <x:c r="AL408" s="3" t="n">
        <x:v>0</x:v>
      </x:c>
      <x:c r="AM408" s="8" t="n">
        <x:v>0.7778</x:v>
      </x:c>
      <x:c r="AN408" s="3" t="n">
        <x:v>1</x:v>
      </x:c>
      <x:c r="AO408" s="3" t="s">
        <x:v>14</x:v>
      </x:c>
      <x:c r="AP408" s="3" t="s">
        <x:v>664</x:v>
      </x:c>
      <x:c r="AQ408" s="3" t="s">
        <x:v>603</x:v>
      </x:c>
      <x:c r="AR408" s="9" t="n">
        <x:v>1513</x:v>
      </x:c>
      <x:c r="AS408" s="3" t="s">
        <x:v>185</x:v>
      </x:c>
      <x:c r="AT408" s="7" t="n">
        <x:v>46301.9166666667</x:v>
      </x:c>
    </x:row>
    <x:row r="409" ht="31.299999237060547" hidden="0">
      <x:c r="A409" s="3" t="s">
        <x:v>923</x:v>
      </x:c>
      <x:c r="B409" s="3" t="s">
        <x:v>205</x:v>
      </x:c>
      <x:c r="C409" s="3" t="s">
        <x:v>206</x:v>
      </x:c>
      <x:c r="D409" s="3" t="s">
        <x:v>207</x:v>
      </x:c>
      <x:c r="E409" s="3" t="s">
        <x:v>249</x:v>
      </x:c>
      <x:c r="F409" s="3" t="s">
        <x:v>127</x:v>
      </x:c>
      <x:c r="G409" s="3" t="s">
        <x:v>535</x:v>
      </x:c>
      <x:c r="H409" s="3" t="s">
        <x:v>101</x:v>
      </x:c>
      <x:c r="I409" s="3" t="s">
        <x:v>102</x:v>
      </x:c>
      <x:c r="J409" s="3" t="s">
        <x:v>103</x:v>
      </x:c>
      <x:c r="K409" s="3" t="s">
        <x:v>104</x:v>
      </x:c>
      <x:c r="L409" s="3" t="s">
        <x:v>209</x:v>
      </x:c>
      <x:c r="M409" s="3" t="s">
        <x:v>210</x:v>
      </x:c>
      <x:c r="N409" s="3" t="s">
        <x:v>211</x:v>
      </x:c>
      <x:c r="O409" s="3" t="s">
        <x:v>212</x:v>
      </x:c>
      <x:c r="P409" s="3" t="s">
        <x:v>213</x:v>
      </x:c>
      <x:c r="Q409" s="3" t="s">
        <x:v>254</x:v>
      </x:c>
      <x:c r="R409" s="3" t="s">
        <x:v>176</x:v>
      </x:c>
      <x:c r="S409" s="3" t="s">
        <x:v>135</x:v>
      </x:c>
      <x:c r="T409" s="3" t="s">
        <x:v>135</x:v>
      </x:c>
      <x:c r="U409" s="3" t="s">
        <x:v>177</x:v>
      </x:c>
      <x:c r="V409" s="3" t="s">
        <x:v>178</x:v>
      </x:c>
      <x:c r="W409" s="3" t="s">
        <x:v>355</x:v>
      </x:c>
      <x:c r="X409" s="3" t="s">
        <x:v>180</x:v>
      </x:c>
      <x:c r="Y409" s="3" t="s">
        <x:v>356</x:v>
      </x:c>
      <x:c r="Z409" s="3" t="s">
        <x:v>182</x:v>
      </x:c>
      <x:c r="AA409" s="3" t="s">
        <x:v>118</x:v>
      </x:c>
      <x:c r="AB409" s="7" t="n">
        <x:v>46276.7180555556</x:v>
      </x:c>
      <x:c r="AC409" s="7" t="n">
        <x:v>46276.7208333333</x:v>
      </x:c>
      <x:c r="AD409" s="7" t="n">
        <x:v>46276.7236111111</x:v>
      </x:c>
      <x:c r="AE409" s="7" t="n">
        <x:v>46276.7354166667</x:v>
      </x:c>
      <x:c r="AF409" s="7" t="n">
        <x:v>46276.7722222222</x:v>
      </x:c>
      <x:c r="AG409" s="3" t="n">
        <x:v>25</x:v>
      </x:c>
      <x:c r="AH409" s="3" t="n">
        <x:v>46</x:v>
      </x:c>
      <x:c r="AI409" s="3" t="s">
        <x:v>135</x:v>
      </x:c>
      <x:c r="AJ409" s="3" t="s">
        <x:v>135</x:v>
      </x:c>
      <x:c r="AK409" s="3" t="n">
        <x:v>180</x:v>
      </x:c>
      <x:c r="AL409" s="3" t="n">
        <x:v>0</x:v>
      </x:c>
      <x:c r="AM409" s="8" t="n">
        <x:v>0.3944</x:v>
      </x:c>
      <x:c r="AN409" s="3" t="n">
        <x:v>0</x:v>
      </x:c>
      <x:c r="AO409" s="3" t="s">
        <x:v>9</x:v>
      </x:c>
      <x:c r="AP409" s="3" t="s">
        <x:v>142</x:v>
      </x:c>
      <x:c r="AQ409" s="3" t="s">
        <x:v>220</x:v>
      </x:c>
      <x:c r="AR409" s="9" t="n">
        <x:v>703.7</x:v>
      </x:c>
      <x:c r="AS409" s="3" t="s">
        <x:v>144</x:v>
      </x:c>
      <x:c r="AT409" s="7" t="n">
        <x:v>46301.9166666667</x:v>
      </x:c>
    </x:row>
    <x:row r="410" ht="31.299999237060547" hidden="0">
      <x:c r="A410" s="3" t="s">
        <x:v>924</x:v>
      </x:c>
      <x:c r="B410" s="3" t="s">
        <x:v>433</x:v>
      </x:c>
      <x:c r="C410" s="3" t="s">
        <x:v>434</x:v>
      </x:c>
      <x:c r="D410" s="3" t="s">
        <x:v>435</x:v>
      </x:c>
      <x:c r="E410" s="3" t="s">
        <x:v>249</x:v>
      </x:c>
      <x:c r="F410" s="3" t="s">
        <x:v>99</x:v>
      </x:c>
      <x:c r="G410" s="3" t="s">
        <x:v>436</x:v>
      </x:c>
      <x:c r="H410" s="3" t="s">
        <x:v>301</x:v>
      </x:c>
      <x:c r="I410" s="3" t="s">
        <x:v>302</x:v>
      </x:c>
      <x:c r="J410" s="3" t="s">
        <x:v>303</x:v>
      </x:c>
      <x:c r="K410" s="3" t="s">
        <x:v>104</x:v>
      </x:c>
      <x:c r="L410" s="3" t="s">
        <x:v>437</x:v>
      </x:c>
      <x:c r="M410" s="3" t="s">
        <x:v>106</x:v>
      </x:c>
      <x:c r="N410" s="3" t="s">
        <x:v>438</x:v>
      </x:c>
      <x:c r="O410" s="3" t="s">
        <x:v>439</x:v>
      </x:c>
      <x:c r="P410" s="3" t="s">
        <x:v>440</x:v>
      </x:c>
      <x:c r="Q410" s="3" t="s">
        <x:v>441</x:v>
      </x:c>
      <x:c r="R410" s="3" t="s">
        <x:v>391</x:v>
      </x:c>
      <x:c r="S410" s="3" t="s">
        <x:v>135</x:v>
      </x:c>
      <x:c r="T410" s="3" t="s">
        <x:v>135</x:v>
      </x:c>
      <x:c r="U410" s="3" t="s">
        <x:v>392</x:v>
      </x:c>
      <x:c r="V410" s="3" t="s">
        <x:v>312</x:v>
      </x:c>
      <x:c r="W410" s="3" t="s">
        <x:v>313</x:v>
      </x:c>
      <x:c r="X410" s="3" t="s">
        <x:v>314</x:v>
      </x:c>
      <x:c r="Y410" s="3" t="s">
        <x:v>315</x:v>
      </x:c>
      <x:c r="Z410" s="3" t="s">
        <x:v>393</x:v>
      </x:c>
      <x:c r="AA410" s="3" t="s">
        <x:v>394</x:v>
      </x:c>
      <x:c r="AB410" s="7" t="n">
        <x:v>46276.7381944444</x:v>
      </x:c>
      <x:c r="AC410" s="7" t="n">
        <x:v>46276.7409722222</x:v>
      </x:c>
      <x:c r="AD410" s="7" t="n">
        <x:v>46276.7451388889</x:v>
      </x:c>
      <x:c r="AE410" s="7" t="n">
        <x:v>46276.7715277778</x:v>
      </x:c>
      <x:c r="AF410" s="7" t="n">
        <x:v>46276.7958333333</x:v>
      </x:c>
      <x:c r="AG410" s="3" t="n">
        <x:v>48</x:v>
      </x:c>
      <x:c r="AH410" s="3" t="n">
        <x:v>28</x:v>
      </x:c>
      <x:c r="AI410" s="3" t="s">
        <x:v>135</x:v>
      </x:c>
      <x:c r="AJ410" s="3" t="s">
        <x:v>135</x:v>
      </x:c>
      <x:c r="AK410" s="3" t="n">
        <x:v>180</x:v>
      </x:c>
      <x:c r="AL410" s="3" t="n">
        <x:v>0</x:v>
      </x:c>
      <x:c r="AM410" s="8" t="n">
        <x:v>0.4222</x:v>
      </x:c>
      <x:c r="AN410" s="3" t="n">
        <x:v>1</x:v>
      </x:c>
      <x:c r="AO410" s="3" t="s">
        <x:v>9</x:v>
      </x:c>
      <x:c r="AP410" s="3" t="s">
        <x:v>500</x:v>
      </x:c>
      <x:c r="AQ410" s="3" t="s">
        <x:v>562</x:v>
      </x:c>
      <x:c r="AR410" s="9" t="n">
        <x:v>677.6</x:v>
      </x:c>
      <x:c r="AS410" s="3" t="s">
        <x:v>144</x:v>
      </x:c>
      <x:c r="AT410" s="7" t="n">
        <x:v>46301.9166666667</x:v>
      </x:c>
    </x:row>
    <x:row r="411" ht="31.299999237060547" hidden="0">
      <x:c r="A411" s="3" t="s">
        <x:v>925</x:v>
      </x:c>
      <x:c r="B411" s="3" t="s">
        <x:v>83</x:v>
      </x:c>
      <x:c r="C411" s="3" t="s">
        <x:v>96</x:v>
      </x:c>
      <x:c r="D411" s="3" t="s">
        <x:v>97</x:v>
      </x:c>
      <x:c r="E411" s="3" t="s">
        <x:v>249</x:v>
      </x:c>
      <x:c r="F411" s="3" t="s">
        <x:v>99</x:v>
      </x:c>
      <x:c r="G411" s="3" t="s">
        <x:v>349</x:v>
      </x:c>
      <x:c r="H411" s="3" t="s">
        <x:v>343</x:v>
      </x:c>
      <x:c r="I411" s="3" t="s">
        <x:v>102</x:v>
      </x:c>
      <x:c r="J411" s="3" t="s">
        <x:v>103</x:v>
      </x:c>
      <x:c r="K411" s="3" t="s">
        <x:v>104</x:v>
      </x:c>
      <x:c r="L411" s="3" t="s">
        <x:v>105</x:v>
      </x:c>
      <x:c r="M411" s="3" t="s">
        <x:v>106</x:v>
      </x:c>
      <x:c r="N411" s="3" t="s">
        <x:v>107</x:v>
      </x:c>
      <x:c r="O411" s="3" t="s">
        <x:v>108</x:v>
      </x:c>
      <x:c r="P411" s="3" t="s">
        <x:v>109</x:v>
      </x:c>
      <x:c r="Q411" s="3" t="s">
        <x:v>250</x:v>
      </x:c>
      <x:c r="R411" s="3" t="s">
        <x:v>344</x:v>
      </x:c>
      <x:c r="S411" s="3" t="s">
        <x:v>111</x:v>
      </x:c>
      <x:c r="T411" s="3" t="s">
        <x:v>111</x:v>
      </x:c>
      <x:c r="U411" s="3" t="s">
        <x:v>345</x:v>
      </x:c>
      <x:c r="V411" s="3" t="s">
        <x:v>178</x:v>
      </x:c>
      <x:c r="W411" s="3" t="s">
        <x:v>179</x:v>
      </x:c>
      <x:c r="X411" s="3" t="s">
        <x:v>180</x:v>
      </x:c>
      <x:c r="Y411" s="3" t="s">
        <x:v>414</x:v>
      </x:c>
      <x:c r="Z411" s="3" t="s">
        <x:v>346</x:v>
      </x:c>
      <x:c r="AA411" s="3" t="s">
        <x:v>118</x:v>
      </x:c>
      <x:c r="AB411" s="7" t="n">
        <x:v>46276.74375</x:v>
      </x:c>
      <x:c r="AC411" s="7" t="n">
        <x:v>46276.7472222222</x:v>
      </x:c>
      <x:c r="AD411" s="7" t="n">
        <x:v>46276.75</x:v>
      </x:c>
      <x:c r="AE411" s="7" t="n">
        <x:v>46276.7652777778</x:v>
      </x:c>
      <x:c r="AF411" s="7" t="n">
        <x:v>46276.7888888889</x:v>
      </x:c>
      <x:c r="AG411" s="3" t="n">
        <x:v>31</x:v>
      </x:c>
      <x:c r="AH411" s="3" t="n">
        <x:v>27</x:v>
      </x:c>
      <x:c r="AI411" s="3" t="s">
        <x:v>111</x:v>
      </x:c>
      <x:c r="AJ411" s="3" t="s">
        <x:v>111</x:v>
      </x:c>
      <x:c r="AK411" s="3" t="n">
        <x:v>60</x:v>
      </x:c>
      <x:c r="AL411" s="3" t="n">
        <x:v>0</x:v>
      </x:c>
      <x:c r="AM411" s="8" t="n">
        <x:v>0.9667</x:v>
      </x:c>
      <x:c r="AN411" s="3" t="n">
        <x:v>1</x:v>
      </x:c>
      <x:c r="AO411" s="3" t="s">
        <x:v>24</x:v>
      </x:c>
      <x:c r="AP411" s="3" t="s">
        <x:v>629</x:v>
      </x:c>
      <x:c r="AQ411" s="3" t="s">
        <x:v>562</x:v>
      </x:c>
      <x:c r="AR411" s="9" t="n">
        <x:v>913.9</x:v>
      </x:c>
      <x:c r="AS411" s="3" t="s">
        <x:v>185</x:v>
      </x:c>
      <x:c r="AT411" s="7" t="n">
        <x:v>46301.9166666667</x:v>
      </x:c>
    </x:row>
    <x:row r="412" ht="31.299999237060547" hidden="0">
      <x:c r="A412" s="3" t="s">
        <x:v>926</x:v>
      </x:c>
      <x:c r="B412" s="3" t="s">
        <x:v>397</x:v>
      </x:c>
      <x:c r="C412" s="3" t="s">
        <x:v>398</x:v>
      </x:c>
      <x:c r="D412" s="3" t="s">
        <x:v>399</x:v>
      </x:c>
      <x:c r="E412" s="3" t="s">
        <x:v>249</x:v>
      </x:c>
      <x:c r="F412" s="3" t="s">
        <x:v>99</x:v>
      </x:c>
      <x:c r="G412" s="3" t="s">
        <x:v>512</x:v>
      </x:c>
      <x:c r="H412" s="3" t="s">
        <x:v>301</x:v>
      </x:c>
      <x:c r="I412" s="3" t="s">
        <x:v>302</x:v>
      </x:c>
      <x:c r="J412" s="3" t="s">
        <x:v>303</x:v>
      </x:c>
      <x:c r="K412" s="3" t="s">
        <x:v>104</x:v>
      </x:c>
      <x:c r="L412" s="3" t="s">
        <x:v>401</x:v>
      </x:c>
      <x:c r="M412" s="3" t="s">
        <x:v>402</x:v>
      </x:c>
      <x:c r="N412" s="3" t="s">
        <x:v>403</x:v>
      </x:c>
      <x:c r="O412" s="3" t="s">
        <x:v>404</x:v>
      </x:c>
      <x:c r="P412" s="3" t="s">
        <x:v>405</x:v>
      </x:c>
      <x:c r="Q412" s="3" t="s">
        <x:v>406</x:v>
      </x:c>
      <x:c r="R412" s="3" t="s">
        <x:v>214</x:v>
      </x:c>
      <x:c r="S412" s="3" t="s">
        <x:v>135</x:v>
      </x:c>
      <x:c r="T412" s="3" t="s">
        <x:v>111</x:v>
      </x:c>
      <x:c r="U412" s="3" t="s">
        <x:v>215</x:v>
      </x:c>
      <x:c r="V412" s="3" t="s">
        <x:v>216</x:v>
      </x:c>
      <x:c r="W412" s="3" t="s">
        <x:v>429</x:v>
      </x:c>
      <x:c r="X412" s="3" t="s">
        <x:v>430</x:v>
      </x:c>
      <x:c r="Y412" s="3" t="s">
        <x:v>431</x:v>
      </x:c>
      <x:c r="Z412" s="3" t="s">
        <x:v>219</x:v>
      </x:c>
      <x:c r="AA412" s="3" t="s">
        <x:v>118</x:v>
      </x:c>
      <x:c r="AB412" s="7" t="n">
        <x:v>46276.7993055556</x:v>
      </x:c>
      <x:c r="AC412" s="7" t="n">
        <x:v>46276.8041666667</x:v>
      </x:c>
      <x:c r="AD412" s="7" t="n">
        <x:v>46276.8083333333</x:v>
      </x:c>
      <x:c r="AE412" s="7" t="n">
        <x:v>46276.825</x:v>
      </x:c>
      <x:c r="AF412" s="7" t="n">
        <x:v>46276.8583333333</x:v>
      </x:c>
      <x:c r="AG412" s="3" t="n">
        <x:v>37</x:v>
      </x:c>
      <x:c r="AH412" s="3" t="n">
        <x:v>39</x:v>
      </x:c>
      <x:c r="AI412" s="3" t="s">
        <x:v>135</x:v>
      </x:c>
      <x:c r="AJ412" s="3" t="s">
        <x:v>135</x:v>
      </x:c>
      <x:c r="AK412" s="3" t="n">
        <x:v>180</x:v>
      </x:c>
      <x:c r="AL412" s="3" t="n">
        <x:v>0</x:v>
      </x:c>
      <x:c r="AM412" s="8" t="n">
        <x:v>0.4222</x:v>
      </x:c>
      <x:c r="AN412" s="3" t="n">
        <x:v>0</x:v>
      </x:c>
      <x:c r="AO412" s="3" t="s">
        <x:v>9</x:v>
      </x:c>
      <x:c r="AP412" s="3" t="s">
        <x:v>142</x:v>
      </x:c>
      <x:c r="AQ412" s="3" t="s">
        <x:v>408</x:v>
      </x:c>
      <x:c r="AR412" s="9" t="n">
        <x:v>707.3</x:v>
      </x:c>
      <x:c r="AS412" s="3" t="s">
        <x:v>121</x:v>
      </x:c>
      <x:c r="AT412" s="7" t="n">
        <x:v>46301.9166666667</x:v>
      </x:c>
    </x:row>
    <x:row r="413" ht="31.299999237060547" hidden="0">
      <x:c r="A413" s="3" t="s">
        <x:v>927</x:v>
      </x:c>
      <x:c r="B413" s="3" t="s">
        <x:v>166</x:v>
      </x:c>
      <x:c r="C413" s="3" t="s">
        <x:v>167</x:v>
      </x:c>
      <x:c r="D413" s="3" t="s">
        <x:v>168</x:v>
      </x:c>
      <x:c r="E413" s="3" t="s">
        <x:v>249</x:v>
      </x:c>
      <x:c r="F413" s="3" t="s">
        <x:v>127</x:v>
      </x:c>
      <x:c r="G413" s="3" t="s">
        <x:v>489</x:v>
      </x:c>
      <x:c r="H413" s="3" t="s">
        <x:v>301</x:v>
      </x:c>
      <x:c r="I413" s="3" t="s">
        <x:v>302</x:v>
      </x:c>
      <x:c r="J413" s="3" t="s">
        <x:v>303</x:v>
      </x:c>
      <x:c r="K413" s="3" t="s">
        <x:v>104</x:v>
      </x:c>
      <x:c r="L413" s="3" t="s">
        <x:v>171</x:v>
      </x:c>
      <x:c r="M413" s="3" t="s">
        <x:v>172</x:v>
      </x:c>
      <x:c r="N413" s="3" t="s">
        <x:v>173</x:v>
      </x:c>
      <x:c r="O413" s="3" t="s">
        <x:v>174</x:v>
      </x:c>
      <x:c r="P413" s="3" t="s">
        <x:v>175</x:v>
      </x:c>
      <x:c r="Q413" s="3" t="s">
        <x:v>271</x:v>
      </x:c>
      <x:c r="R413" s="3" t="s">
        <x:v>134</x:v>
      </x:c>
      <x:c r="S413" s="3" t="s">
        <x:v>135</x:v>
      </x:c>
      <x:c r="T413" s="3" t="s">
        <x:v>111</x:v>
      </x:c>
      <x:c r="U413" s="3" t="s">
        <x:v>136</x:v>
      </x:c>
      <x:c r="V413" s="3" t="s">
        <x:v>137</x:v>
      </x:c>
      <x:c r="W413" s="3" t="s">
        <x:v>138</x:v>
      </x:c>
      <x:c r="X413" s="3" t="s">
        <x:v>139</x:v>
      </x:c>
      <x:c r="Y413" s="3" t="s">
        <x:v>454</x:v>
      </x:c>
      <x:c r="Z413" s="3" t="s">
        <x:v>141</x:v>
      </x:c>
      <x:c r="AA413" s="3" t="s">
        <x:v>118</x:v>
      </x:c>
      <x:c r="AB413" s="7" t="n">
        <x:v>46276.8430555556</x:v>
      </x:c>
      <x:c r="AC413" s="7" t="n">
        <x:v>46276.8479166667</x:v>
      </x:c>
      <x:c r="AD413" s="7" t="n">
        <x:v>46276.85</x:v>
      </x:c>
      <x:c r="AE413" s="7" t="n">
        <x:v>46276.8652777778</x:v>
      </x:c>
      <x:c r="AF413" s="7" t="n">
        <x:v>46276.9215277778</x:v>
      </x:c>
      <x:c r="AG413" s="3" t="n">
        <x:v>32</x:v>
      </x:c>
      <x:c r="AH413" s="3" t="n">
        <x:v>78</x:v>
      </x:c>
      <x:c r="AI413" s="3" t="s">
        <x:v>135</x:v>
      </x:c>
      <x:c r="AJ413" s="3" t="s">
        <x:v>135</x:v>
      </x:c>
      <x:c r="AK413" s="3" t="n">
        <x:v>180</x:v>
      </x:c>
      <x:c r="AL413" s="3" t="n">
        <x:v>0</x:v>
      </x:c>
      <x:c r="AM413" s="8" t="n">
        <x:v>0.6111</x:v>
      </x:c>
      <x:c r="AN413" s="3" t="n">
        <x:v>1</x:v>
      </x:c>
      <x:c r="AO413" s="3" t="s">
        <x:v>14</x:v>
      </x:c>
      <x:c r="AP413" s="3" t="s">
        <x:v>471</x:v>
      </x:c>
      <x:c r="AQ413" s="3" t="s">
        <x:v>501</x:v>
      </x:c>
      <x:c r="AR413" s="9" t="n">
        <x:v>1345.6</x:v>
      </x:c>
      <x:c r="AS413" s="3" t="s">
        <x:v>121</x:v>
      </x:c>
      <x:c r="AT413" s="7" t="n">
        <x:v>46301.9166666667</x:v>
      </x:c>
    </x:row>
    <x:row r="414" ht="31.299999237060547" hidden="0">
      <x:c r="A414" s="3" t="s">
        <x:v>928</x:v>
      </x:c>
      <x:c r="B414" s="3" t="s">
        <x:v>146</x:v>
      </x:c>
      <x:c r="C414" s="3" t="s">
        <x:v>147</x:v>
      </x:c>
      <x:c r="D414" s="3" t="s">
        <x:v>148</x:v>
      </x:c>
      <x:c r="E414" s="3" t="s">
        <x:v>249</x:v>
      </x:c>
      <x:c r="F414" s="3" t="s">
        <x:v>149</x:v>
      </x:c>
      <x:c r="G414" s="3" t="s">
        <x:v>477</x:v>
      </x:c>
      <x:c r="H414" s="3" t="s">
        <x:v>343</x:v>
      </x:c>
      <x:c r="I414" s="3" t="s">
        <x:v>102</x:v>
      </x:c>
      <x:c r="J414" s="3" t="s">
        <x:v>103</x:v>
      </x:c>
      <x:c r="K414" s="3" t="s">
        <x:v>104</x:v>
      </x:c>
      <x:c r="L414" s="3" t="s">
        <x:v>151</x:v>
      </x:c>
      <x:c r="M414" s="3" t="s">
        <x:v>152</x:v>
      </x:c>
      <x:c r="N414" s="3" t="s">
        <x:v>153</x:v>
      </x:c>
      <x:c r="O414" s="3" t="s">
        <x:v>154</x:v>
      </x:c>
      <x:c r="P414" s="3" t="s">
        <x:v>155</x:v>
      </x:c>
      <x:c r="Q414" s="3" t="s">
        <x:v>270</x:v>
      </x:c>
      <x:c r="R414" s="3" t="s">
        <x:v>214</x:v>
      </x:c>
      <x:c r="S414" s="3" t="s">
        <x:v>135</x:v>
      </x:c>
      <x:c r="T414" s="3" t="s">
        <x:v>111</x:v>
      </x:c>
      <x:c r="U414" s="3" t="s">
        <x:v>215</x:v>
      </x:c>
      <x:c r="V414" s="3" t="s">
        <x:v>216</x:v>
      </x:c>
      <x:c r="W414" s="3" t="s">
        <x:v>217</x:v>
      </x:c>
      <x:c r="X414" s="3" t="s">
        <x:v>430</x:v>
      </x:c>
      <x:c r="Y414" s="3" t="s">
        <x:v>555</x:v>
      </x:c>
      <x:c r="Z414" s="3" t="s">
        <x:v>219</x:v>
      </x:c>
      <x:c r="AA414" s="3" t="s">
        <x:v>118</x:v>
      </x:c>
      <x:c r="AB414" s="7" t="n">
        <x:v>46277.3458333333</x:v>
      </x:c>
      <x:c r="AC414" s="7" t="n">
        <x:v>46277.3506944444</x:v>
      </x:c>
      <x:c r="AD414" s="7" t="n">
        <x:v>46277.3569444444</x:v>
      </x:c>
      <x:c r="AE414" s="7" t="n">
        <x:v>46277.3805555556</x:v>
      </x:c>
      <x:c r="AF414" s="7" t="n">
        <x:v>46277.4180555556</x:v>
      </x:c>
      <x:c r="AG414" s="3" t="n">
        <x:v>50</x:v>
      </x:c>
      <x:c r="AH414" s="3" t="n">
        <x:v>50</x:v>
      </x:c>
      <x:c r="AI414" s="3" t="s">
        <x:v>135</x:v>
      </x:c>
      <x:c r="AJ414" s="3" t="s">
        <x:v>135</x:v>
      </x:c>
      <x:c r="AK414" s="3" t="n">
        <x:v>180</x:v>
      </x:c>
      <x:c r="AL414" s="3" t="n">
        <x:v>0</x:v>
      </x:c>
      <x:c r="AM414" s="8" t="n">
        <x:v>0.5556</x:v>
      </x:c>
      <x:c r="AN414" s="3" t="n">
        <x:v>3</x:v>
      </x:c>
      <x:c r="AO414" s="3" t="s">
        <x:v>14</x:v>
      </x:c>
      <x:c r="AP414" s="3" t="s">
        <x:v>183</x:v>
      </x:c>
      <x:c r="AQ414" s="3" t="s">
        <x:v>929</x:v>
      </x:c>
      <x:c r="AR414" s="9" t="n">
        <x:v>1095</x:v>
      </x:c>
      <x:c r="AS414" s="3" t="s">
        <x:v>185</x:v>
      </x:c>
      <x:c r="AT414" s="7" t="n">
        <x:v>46301.9166666667</x:v>
      </x:c>
    </x:row>
    <x:row r="415" ht="31.299999237060547" hidden="0">
      <x:c r="A415" s="3" t="s">
        <x:v>930</x:v>
      </x:c>
      <x:c r="B415" s="3" t="s">
        <x:v>166</x:v>
      </x:c>
      <x:c r="C415" s="3" t="s">
        <x:v>167</x:v>
      </x:c>
      <x:c r="D415" s="3" t="s">
        <x:v>168</x:v>
      </x:c>
      <x:c r="E415" s="3" t="s">
        <x:v>249</x:v>
      </x:c>
      <x:c r="F415" s="3" t="s">
        <x:v>99</x:v>
      </x:c>
      <x:c r="G415" s="3" t="s">
        <x:v>504</x:v>
      </x:c>
      <x:c r="H415" s="3" t="s">
        <x:v>343</x:v>
      </x:c>
      <x:c r="I415" s="3" t="s">
        <x:v>102</x:v>
      </x:c>
      <x:c r="J415" s="3" t="s">
        <x:v>103</x:v>
      </x:c>
      <x:c r="K415" s="3" t="s">
        <x:v>104</x:v>
      </x:c>
      <x:c r="L415" s="3" t="s">
        <x:v>171</x:v>
      </x:c>
      <x:c r="M415" s="3" t="s">
        <x:v>172</x:v>
      </x:c>
      <x:c r="N415" s="3" t="s">
        <x:v>173</x:v>
      </x:c>
      <x:c r="O415" s="3" t="s">
        <x:v>174</x:v>
      </x:c>
      <x:c r="P415" s="3" t="s">
        <x:v>175</x:v>
      </x:c>
      <x:c r="Q415" s="3" t="s">
        <x:v>271</x:v>
      </x:c>
      <x:c r="R415" s="3" t="s">
        <x:v>344</x:v>
      </x:c>
      <x:c r="S415" s="3" t="s">
        <x:v>111</x:v>
      </x:c>
      <x:c r="T415" s="3" t="s">
        <x:v>111</x:v>
      </x:c>
      <x:c r="U415" s="3" t="s">
        <x:v>345</x:v>
      </x:c>
      <x:c r="V415" s="3" t="s">
        <x:v>178</x:v>
      </x:c>
      <x:c r="W415" s="3" t="s">
        <x:v>332</x:v>
      </x:c>
      <x:c r="X415" s="3" t="s">
        <x:v>180</x:v>
      </x:c>
      <x:c r="Y415" s="3" t="s">
        <x:v>333</x:v>
      </x:c>
      <x:c r="Z415" s="3" t="s">
        <x:v>346</x:v>
      </x:c>
      <x:c r="AA415" s="3" t="s">
        <x:v>118</x:v>
      </x:c>
      <x:c r="AB415" s="7" t="n">
        <x:v>46277.5652777778</x:v>
      </x:c>
      <x:c r="AC415" s="7" t="n">
        <x:v>46277.5701388889</x:v>
      </x:c>
      <x:c r="AD415" s="7" t="n">
        <x:v>46277.5715277778</x:v>
      </x:c>
      <x:c r="AE415" s="7" t="n">
        <x:v>46277.5798611111</x:v>
      </x:c>
      <x:c r="AF415" s="7" t="n">
        <x:v>46277.6270833333</x:v>
      </x:c>
      <x:c r="AG415" s="3" t="n">
        <x:v>21</x:v>
      </x:c>
      <x:c r="AH415" s="3" t="n">
        <x:v>58</x:v>
      </x:c>
      <x:c r="AI415" s="3" t="s">
        <x:v>135</x:v>
      </x:c>
      <x:c r="AJ415" s="3" t="s">
        <x:v>135</x:v>
      </x:c>
      <x:c r="AK415" s="3" t="n">
        <x:v>120</x:v>
      </x:c>
      <x:c r="AL415" s="3" t="n">
        <x:v>0</x:v>
      </x:c>
      <x:c r="AM415" s="8" t="n">
        <x:v>0.6583</x:v>
      </x:c>
      <x:c r="AN415" s="3" t="n">
        <x:v>1</x:v>
      </x:c>
      <x:c r="AO415" s="3" t="s">
        <x:v>14</x:v>
      </x:c>
      <x:c r="AP415" s="3" t="s">
        <x:v>471</x:v>
      </x:c>
      <x:c r="AQ415" s="3" t="s">
        <x:v>501</x:v>
      </x:c>
      <x:c r="AR415" s="9" t="n">
        <x:v>1152.1</x:v>
      </x:c>
      <x:c r="AS415" s="3" t="s">
        <x:v>121</x:v>
      </x:c>
      <x:c r="AT415" s="7" t="n">
        <x:v>46301.9166666667</x:v>
      </x:c>
    </x:row>
    <x:row r="416" ht="31.299999237060547" hidden="0">
      <x:c r="A416" s="3" t="s">
        <x:v>931</x:v>
      </x:c>
      <x:c r="B416" s="3" t="s">
        <x:v>83</x:v>
      </x:c>
      <x:c r="C416" s="3" t="s">
        <x:v>96</x:v>
      </x:c>
      <x:c r="D416" s="3" t="s">
        <x:v>97</x:v>
      </x:c>
      <x:c r="E416" s="3" t="s">
        <x:v>249</x:v>
      </x:c>
      <x:c r="F416" s="3" t="s">
        <x:v>149</x:v>
      </x:c>
      <x:c r="G416" s="3" t="s">
        <x:v>477</x:v>
      </x:c>
      <x:c r="H416" s="3" t="s">
        <x:v>343</x:v>
      </x:c>
      <x:c r="I416" s="3" t="s">
        <x:v>102</x:v>
      </x:c>
      <x:c r="J416" s="3" t="s">
        <x:v>103</x:v>
      </x:c>
      <x:c r="K416" s="3" t="s">
        <x:v>104</x:v>
      </x:c>
      <x:c r="L416" s="3" t="s">
        <x:v>105</x:v>
      </x:c>
      <x:c r="M416" s="3" t="s">
        <x:v>106</x:v>
      </x:c>
      <x:c r="N416" s="3" t="s">
        <x:v>107</x:v>
      </x:c>
      <x:c r="O416" s="3" t="s">
        <x:v>108</x:v>
      </x:c>
      <x:c r="P416" s="3" t="s">
        <x:v>109</x:v>
      </x:c>
      <x:c r="Q416" s="3" t="s">
        <x:v>250</x:v>
      </x:c>
      <x:c r="R416" s="3" t="s">
        <x:v>214</x:v>
      </x:c>
      <x:c r="S416" s="3" t="s">
        <x:v>135</x:v>
      </x:c>
      <x:c r="T416" s="3" t="s">
        <x:v>111</x:v>
      </x:c>
      <x:c r="U416" s="3" t="s">
        <x:v>215</x:v>
      </x:c>
      <x:c r="V416" s="3" t="s">
        <x:v>216</x:v>
      </x:c>
      <x:c r="W416" s="3" t="s">
        <x:v>217</x:v>
      </x:c>
      <x:c r="X416" s="3" t="s">
        <x:v>430</x:v>
      </x:c>
      <x:c r="Y416" s="3" t="s">
        <x:v>555</x:v>
      </x:c>
      <x:c r="Z416" s="3" t="s">
        <x:v>219</x:v>
      </x:c>
      <x:c r="AA416" s="3" t="s">
        <x:v>118</x:v>
      </x:c>
      <x:c r="AB416" s="7" t="n">
        <x:v>46277.6013888889</x:v>
      </x:c>
      <x:c r="AC416" s="7" t="n">
        <x:v>46277.6027777778</x:v>
      </x:c>
      <x:c r="AD416" s="7" t="n">
        <x:v>46277.6083333333</x:v>
      </x:c>
      <x:c r="AE416" s="7" t="n">
        <x:v>46277.6194444444</x:v>
      </x:c>
      <x:c r="AF416" s="7" t="n">
        <x:v>46277.6430555556</x:v>
      </x:c>
      <x:c r="AG416" s="3" t="n">
        <x:v>26</x:v>
      </x:c>
      <x:c r="AH416" s="3" t="n">
        <x:v>24</x:v>
      </x:c>
      <x:c r="AI416" s="3" t="s">
        <x:v>111</x:v>
      </x:c>
      <x:c r="AJ416" s="3" t="s">
        <x:v>111</x:v>
      </x:c>
      <x:c r="AK416" s="3" t="n">
        <x:v>60</x:v>
      </x:c>
      <x:c r="AL416" s="3" t="n">
        <x:v>0</x:v>
      </x:c>
      <x:c r="AM416" s="8" t="n">
        <x:v>0.8333</x:v>
      </x:c>
      <x:c r="AN416" s="3" t="n">
        <x:v>3</x:v>
      </x:c>
      <x:c r="AO416" s="3" t="s">
        <x:v>19</x:v>
      </x:c>
      <x:c r="AP416" s="3" t="s">
        <x:v>932</x:v>
      </x:c>
      <x:c r="AQ416" s="3" t="s">
        <x:v>933</x:v>
      </x:c>
      <x:c r="AR416" s="9" t="n">
        <x:v>1119.8</x:v>
      </x:c>
      <x:c r="AS416" s="3" t="s">
        <x:v>185</x:v>
      </x:c>
      <x:c r="AT416" s="7" t="n">
        <x:v>46301.9166666667</x:v>
      </x:c>
    </x:row>
    <x:row r="417" ht="31.299999237060547" hidden="0">
      <x:c r="A417" s="3" t="s">
        <x:v>934</x:v>
      </x:c>
      <x:c r="B417" s="3" t="s">
        <x:v>83</x:v>
      </x:c>
      <x:c r="C417" s="3" t="s">
        <x:v>96</x:v>
      </x:c>
      <x:c r="D417" s="3" t="s">
        <x:v>97</x:v>
      </x:c>
      <x:c r="E417" s="3" t="s">
        <x:v>249</x:v>
      </x:c>
      <x:c r="F417" s="3" t="s">
        <x:v>149</x:v>
      </x:c>
      <x:c r="G417" s="3" t="s">
        <x:v>359</x:v>
      </x:c>
      <x:c r="H417" s="3" t="s">
        <x:v>101</x:v>
      </x:c>
      <x:c r="I417" s="3" t="s">
        <x:v>102</x:v>
      </x:c>
      <x:c r="J417" s="3" t="s">
        <x:v>103</x:v>
      </x:c>
      <x:c r="K417" s="3" t="s">
        <x:v>104</x:v>
      </x:c>
      <x:c r="L417" s="3" t="s">
        <x:v>105</x:v>
      </x:c>
      <x:c r="M417" s="3" t="s">
        <x:v>106</x:v>
      </x:c>
      <x:c r="N417" s="3" t="s">
        <x:v>107</x:v>
      </x:c>
      <x:c r="O417" s="3" t="s">
        <x:v>108</x:v>
      </x:c>
      <x:c r="P417" s="3" t="s">
        <x:v>109</x:v>
      </x:c>
      <x:c r="Q417" s="3" t="s">
        <x:v>250</x:v>
      </x:c>
      <x:c r="R417" s="3" t="s">
        <x:v>156</x:v>
      </x:c>
      <x:c r="S417" s="3" t="s">
        <x:v>135</x:v>
      </x:c>
      <x:c r="T417" s="3" t="s">
        <x:v>111</x:v>
      </x:c>
      <x:c r="U417" s="3" t="s">
        <x:v>157</x:v>
      </x:c>
      <x:c r="V417" s="3" t="s">
        <x:v>158</x:v>
      </x:c>
      <x:c r="W417" s="3" t="s">
        <x:v>450</x:v>
      </x:c>
      <x:c r="X417" s="3" t="s">
        <x:v>160</x:v>
      </x:c>
      <x:c r="Y417" s="3" t="s">
        <x:v>451</x:v>
      </x:c>
      <x:c r="Z417" s="3" t="s">
        <x:v>162</x:v>
      </x:c>
      <x:c r="AA417" s="3" t="s">
        <x:v>118</x:v>
      </x:c>
      <x:c r="AB417" s="7" t="n">
        <x:v>46277.6020833333</x:v>
      </x:c>
      <x:c r="AC417" s="7" t="n">
        <x:v>46277.6041666667</x:v>
      </x:c>
      <x:c r="AD417" s="7" t="n">
        <x:v>46277.6104166667</x:v>
      </x:c>
      <x:c r="AE417" s="7" t="n">
        <x:v>46277.6215277778</x:v>
      </x:c>
      <x:c r="AF417" s="7" t="n">
        <x:v>46277.6430555556</x:v>
      </x:c>
      <x:c r="AG417" s="3" t="n">
        <x:v>28</x:v>
      </x:c>
      <x:c r="AH417" s="3" t="n">
        <x:v>26</x:v>
      </x:c>
      <x:c r="AI417" s="3" t="s">
        <x:v>111</x:v>
      </x:c>
      <x:c r="AJ417" s="3" t="s">
        <x:v>111</x:v>
      </x:c>
      <x:c r="AK417" s="3" t="n">
        <x:v>60</x:v>
      </x:c>
      <x:c r="AL417" s="3" t="n">
        <x:v>0</x:v>
      </x:c>
      <x:c r="AM417" s="8" t="n">
        <x:v>0.9</x:v>
      </x:c>
      <x:c r="AN417" s="3" t="n">
        <x:v>1</x:v>
      </x:c>
      <x:c r="AO417" s="3" t="s">
        <x:v>19</x:v>
      </x:c>
      <x:c r="AP417" s="3" t="s">
        <x:v>629</x:v>
      </x:c>
      <x:c r="AQ417" s="3" t="s">
        <x:v>562</x:v>
      </x:c>
      <x:c r="AR417" s="9" t="n">
        <x:v>893.2</x:v>
      </x:c>
      <x:c r="AS417" s="3" t="s">
        <x:v>121</x:v>
      </x:c>
      <x:c r="AT417" s="7" t="n">
        <x:v>46301.9166666667</x:v>
      </x:c>
    </x:row>
    <x:row r="418" ht="31.299999237060547" hidden="0">
      <x:c r="A418" s="3" t="s">
        <x:v>935</x:v>
      </x:c>
      <x:c r="B418" s="3" t="s">
        <x:v>397</x:v>
      </x:c>
      <x:c r="C418" s="3" t="s">
        <x:v>398</x:v>
      </x:c>
      <x:c r="D418" s="3" t="s">
        <x:v>399</x:v>
      </x:c>
      <x:c r="E418" s="3" t="s">
        <x:v>249</x:v>
      </x:c>
      <x:c r="F418" s="3" t="s">
        <x:v>127</x:v>
      </x:c>
      <x:c r="G418" s="3" t="s">
        <x:v>390</x:v>
      </x:c>
      <x:c r="H418" s="3" t="s">
        <x:v>301</x:v>
      </x:c>
      <x:c r="I418" s="3" t="s">
        <x:v>302</x:v>
      </x:c>
      <x:c r="J418" s="3" t="s">
        <x:v>303</x:v>
      </x:c>
      <x:c r="K418" s="3" t="s">
        <x:v>104</x:v>
      </x:c>
      <x:c r="L418" s="3" t="s">
        <x:v>401</x:v>
      </x:c>
      <x:c r="M418" s="3" t="s">
        <x:v>402</x:v>
      </x:c>
      <x:c r="N418" s="3" t="s">
        <x:v>403</x:v>
      </x:c>
      <x:c r="O418" s="3" t="s">
        <x:v>404</x:v>
      </x:c>
      <x:c r="P418" s="3" t="s">
        <x:v>405</x:v>
      </x:c>
      <x:c r="Q418" s="3" t="s">
        <x:v>406</x:v>
      </x:c>
      <x:c r="R418" s="3" t="s">
        <x:v>391</x:v>
      </x:c>
      <x:c r="S418" s="3" t="s">
        <x:v>135</x:v>
      </x:c>
      <x:c r="T418" s="3" t="s">
        <x:v>135</x:v>
      </x:c>
      <x:c r="U418" s="3" t="s">
        <x:v>392</x:v>
      </x:c>
      <x:c r="V418" s="3" t="s">
        <x:v>312</x:v>
      </x:c>
      <x:c r="W418" s="3" t="s">
        <x:v>351</x:v>
      </x:c>
      <x:c r="X418" s="3" t="s">
        <x:v>314</x:v>
      </x:c>
      <x:c r="Y418" s="3" t="s">
        <x:v>352</x:v>
      </x:c>
      <x:c r="Z418" s="3" t="s">
        <x:v>393</x:v>
      </x:c>
      <x:c r="AA418" s="3" t="s">
        <x:v>394</x:v>
      </x:c>
      <x:c r="AB418" s="7" t="n">
        <x:v>46277.6333333333</x:v>
      </x:c>
      <x:c r="AC418" s="7" t="n">
        <x:v>46277.6375</x:v>
      </x:c>
      <x:c r="AD418" s="7" t="n">
        <x:v>46277.6430555556</x:v>
      </x:c>
      <x:c r="AE418" s="7" t="n">
        <x:v>46277.6659722222</x:v>
      </x:c>
      <x:c r="AF418" s="7" t="n">
        <x:v>46277.6958333333</x:v>
      </x:c>
      <x:c r="AG418" s="3" t="n">
        <x:v>47</x:v>
      </x:c>
      <x:c r="AH418" s="3" t="n">
        <x:v>37</x:v>
      </x:c>
      <x:c r="AI418" s="3" t="s">
        <x:v>135</x:v>
      </x:c>
      <x:c r="AJ418" s="3" t="s">
        <x:v>135</x:v>
      </x:c>
      <x:c r="AK418" s="3" t="n">
        <x:v>180</x:v>
      </x:c>
      <x:c r="AL418" s="3" t="n">
        <x:v>0</x:v>
      </x:c>
      <x:c r="AM418" s="8" t="n">
        <x:v>0.4667</x:v>
      </x:c>
      <x:c r="AN418" s="3" t="n">
        <x:v>4</x:v>
      </x:c>
      <x:c r="AO418" s="3" t="s">
        <x:v>14</x:v>
      </x:c>
      <x:c r="AP418" s="3" t="s">
        <x:v>889</x:v>
      </x:c>
      <x:c r="AQ418" s="3" t="s">
        <x:v>832</x:v>
      </x:c>
      <x:c r="AR418" s="9" t="n">
        <x:v>987.9</x:v>
      </x:c>
      <x:c r="AS418" s="3" t="s">
        <x:v>185</x:v>
      </x:c>
      <x:c r="AT418" s="7" t="n">
        <x:v>46301.9166666667</x:v>
      </x:c>
    </x:row>
    <x:row r="419" ht="31.299999237060547" hidden="0">
      <x:c r="A419" s="3" t="s">
        <x:v>936</x:v>
      </x:c>
      <x:c r="B419" s="3" t="s">
        <x:v>123</x:v>
      </x:c>
      <x:c r="C419" s="3" t="s">
        <x:v>124</x:v>
      </x:c>
      <x:c r="D419" s="3" t="s">
        <x:v>125</x:v>
      </x:c>
      <x:c r="E419" s="3" t="s">
        <x:v>249</x:v>
      </x:c>
      <x:c r="F419" s="3" t="s">
        <x:v>99</x:v>
      </x:c>
      <x:c r="G419" s="3" t="s">
        <x:v>520</x:v>
      </x:c>
      <x:c r="H419" s="3" t="s">
        <x:v>343</x:v>
      </x:c>
      <x:c r="I419" s="3" t="s">
        <x:v>102</x:v>
      </x:c>
      <x:c r="J419" s="3" t="s">
        <x:v>103</x:v>
      </x:c>
      <x:c r="K419" s="3" t="s">
        <x:v>104</x:v>
      </x:c>
      <x:c r="L419" s="3" t="s">
        <x:v>129</x:v>
      </x:c>
      <x:c r="M419" s="3" t="s">
        <x:v>130</x:v>
      </x:c>
      <x:c r="N419" s="3" t="s">
        <x:v>131</x:v>
      </x:c>
      <x:c r="O419" s="3" t="s">
        <x:v>132</x:v>
      </x:c>
      <x:c r="P419" s="3" t="s">
        <x:v>133</x:v>
      </x:c>
      <x:c r="Q419" s="3" t="s">
        <x:v>268</x:v>
      </x:c>
      <x:c r="R419" s="3" t="s">
        <x:v>380</x:v>
      </x:c>
      <x:c r="S419" s="3" t="s">
        <x:v>111</x:v>
      </x:c>
      <x:c r="T419" s="3" t="s">
        <x:v>111</x:v>
      </x:c>
      <x:c r="U419" s="3" t="s">
        <x:v>381</x:v>
      </x:c>
      <x:c r="V419" s="3" t="s">
        <x:v>312</x:v>
      </x:c>
      <x:c r="W419" s="3" t="s">
        <x:v>313</x:v>
      </x:c>
      <x:c r="X419" s="3" t="s">
        <x:v>314</x:v>
      </x:c>
      <x:c r="Y419" s="3" t="s">
        <x:v>315</x:v>
      </x:c>
      <x:c r="Z419" s="3" t="s">
        <x:v>384</x:v>
      </x:c>
      <x:c r="AA419" s="3" t="s">
        <x:v>385</x:v>
      </x:c>
      <x:c r="AB419" s="7" t="n">
        <x:v>46277.81875</x:v>
      </x:c>
      <x:c r="AC419" s="7" t="n">
        <x:v>46277.8208333333</x:v>
      </x:c>
      <x:c r="AD419" s="7" t="n">
        <x:v>46277.8236111111</x:v>
      </x:c>
      <x:c r="AE419" s="7" t="n">
        <x:v>46277.8423611111</x:v>
      </x:c>
      <x:c r="AF419" s="7" t="n">
        <x:v>46277.8729166667</x:v>
      </x:c>
      <x:c r="AG419" s="3" t="n">
        <x:v>34</x:v>
      </x:c>
      <x:c r="AH419" s="3" t="n">
        <x:v>34</x:v>
      </x:c>
      <x:c r="AI419" s="3" t="s">
        <x:v>135</x:v>
      </x:c>
      <x:c r="AJ419" s="3" t="s">
        <x:v>135</x:v>
      </x:c>
      <x:c r="AK419" s="3" t="n">
        <x:v>120</x:v>
      </x:c>
      <x:c r="AL419" s="3" t="n">
        <x:v>0</x:v>
      </x:c>
      <x:c r="AM419" s="8" t="n">
        <x:v>0.5667</x:v>
      </x:c>
      <x:c r="AN419" s="3" t="n">
        <x:v>0</x:v>
      </x:c>
      <x:c r="AO419" s="3" t="s">
        <x:v>9</x:v>
      </x:c>
      <x:c r="AP419" s="3" t="s">
        <x:v>142</x:v>
      </x:c>
      <x:c r="AQ419" s="3" t="s">
        <x:v>482</x:v>
      </x:c>
      <x:c r="AR419" s="9" t="n">
        <x:v>657.8</x:v>
      </x:c>
      <x:c r="AS419" s="3" t="s">
        <x:v>185</x:v>
      </x:c>
      <x:c r="AT419" s="7" t="n">
        <x:v>46301.9166666667</x:v>
      </x:c>
    </x:row>
    <x:row r="420" ht="31.299999237060547" hidden="0">
      <x:c r="A420" s="3" t="s">
        <x:v>937</x:v>
      </x:c>
      <x:c r="B420" s="3" t="s">
        <x:v>433</x:v>
      </x:c>
      <x:c r="C420" s="3" t="s">
        <x:v>434</x:v>
      </x:c>
      <x:c r="D420" s="3" t="s">
        <x:v>435</x:v>
      </x:c>
      <x:c r="E420" s="3" t="s">
        <x:v>249</x:v>
      </x:c>
      <x:c r="F420" s="3" t="s">
        <x:v>169</x:v>
      </x:c>
      <x:c r="G420" s="3" t="s">
        <x:v>469</x:v>
      </x:c>
      <x:c r="H420" s="3" t="s">
        <x:v>301</x:v>
      </x:c>
      <x:c r="I420" s="3" t="s">
        <x:v>302</x:v>
      </x:c>
      <x:c r="J420" s="3" t="s">
        <x:v>303</x:v>
      </x:c>
      <x:c r="K420" s="3" t="s">
        <x:v>104</x:v>
      </x:c>
      <x:c r="L420" s="3" t="s">
        <x:v>437</x:v>
      </x:c>
      <x:c r="M420" s="3" t="s">
        <x:v>106</x:v>
      </x:c>
      <x:c r="N420" s="3" t="s">
        <x:v>438</x:v>
      </x:c>
      <x:c r="O420" s="3" t="s">
        <x:v>439</x:v>
      </x:c>
      <x:c r="P420" s="3" t="s">
        <x:v>440</x:v>
      </x:c>
      <x:c r="Q420" s="3" t="s">
        <x:v>441</x:v>
      </x:c>
      <x:c r="R420" s="3" t="s">
        <x:v>110</x:v>
      </x:c>
      <x:c r="S420" s="3" t="s">
        <x:v>111</x:v>
      </x:c>
      <x:c r="T420" s="3" t="s">
        <x:v>111</x:v>
      </x:c>
      <x:c r="U420" s="3" t="s">
        <x:v>112</x:v>
      </x:c>
      <x:c r="V420" s="3" t="s">
        <x:v>113</x:v>
      </x:c>
      <x:c r="W420" s="3" t="s">
        <x:v>114</x:v>
      </x:c>
      <x:c r="X420" s="3" t="s">
        <x:v>115</x:v>
      </x:c>
      <x:c r="Y420" s="3" t="s">
        <x:v>116</x:v>
      </x:c>
      <x:c r="Z420" s="3" t="s">
        <x:v>117</x:v>
      </x:c>
      <x:c r="AA420" s="3" t="s">
        <x:v>118</x:v>
      </x:c>
      <x:c r="AB420" s="7" t="n">
        <x:v>46278.3041666667</x:v>
      </x:c>
      <x:c r="AC420" s="7" t="n">
        <x:v>46278.3090277778</x:v>
      </x:c>
      <x:c r="AD420" s="7" t="n">
        <x:v>46278.3125</x:v>
      </x:c>
      <x:c r="AE420" s="7" t="n">
        <x:v>46278.3326388889</x:v>
      </x:c>
      <x:c r="AF420" s="7" t="n">
        <x:v>46278.3513888889</x:v>
      </x:c>
      <x:c r="AG420" s="3" t="n">
        <x:v>41</x:v>
      </x:c>
      <x:c r="AH420" s="3" t="n">
        <x:v>18</x:v>
      </x:c>
      <x:c r="AI420" s="3" t="s">
        <x:v>135</x:v>
      </x:c>
      <x:c r="AJ420" s="3" t="s">
        <x:v>135</x:v>
      </x:c>
      <x:c r="AK420" s="3" t="n">
        <x:v>120</x:v>
      </x:c>
      <x:c r="AL420" s="3" t="n">
        <x:v>0</x:v>
      </x:c>
      <x:c r="AM420" s="8" t="n">
        <x:v>0.4917</x:v>
      </x:c>
      <x:c r="AN420" s="3" t="n">
        <x:v>3</x:v>
      </x:c>
      <x:c r="AO420" s="3" t="s">
        <x:v>14</x:v>
      </x:c>
      <x:c r="AP420" s="3" t="s">
        <x:v>183</x:v>
      </x:c>
      <x:c r="AQ420" s="3" t="s">
        <x:v>938</x:v>
      </x:c>
      <x:c r="AR420" s="9" t="n">
        <x:v>824.1</x:v>
      </x:c>
      <x:c r="AS420" s="3" t="s">
        <x:v>185</x:v>
      </x:c>
      <x:c r="AT420" s="7" t="n">
        <x:v>46301.9166666667</x:v>
      </x:c>
    </x:row>
    <x:row r="421" ht="31.299999237060547" hidden="0">
      <x:c r="A421" s="3" t="s">
        <x:v>939</x:v>
      </x:c>
      <x:c r="B421" s="3" t="s">
        <x:v>433</x:v>
      </x:c>
      <x:c r="C421" s="3" t="s">
        <x:v>434</x:v>
      </x:c>
      <x:c r="D421" s="3" t="s">
        <x:v>435</x:v>
      </x:c>
      <x:c r="E421" s="3" t="s">
        <x:v>249</x:v>
      </x:c>
      <x:c r="F421" s="3" t="s">
        <x:v>149</x:v>
      </x:c>
      <x:c r="G421" s="3" t="s">
        <x:v>469</x:v>
      </x:c>
      <x:c r="H421" s="3" t="s">
        <x:v>301</x:v>
      </x:c>
      <x:c r="I421" s="3" t="s">
        <x:v>302</x:v>
      </x:c>
      <x:c r="J421" s="3" t="s">
        <x:v>303</x:v>
      </x:c>
      <x:c r="K421" s="3" t="s">
        <x:v>104</x:v>
      </x:c>
      <x:c r="L421" s="3" t="s">
        <x:v>437</x:v>
      </x:c>
      <x:c r="M421" s="3" t="s">
        <x:v>106</x:v>
      </x:c>
      <x:c r="N421" s="3" t="s">
        <x:v>438</x:v>
      </x:c>
      <x:c r="O421" s="3" t="s">
        <x:v>439</x:v>
      </x:c>
      <x:c r="P421" s="3" t="s">
        <x:v>440</x:v>
      </x:c>
      <x:c r="Q421" s="3" t="s">
        <x:v>441</x:v>
      </x:c>
      <x:c r="R421" s="3" t="s">
        <x:v>110</x:v>
      </x:c>
      <x:c r="S421" s="3" t="s">
        <x:v>111</x:v>
      </x:c>
      <x:c r="T421" s="3" t="s">
        <x:v>111</x:v>
      </x:c>
      <x:c r="U421" s="3" t="s">
        <x:v>112</x:v>
      </x:c>
      <x:c r="V421" s="3" t="s">
        <x:v>113</x:v>
      </x:c>
      <x:c r="W421" s="3" t="s">
        <x:v>419</x:v>
      </x:c>
      <x:c r="X421" s="3" t="s">
        <x:v>115</x:v>
      </x:c>
      <x:c r="Y421" s="3" t="s">
        <x:v>420</x:v>
      </x:c>
      <x:c r="Z421" s="3" t="s">
        <x:v>117</x:v>
      </x:c>
      <x:c r="AA421" s="3" t="s">
        <x:v>118</x:v>
      </x:c>
      <x:c r="AB421" s="7" t="n">
        <x:v>46278.3694444444</x:v>
      </x:c>
      <x:c r="AC421" s="7" t="n">
        <x:v>46278.3708333333</x:v>
      </x:c>
      <x:c r="AD421" s="7" t="n">
        <x:v>46278.3770833333</x:v>
      </x:c>
      <x:c r="AE421" s="7" t="n">
        <x:v>46278.3909722222</x:v>
      </x:c>
      <x:c r="AF421" s="7" t="n">
        <x:v>46278.425</x:v>
      </x:c>
      <x:c r="AG421" s="3" t="n">
        <x:v>31</x:v>
      </x:c>
      <x:c r="AH421" s="3" t="n">
        <x:v>46</x:v>
      </x:c>
      <x:c r="AI421" s="3" t="s">
        <x:v>135</x:v>
      </x:c>
      <x:c r="AJ421" s="3" t="s">
        <x:v>135</x:v>
      </x:c>
      <x:c r="AK421" s="3" t="n">
        <x:v>120</x:v>
      </x:c>
      <x:c r="AL421" s="3" t="n">
        <x:v>0</x:v>
      </x:c>
      <x:c r="AM421" s="8" t="n">
        <x:v>0.6417</x:v>
      </x:c>
      <x:c r="AN421" s="3" t="n">
        <x:v>4</x:v>
      </x:c>
      <x:c r="AO421" s="3" t="s">
        <x:v>14</x:v>
      </x:c>
      <x:c r="AP421" s="3" t="s">
        <x:v>940</x:v>
      </x:c>
      <x:c r="AQ421" s="3" t="s">
        <x:v>938</x:v>
      </x:c>
      <x:c r="AR421" s="9" t="n">
        <x:v>980.7</x:v>
      </x:c>
      <x:c r="AS421" s="3" t="s">
        <x:v>185</x:v>
      </x:c>
      <x:c r="AT421" s="7" t="n">
        <x:v>46301.9166666667</x:v>
      </x:c>
    </x:row>
    <x:row r="422" ht="31.299999237060547" hidden="0">
      <x:c r="A422" s="3" t="s">
        <x:v>941</x:v>
      </x:c>
      <x:c r="B422" s="3" t="s">
        <x:v>83</x:v>
      </x:c>
      <x:c r="C422" s="3" t="s">
        <x:v>96</x:v>
      </x:c>
      <x:c r="D422" s="3" t="s">
        <x:v>97</x:v>
      </x:c>
      <x:c r="E422" s="3" t="s">
        <x:v>249</x:v>
      </x:c>
      <x:c r="F422" s="3" t="s">
        <x:v>127</x:v>
      </x:c>
      <x:c r="G422" s="3" t="s">
        <x:v>349</x:v>
      </x:c>
      <x:c r="H422" s="3" t="s">
        <x:v>343</x:v>
      </x:c>
      <x:c r="I422" s="3" t="s">
        <x:v>102</x:v>
      </x:c>
      <x:c r="J422" s="3" t="s">
        <x:v>103</x:v>
      </x:c>
      <x:c r="K422" s="3" t="s">
        <x:v>104</x:v>
      </x:c>
      <x:c r="L422" s="3" t="s">
        <x:v>105</x:v>
      </x:c>
      <x:c r="M422" s="3" t="s">
        <x:v>106</x:v>
      </x:c>
      <x:c r="N422" s="3" t="s">
        <x:v>107</x:v>
      </x:c>
      <x:c r="O422" s="3" t="s">
        <x:v>108</x:v>
      </x:c>
      <x:c r="P422" s="3" t="s">
        <x:v>109</x:v>
      </x:c>
      <x:c r="Q422" s="3" t="s">
        <x:v>250</x:v>
      </x:c>
      <x:c r="R422" s="3" t="s">
        <x:v>344</x:v>
      </x:c>
      <x:c r="S422" s="3" t="s">
        <x:v>111</x:v>
      </x:c>
      <x:c r="T422" s="3" t="s">
        <x:v>111</x:v>
      </x:c>
      <x:c r="U422" s="3" t="s">
        <x:v>345</x:v>
      </x:c>
      <x:c r="V422" s="3" t="s">
        <x:v>178</x:v>
      </x:c>
      <x:c r="W422" s="3" t="s">
        <x:v>355</x:v>
      </x:c>
      <x:c r="X422" s="3" t="s">
        <x:v>180</x:v>
      </x:c>
      <x:c r="Y422" s="3" t="s">
        <x:v>356</x:v>
      </x:c>
      <x:c r="Z422" s="3" t="s">
        <x:v>346</x:v>
      </x:c>
      <x:c r="AA422" s="3" t="s">
        <x:v>118</x:v>
      </x:c>
      <x:c r="AB422" s="7" t="n">
        <x:v>46278.4208333333</x:v>
      </x:c>
      <x:c r="AC422" s="7" t="n">
        <x:v>46278.425</x:v>
      </x:c>
      <x:c r="AD422" s="7" t="n">
        <x:v>46278.4263888889</x:v>
      </x:c>
      <x:c r="AE422" s="7" t="n">
        <x:v>46278.4409722222</x:v>
      </x:c>
      <x:c r="AF422" s="7" t="n">
        <x:v>46278.4652777778</x:v>
      </x:c>
      <x:c r="AG422" s="3" t="n">
        <x:v>29</x:v>
      </x:c>
      <x:c r="AH422" s="3" t="n">
        <x:v>30</x:v>
      </x:c>
      <x:c r="AI422" s="3" t="s">
        <x:v>111</x:v>
      </x:c>
      <x:c r="AJ422" s="3" t="s">
        <x:v>111</x:v>
      </x:c>
      <x:c r="AK422" s="3" t="n">
        <x:v>60</x:v>
      </x:c>
      <x:c r="AL422" s="3" t="n">
        <x:v>0</x:v>
      </x:c>
      <x:c r="AM422" s="8" t="n">
        <x:v>0.9833</x:v>
      </x:c>
      <x:c r="AN422" s="3" t="n">
        <x:v>2</x:v>
      </x:c>
      <x:c r="AO422" s="3" t="s">
        <x:v>24</x:v>
      </x:c>
      <x:c r="AP422" s="3" t="s">
        <x:v>776</x:v>
      </x:c>
      <x:c r="AQ422" s="3" t="s">
        <x:v>562</x:v>
      </x:c>
      <x:c r="AR422" s="9" t="n">
        <x:v>926.5</x:v>
      </x:c>
      <x:c r="AS422" s="3" t="s">
        <x:v>185</x:v>
      </x:c>
      <x:c r="AT422" s="7" t="n">
        <x:v>46301.9166666667</x:v>
      </x:c>
    </x:row>
    <x:row r="423" ht="31.299999237060547" hidden="0">
      <x:c r="A423" s="3" t="s">
        <x:v>942</x:v>
      </x:c>
      <x:c r="B423" s="3" t="s">
        <x:v>123</x:v>
      </x:c>
      <x:c r="C423" s="3" t="s">
        <x:v>124</x:v>
      </x:c>
      <x:c r="D423" s="3" t="s">
        <x:v>125</x:v>
      </x:c>
      <x:c r="E423" s="3" t="s">
        <x:v>249</x:v>
      </x:c>
      <x:c r="F423" s="3" t="s">
        <x:v>127</x:v>
      </x:c>
      <x:c r="G423" s="3" t="s">
        <x:v>477</x:v>
      </x:c>
      <x:c r="H423" s="3" t="s">
        <x:v>343</x:v>
      </x:c>
      <x:c r="I423" s="3" t="s">
        <x:v>102</x:v>
      </x:c>
      <x:c r="J423" s="3" t="s">
        <x:v>103</x:v>
      </x:c>
      <x:c r="K423" s="3" t="s">
        <x:v>104</x:v>
      </x:c>
      <x:c r="L423" s="3" t="s">
        <x:v>129</x:v>
      </x:c>
      <x:c r="M423" s="3" t="s">
        <x:v>130</x:v>
      </x:c>
      <x:c r="N423" s="3" t="s">
        <x:v>131</x:v>
      </x:c>
      <x:c r="O423" s="3" t="s">
        <x:v>132</x:v>
      </x:c>
      <x:c r="P423" s="3" t="s">
        <x:v>133</x:v>
      </x:c>
      <x:c r="Q423" s="3" t="s">
        <x:v>268</x:v>
      </x:c>
      <x:c r="R423" s="3" t="s">
        <x:v>214</x:v>
      </x:c>
      <x:c r="S423" s="3" t="s">
        <x:v>135</x:v>
      </x:c>
      <x:c r="T423" s="3" t="s">
        <x:v>111</x:v>
      </x:c>
      <x:c r="U423" s="3" t="s">
        <x:v>215</x:v>
      </x:c>
      <x:c r="V423" s="3" t="s">
        <x:v>216</x:v>
      </x:c>
      <x:c r="W423" s="3" t="s">
        <x:v>429</x:v>
      </x:c>
      <x:c r="X423" s="3" t="s">
        <x:v>430</x:v>
      </x:c>
      <x:c r="Y423" s="3" t="s">
        <x:v>431</x:v>
      </x:c>
      <x:c r="Z423" s="3" t="s">
        <x:v>219</x:v>
      </x:c>
      <x:c r="AA423" s="3" t="s">
        <x:v>118</x:v>
      </x:c>
      <x:c r="AB423" s="7" t="n">
        <x:v>46278.5263888889</x:v>
      </x:c>
      <x:c r="AC423" s="7" t="n">
        <x:v>46278.53125</x:v>
      </x:c>
      <x:c r="AD423" s="7" t="n">
        <x:v>46278.5361111111</x:v>
      </x:c>
      <x:c r="AE423" s="7" t="n">
        <x:v>46278.5569444444</x:v>
      </x:c>
      <x:c r="AF423" s="7" t="n">
        <x:v>46278.5888888889</x:v>
      </x:c>
      <x:c r="AG423" s="3" t="n">
        <x:v>44</x:v>
      </x:c>
      <x:c r="AH423" s="3" t="n">
        <x:v>41</x:v>
      </x:c>
      <x:c r="AI423" s="3" t="s">
        <x:v>135</x:v>
      </x:c>
      <x:c r="AJ423" s="3" t="s">
        <x:v>135</x:v>
      </x:c>
      <x:c r="AK423" s="3" t="n">
        <x:v>180</x:v>
      </x:c>
      <x:c r="AL423" s="3" t="n">
        <x:v>0</x:v>
      </x:c>
      <x:c r="AM423" s="8" t="n">
        <x:v>0.4722</x:v>
      </x:c>
      <x:c r="AN423" s="3" t="n">
        <x:v>0</x:v>
      </x:c>
      <x:c r="AO423" s="3" t="s">
        <x:v>9</x:v>
      </x:c>
      <x:c r="AP423" s="3" t="s">
        <x:v>142</x:v>
      </x:c>
      <x:c r="AQ423" s="3" t="s">
        <x:v>482</x:v>
      </x:c>
      <x:c r="AR423" s="9" t="n">
        <x:v>753.2</x:v>
      </x:c>
      <x:c r="AS423" s="3" t="s">
        <x:v>121</x:v>
      </x:c>
      <x:c r="AT423" s="7" t="n">
        <x:v>46301.9166666667</x:v>
      </x:c>
    </x:row>
    <x:row r="424" ht="31.299999237060547" hidden="0">
      <x:c r="A424" s="3" t="s">
        <x:v>943</x:v>
      </x:c>
      <x:c r="B424" s="3" t="s">
        <x:v>222</x:v>
      </x:c>
      <x:c r="C424" s="3" t="s">
        <x:v>223</x:v>
      </x:c>
      <x:c r="D424" s="3" t="s">
        <x:v>224</x:v>
      </x:c>
      <x:c r="E424" s="3" t="s">
        <x:v>249</x:v>
      </x:c>
      <x:c r="F424" s="3" t="s">
        <x:v>169</x:v>
      </x:c>
      <x:c r="G424" s="3" t="s">
        <x:v>449</x:v>
      </x:c>
      <x:c r="H424" s="3" t="s">
        <x:v>343</x:v>
      </x:c>
      <x:c r="I424" s="3" t="s">
        <x:v>102</x:v>
      </x:c>
      <x:c r="J424" s="3" t="s">
        <x:v>103</x:v>
      </x:c>
      <x:c r="K424" s="3" t="s">
        <x:v>104</x:v>
      </x:c>
      <x:c r="L424" s="3" t="s">
        <x:v>226</x:v>
      </x:c>
      <x:c r="M424" s="3" t="s">
        <x:v>227</x:v>
      </x:c>
      <x:c r="N424" s="3" t="s">
        <x:v>228</x:v>
      </x:c>
      <x:c r="O424" s="3" t="s">
        <x:v>229</x:v>
      </x:c>
      <x:c r="P424" s="3" t="s">
        <x:v>230</x:v>
      </x:c>
      <x:c r="Q424" s="3" t="s">
        <x:v>274</x:v>
      </x:c>
      <x:c r="R424" s="3" t="s">
        <x:v>156</x:v>
      </x:c>
      <x:c r="S424" s="3" t="s">
        <x:v>135</x:v>
      </x:c>
      <x:c r="T424" s="3" t="s">
        <x:v>111</x:v>
      </x:c>
      <x:c r="U424" s="3" t="s">
        <x:v>157</x:v>
      </x:c>
      <x:c r="V424" s="3" t="s">
        <x:v>158</x:v>
      </x:c>
      <x:c r="W424" s="3" t="s">
        <x:v>450</x:v>
      </x:c>
      <x:c r="X424" s="3" t="s">
        <x:v>160</x:v>
      </x:c>
      <x:c r="Y424" s="3" t="s">
        <x:v>451</x:v>
      </x:c>
      <x:c r="Z424" s="3" t="s">
        <x:v>162</x:v>
      </x:c>
      <x:c r="AA424" s="3" t="s">
        <x:v>118</x:v>
      </x:c>
      <x:c r="AB424" s="7" t="n">
        <x:v>46278.6194444444</x:v>
      </x:c>
      <x:c r="AC424" s="7" t="n">
        <x:v>46278.6208333333</x:v>
      </x:c>
      <x:c r="AD424" s="7" t="n">
        <x:v>46278.6243055556</x:v>
      </x:c>
      <x:c r="AE424" s="7" t="n">
        <x:v>46278.64375</x:v>
      </x:c>
      <x:c r="AF424" s="7" t="n">
        <x:v>46278.6805555556</x:v>
      </x:c>
      <x:c r="AG424" s="3" t="n">
        <x:v>35</x:v>
      </x:c>
      <x:c r="AH424" s="3" t="n">
        <x:v>46</x:v>
      </x:c>
      <x:c r="AI424" s="3" t="s">
        <x:v>135</x:v>
      </x:c>
      <x:c r="AJ424" s="3" t="s">
        <x:v>135</x:v>
      </x:c>
      <x:c r="AK424" s="3" t="n">
        <x:v>180</x:v>
      </x:c>
      <x:c r="AL424" s="3" t="n">
        <x:v>0</x:v>
      </x:c>
      <x:c r="AM424" s="8" t="n">
        <x:v>0.45</x:v>
      </x:c>
      <x:c r="AN424" s="3" t="n">
        <x:v>0</x:v>
      </x:c>
      <x:c r="AO424" s="3" t="s">
        <x:v>9</x:v>
      </x:c>
      <x:c r="AP424" s="3" t="s">
        <x:v>142</x:v>
      </x:c>
      <x:c r="AQ424" s="3" t="s">
        <x:v>452</x:v>
      </x:c>
      <x:c r="AR424" s="9" t="n">
        <x:v>748.7</x:v>
      </x:c>
      <x:c r="AS424" s="3" t="s">
        <x:v>121</x:v>
      </x:c>
      <x:c r="AT424" s="7" t="n">
        <x:v>46301.9166666667</x:v>
      </x:c>
    </x:row>
    <x:row r="425" ht="31.299999237060547" hidden="0">
      <x:c r="A425" s="3" t="s">
        <x:v>944</x:v>
      </x:c>
      <x:c r="B425" s="3" t="s">
        <x:v>166</x:v>
      </x:c>
      <x:c r="C425" s="3" t="s">
        <x:v>167</x:v>
      </x:c>
      <x:c r="D425" s="3" t="s">
        <x:v>168</x:v>
      </x:c>
      <x:c r="E425" s="3" t="s">
        <x:v>249</x:v>
      </x:c>
      <x:c r="F425" s="3" t="s">
        <x:v>149</x:v>
      </x:c>
      <x:c r="G425" s="3" t="s">
        <x:v>498</x:v>
      </x:c>
      <x:c r="H425" s="3" t="s">
        <x:v>101</x:v>
      </x:c>
      <x:c r="I425" s="3" t="s">
        <x:v>102</x:v>
      </x:c>
      <x:c r="J425" s="3" t="s">
        <x:v>103</x:v>
      </x:c>
      <x:c r="K425" s="3" t="s">
        <x:v>104</x:v>
      </x:c>
      <x:c r="L425" s="3" t="s">
        <x:v>171</x:v>
      </x:c>
      <x:c r="M425" s="3" t="s">
        <x:v>172</x:v>
      </x:c>
      <x:c r="N425" s="3" t="s">
        <x:v>173</x:v>
      </x:c>
      <x:c r="O425" s="3" t="s">
        <x:v>174</x:v>
      </x:c>
      <x:c r="P425" s="3" t="s">
        <x:v>175</x:v>
      </x:c>
      <x:c r="Q425" s="3" t="s">
        <x:v>271</x:v>
      </x:c>
      <x:c r="R425" s="3" t="s">
        <x:v>310</x:v>
      </x:c>
      <x:c r="S425" s="3" t="s">
        <x:v>135</x:v>
      </x:c>
      <x:c r="T425" s="3" t="s">
        <x:v>111</x:v>
      </x:c>
      <x:c r="U425" s="3" t="s">
        <x:v>311</x:v>
      </x:c>
      <x:c r="V425" s="3" t="s">
        <x:v>312</x:v>
      </x:c>
      <x:c r="W425" s="3" t="s">
        <x:v>382</x:v>
      </x:c>
      <x:c r="X425" s="3" t="s">
        <x:v>314</x:v>
      </x:c>
      <x:c r="Y425" s="3" t="s">
        <x:v>383</x:v>
      </x:c>
      <x:c r="Z425" s="3" t="s">
        <x:v>316</x:v>
      </x:c>
      <x:c r="AA425" s="3" t="s">
        <x:v>317</x:v>
      </x:c>
      <x:c r="AB425" s="7" t="n">
        <x:v>46278.6354166667</x:v>
      </x:c>
      <x:c r="AC425" s="7" t="n">
        <x:v>46278.6375</x:v>
      </x:c>
      <x:c r="AD425" s="7" t="n">
        <x:v>46278.6423611111</x:v>
      </x:c>
      <x:c r="AE425" s="7" t="n">
        <x:v>46278.6604166667</x:v>
      </x:c>
      <x:c r="AF425" s="7" t="n">
        <x:v>46278.6958333333</x:v>
      </x:c>
      <x:c r="AG425" s="3" t="n">
        <x:v>36</x:v>
      </x:c>
      <x:c r="AH425" s="3" t="n">
        <x:v>47</x:v>
      </x:c>
      <x:c r="AI425" s="3" t="s">
        <x:v>135</x:v>
      </x:c>
      <x:c r="AJ425" s="3" t="s">
        <x:v>135</x:v>
      </x:c>
      <x:c r="AK425" s="3" t="n">
        <x:v>150</x:v>
      </x:c>
      <x:c r="AL425" s="3" t="n">
        <x:v>0</x:v>
      </x:c>
      <x:c r="AM425" s="8" t="n">
        <x:v>0.5533</x:v>
      </x:c>
      <x:c r="AN425" s="3" t="n">
        <x:v>2</x:v>
      </x:c>
      <x:c r="AO425" s="3" t="s">
        <x:v>14</x:v>
      </x:c>
      <x:c r="AP425" s="3" t="s">
        <x:v>573</x:v>
      </x:c>
      <x:c r="AQ425" s="3" t="s">
        <x:v>501</x:v>
      </x:c>
      <x:c r="AR425" s="9" t="n">
        <x:v>1140.4</x:v>
      </x:c>
      <x:c r="AS425" s="3" t="s">
        <x:v>121</x:v>
      </x:c>
      <x:c r="AT425" s="7" t="n">
        <x:v>46301.9166666667</x:v>
      </x:c>
    </x:row>
    <x:row r="426" ht="31.299999237060547" hidden="0">
      <x:c r="A426" s="3" t="s">
        <x:v>945</x:v>
      </x:c>
      <x:c r="B426" s="3" t="s">
        <x:v>233</x:v>
      </x:c>
      <x:c r="C426" s="3" t="s">
        <x:v>234</x:v>
      </x:c>
      <x:c r="D426" s="3" t="s">
        <x:v>235</x:v>
      </x:c>
      <x:c r="E426" s="3" t="s">
        <x:v>249</x:v>
      </x:c>
      <x:c r="F426" s="3" t="s">
        <x:v>149</x:v>
      </x:c>
      <x:c r="G426" s="3" t="s">
        <x:v>522</x:v>
      </x:c>
      <x:c r="H426" s="3" t="s">
        <x:v>343</x:v>
      </x:c>
      <x:c r="I426" s="3" t="s">
        <x:v>102</x:v>
      </x:c>
      <x:c r="J426" s="3" t="s">
        <x:v>103</x:v>
      </x:c>
      <x:c r="K426" s="3" t="s">
        <x:v>104</x:v>
      </x:c>
      <x:c r="L426" s="3" t="s">
        <x:v>237</x:v>
      </x:c>
      <x:c r="M426" s="3" t="s">
        <x:v>172</x:v>
      </x:c>
      <x:c r="N426" s="3" t="s">
        <x:v>238</x:v>
      </x:c>
      <x:c r="O426" s="3" t="s">
        <x:v>239</x:v>
      </x:c>
      <x:c r="P426" s="3" t="s">
        <x:v>240</x:v>
      </x:c>
      <x:c r="Q426" s="3" t="s">
        <x:v>276</x:v>
      </x:c>
      <x:c r="R426" s="3" t="s">
        <x:v>380</x:v>
      </x:c>
      <x:c r="S426" s="3" t="s">
        <x:v>111</x:v>
      </x:c>
      <x:c r="T426" s="3" t="s">
        <x:v>111</x:v>
      </x:c>
      <x:c r="U426" s="3" t="s">
        <x:v>381</x:v>
      </x:c>
      <x:c r="V426" s="3" t="s">
        <x:v>312</x:v>
      </x:c>
      <x:c r="W426" s="3" t="s">
        <x:v>351</x:v>
      </x:c>
      <x:c r="X426" s="3" t="s">
        <x:v>314</x:v>
      </x:c>
      <x:c r="Y426" s="3" t="s">
        <x:v>352</x:v>
      </x:c>
      <x:c r="Z426" s="3" t="s">
        <x:v>384</x:v>
      </x:c>
      <x:c r="AA426" s="3" t="s">
        <x:v>385</x:v>
      </x:c>
      <x:c r="AB426" s="7" t="n">
        <x:v>46278.6409722222</x:v>
      </x:c>
      <x:c r="AC426" s="7" t="n">
        <x:v>46278.6430555556</x:v>
      </x:c>
      <x:c r="AD426" s="7" t="n">
        <x:v>46278.6486111111</x:v>
      </x:c>
      <x:c r="AE426" s="7" t="n">
        <x:v>46278.6576388889</x:v>
      </x:c>
      <x:c r="AF426" s="7" t="n">
        <x:v>46278.6826388889</x:v>
      </x:c>
      <x:c r="AG426" s="3" t="n">
        <x:v>24</x:v>
      </x:c>
      <x:c r="AH426" s="3" t="n">
        <x:v>28</x:v>
      </x:c>
      <x:c r="AI426" s="3" t="s">
        <x:v>135</x:v>
      </x:c>
      <x:c r="AJ426" s="3" t="s">
        <x:v>111</x:v>
      </x:c>
      <x:c r="AK426" s="3" t="n">
        <x:v>120</x:v>
      </x:c>
      <x:c r="AL426" s="3" t="n">
        <x:v>0</x:v>
      </x:c>
      <x:c r="AM426" s="8" t="n">
        <x:v>0.4333</x:v>
      </x:c>
      <x:c r="AN426" s="3" t="n">
        <x:v>0</x:v>
      </x:c>
      <x:c r="AO426" s="3" t="s">
        <x:v>9</x:v>
      </x:c>
      <x:c r="AP426" s="3" t="s">
        <x:v>335</x:v>
      </x:c>
      <x:c r="AQ426" s="3" t="s">
        <x:v>361</x:v>
      </x:c>
      <x:c r="AR426" s="9" t="n">
        <x:v>569.6</x:v>
      </x:c>
      <x:c r="AS426" s="3" t="s">
        <x:v>144</x:v>
      </x:c>
      <x:c r="AT426" s="7" t="n">
        <x:v>46301.9166666667</x:v>
      </x:c>
    </x:row>
    <x:row r="427" ht="31.299999237060547" hidden="0">
      <x:c r="A427" s="3" t="s">
        <x:v>946</x:v>
      </x:c>
      <x:c r="B427" s="3" t="s">
        <x:v>222</x:v>
      </x:c>
      <x:c r="C427" s="3" t="s">
        <x:v>223</x:v>
      </x:c>
      <x:c r="D427" s="3" t="s">
        <x:v>224</x:v>
      </x:c>
      <x:c r="E427" s="3" t="s">
        <x:v>249</x:v>
      </x:c>
      <x:c r="F427" s="3" t="s">
        <x:v>99</x:v>
      </x:c>
      <x:c r="G427" s="3" t="s">
        <x:v>413</x:v>
      </x:c>
      <x:c r="H427" s="3" t="s">
        <x:v>101</x:v>
      </x:c>
      <x:c r="I427" s="3" t="s">
        <x:v>102</x:v>
      </x:c>
      <x:c r="J427" s="3" t="s">
        <x:v>103</x:v>
      </x:c>
      <x:c r="K427" s="3" t="s">
        <x:v>104</x:v>
      </x:c>
      <x:c r="L427" s="3" t="s">
        <x:v>226</x:v>
      </x:c>
      <x:c r="M427" s="3" t="s">
        <x:v>227</x:v>
      </x:c>
      <x:c r="N427" s="3" t="s">
        <x:v>228</x:v>
      </x:c>
      <x:c r="O427" s="3" t="s">
        <x:v>229</x:v>
      </x:c>
      <x:c r="P427" s="3" t="s">
        <x:v>230</x:v>
      </x:c>
      <x:c r="Q427" s="3" t="s">
        <x:v>274</x:v>
      </x:c>
      <x:c r="R427" s="3" t="s">
        <x:v>330</x:v>
      </x:c>
      <x:c r="S427" s="3" t="s">
        <x:v>135</x:v>
      </x:c>
      <x:c r="T427" s="3" t="s">
        <x:v>111</x:v>
      </x:c>
      <x:c r="U427" s="3" t="s">
        <x:v>331</x:v>
      </x:c>
      <x:c r="V427" s="3" t="s">
        <x:v>178</x:v>
      </x:c>
      <x:c r="W427" s="3" t="s">
        <x:v>179</x:v>
      </x:c>
      <x:c r="X427" s="3" t="s">
        <x:v>180</x:v>
      </x:c>
      <x:c r="Y427" s="3" t="s">
        <x:v>414</x:v>
      </x:c>
      <x:c r="Z427" s="3" t="s">
        <x:v>334</x:v>
      </x:c>
      <x:c r="AA427" s="3" t="s">
        <x:v>118</x:v>
      </x:c>
      <x:c r="AB427" s="7" t="n">
        <x:v>46278.6597222222</x:v>
      </x:c>
      <x:c r="AC427" s="7" t="n">
        <x:v>46278.6645833333</x:v>
      </x:c>
      <x:c r="AD427" s="7" t="n">
        <x:v>46278.66875</x:v>
      </x:c>
      <x:c r="AE427" s="7" t="n">
        <x:v>46278.6881944445</x:v>
      </x:c>
      <x:c r="AF427" s="7" t="n">
        <x:v>46278.74375</x:v>
      </x:c>
      <x:c r="AG427" s="3" t="n">
        <x:v>41</x:v>
      </x:c>
      <x:c r="AH427" s="3" t="n">
        <x:v>70</x:v>
      </x:c>
      <x:c r="AI427" s="3" t="s">
        <x:v>135</x:v>
      </x:c>
      <x:c r="AJ427" s="3" t="s">
        <x:v>135</x:v>
      </x:c>
      <x:c r="AK427" s="3" t="n">
        <x:v>180</x:v>
      </x:c>
      <x:c r="AL427" s="3" t="n">
        <x:v>0</x:v>
      </x:c>
      <x:c r="AM427" s="8" t="n">
        <x:v>0.6167</x:v>
      </x:c>
      <x:c r="AN427" s="3" t="n">
        <x:v>0</x:v>
      </x:c>
      <x:c r="AO427" s="3" t="s">
        <x:v>14</x:v>
      </x:c>
      <x:c r="AP427" s="3" t="s">
        <x:v>347</x:v>
      </x:c>
      <x:c r="AQ427" s="3" t="s">
        <x:v>452</x:v>
      </x:c>
      <x:c r="AR427" s="9" t="n">
        <x:v>948.5</x:v>
      </x:c>
      <x:c r="AS427" s="3" t="s">
        <x:v>121</x:v>
      </x:c>
      <x:c r="AT427" s="7" t="n">
        <x:v>46301.9166666667</x:v>
      </x:c>
    </x:row>
    <x:row r="428" ht="31.299999237060547" hidden="0">
      <x:c r="A428" s="3" t="s">
        <x:v>947</x:v>
      </x:c>
      <x:c r="B428" s="3" t="s">
        <x:v>222</x:v>
      </x:c>
      <x:c r="C428" s="3" t="s">
        <x:v>223</x:v>
      </x:c>
      <x:c r="D428" s="3" t="s">
        <x:v>224</x:v>
      </x:c>
      <x:c r="E428" s="3" t="s">
        <x:v>249</x:v>
      </x:c>
      <x:c r="F428" s="3" t="s">
        <x:v>169</x:v>
      </x:c>
      <x:c r="G428" s="3" t="s">
        <x:v>458</x:v>
      </x:c>
      <x:c r="H428" s="3" t="s">
        <x:v>339</x:v>
      </x:c>
      <x:c r="I428" s="3" t="s">
        <x:v>102</x:v>
      </x:c>
      <x:c r="J428" s="3" t="s">
        <x:v>103</x:v>
      </x:c>
      <x:c r="K428" s="3" t="s">
        <x:v>104</x:v>
      </x:c>
      <x:c r="L428" s="3" t="s">
        <x:v>226</x:v>
      </x:c>
      <x:c r="M428" s="3" t="s">
        <x:v>227</x:v>
      </x:c>
      <x:c r="N428" s="3" t="s">
        <x:v>228</x:v>
      </x:c>
      <x:c r="O428" s="3" t="s">
        <x:v>229</x:v>
      </x:c>
      <x:c r="P428" s="3" t="s">
        <x:v>230</x:v>
      </x:c>
      <x:c r="Q428" s="3" t="s">
        <x:v>274</x:v>
      </x:c>
      <x:c r="R428" s="3" t="s">
        <x:v>391</x:v>
      </x:c>
      <x:c r="S428" s="3" t="s">
        <x:v>135</x:v>
      </x:c>
      <x:c r="T428" s="3" t="s">
        <x:v>135</x:v>
      </x:c>
      <x:c r="U428" s="3" t="s">
        <x:v>392</x:v>
      </x:c>
      <x:c r="V428" s="3" t="s">
        <x:v>312</x:v>
      </x:c>
      <x:c r="W428" s="3" t="s">
        <x:v>351</x:v>
      </x:c>
      <x:c r="X428" s="3" t="s">
        <x:v>314</x:v>
      </x:c>
      <x:c r="Y428" s="3" t="s">
        <x:v>352</x:v>
      </x:c>
      <x:c r="Z428" s="3" t="s">
        <x:v>393</x:v>
      </x:c>
      <x:c r="AA428" s="3" t="s">
        <x:v>394</x:v>
      </x:c>
      <x:c r="AB428" s="7" t="n">
        <x:v>46278.825</x:v>
      </x:c>
      <x:c r="AC428" s="7" t="n">
        <x:v>46278.8270833333</x:v>
      </x:c>
      <x:c r="AD428" s="7" t="n">
        <x:v>46278.8333333333</x:v>
      </x:c>
      <x:c r="AE428" s="7" t="n">
        <x:v>46278.8444444445</x:v>
      </x:c>
      <x:c r="AF428" s="7" t="n">
        <x:v>46278.8805555556</x:v>
      </x:c>
      <x:c r="AG428" s="3" t="n">
        <x:v>28</x:v>
      </x:c>
      <x:c r="AH428" s="3" t="n">
        <x:v>48</x:v>
      </x:c>
      <x:c r="AI428" s="3" t="s">
        <x:v>135</x:v>
      </x:c>
      <x:c r="AJ428" s="3" t="s">
        <x:v>135</x:v>
      </x:c>
      <x:c r="AK428" s="3" t="n">
        <x:v>180</x:v>
      </x:c>
      <x:c r="AL428" s="3" t="n">
        <x:v>0</x:v>
      </x:c>
      <x:c r="AM428" s="8" t="n">
        <x:v>0.4222</x:v>
      </x:c>
      <x:c r="AN428" s="3" t="n">
        <x:v>0</x:v>
      </x:c>
      <x:c r="AO428" s="3" t="s">
        <x:v>9</x:v>
      </x:c>
      <x:c r="AP428" s="3" t="s">
        <x:v>142</x:v>
      </x:c>
      <x:c r="AQ428" s="3" t="s">
        <x:v>452</x:v>
      </x:c>
      <x:c r="AR428" s="9" t="n">
        <x:v>731.6</x:v>
      </x:c>
      <x:c r="AS428" s="3" t="s">
        <x:v>121</x:v>
      </x:c>
      <x:c r="AT428" s="7" t="n">
        <x:v>46301.9166666667</x:v>
      </x:c>
    </x:row>
    <x:row r="429" ht="31.299999237060547" hidden="0">
      <x:c r="A429" s="3" t="s">
        <x:v>948</x:v>
      </x:c>
      <x:c r="B429" s="3" t="s">
        <x:v>321</x:v>
      </x:c>
      <x:c r="C429" s="3" t="s">
        <x:v>322</x:v>
      </x:c>
      <x:c r="D429" s="3" t="s">
        <x:v>323</x:v>
      </x:c>
      <x:c r="E429" s="3" t="s">
        <x:v>249</x:v>
      </x:c>
      <x:c r="F429" s="3" t="s">
        <x:v>127</x:v>
      </x:c>
      <x:c r="G429" s="3" t="s">
        <x:v>598</x:v>
      </x:c>
      <x:c r="H429" s="3" t="s">
        <x:v>301</x:v>
      </x:c>
      <x:c r="I429" s="3" t="s">
        <x:v>302</x:v>
      </x:c>
      <x:c r="J429" s="3" t="s">
        <x:v>303</x:v>
      </x:c>
      <x:c r="K429" s="3" t="s">
        <x:v>104</x:v>
      </x:c>
      <x:c r="L429" s="3" t="s">
        <x:v>325</x:v>
      </x:c>
      <x:c r="M429" s="3" t="s">
        <x:v>326</x:v>
      </x:c>
      <x:c r="N429" s="3" t="s">
        <x:v>131</x:v>
      </x:c>
      <x:c r="O429" s="3" t="s">
        <x:v>327</x:v>
      </x:c>
      <x:c r="P429" s="3" t="s">
        <x:v>328</x:v>
      </x:c>
      <x:c r="Q429" s="3" t="s">
        <x:v>329</x:v>
      </x:c>
      <x:c r="R429" s="3" t="s">
        <x:v>196</x:v>
      </x:c>
      <x:c r="S429" s="3" t="s">
        <x:v>111</x:v>
      </x:c>
      <x:c r="T429" s="3" t="s">
        <x:v>111</x:v>
      </x:c>
      <x:c r="U429" s="3" t="s">
        <x:v>197</x:v>
      </x:c>
      <x:c r="V429" s="3" t="s">
        <x:v>198</x:v>
      </x:c>
      <x:c r="W429" s="3" t="s">
        <x:v>199</x:v>
      </x:c>
      <x:c r="X429" s="3" t="s">
        <x:v>366</x:v>
      </x:c>
      <x:c r="Y429" s="3" t="s">
        <x:v>527</x:v>
      </x:c>
      <x:c r="Z429" s="3" t="s">
        <x:v>201</x:v>
      </x:c>
      <x:c r="AA429" s="3" t="s">
        <x:v>368</x:v>
      </x:c>
      <x:c r="AB429" s="7" t="n">
        <x:v>46279.3041666667</x:v>
      </x:c>
      <x:c r="AC429" s="7" t="n">
        <x:v>46279.3090277778</x:v>
      </x:c>
      <x:c r="AD429" s="7" t="n">
        <x:v>46279.3145833333</x:v>
      </x:c>
      <x:c r="AE429" s="7" t="n">
        <x:v>46279.3340277778</x:v>
      </x:c>
      <x:c r="AF429" s="7" t="n">
        <x:v>46279.3868055556</x:v>
      </x:c>
      <x:c r="AG429" s="3" t="n">
        <x:v>43</x:v>
      </x:c>
      <x:c r="AH429" s="3" t="n">
        <x:v>67</x:v>
      </x:c>
      <x:c r="AI429" s="3" t="s">
        <x:v>135</x:v>
      </x:c>
      <x:c r="AJ429" s="3" t="s">
        <x:v>111</x:v>
      </x:c>
      <x:c r="AK429" s="3" t="n">
        <x:v>120</x:v>
      </x:c>
      <x:c r="AL429" s="3" t="n">
        <x:v>0</x:v>
      </x:c>
      <x:c r="AM429" s="8" t="n">
        <x:v>0.9167</x:v>
      </x:c>
      <x:c r="AN429" s="3" t="n">
        <x:v>1</x:v>
      </x:c>
      <x:c r="AO429" s="3" t="s">
        <x:v>19</x:v>
      </x:c>
      <x:c r="AP429" s="3" t="s">
        <x:v>515</x:v>
      </x:c>
      <x:c r="AQ429" s="3" t="s">
        <x:v>516</x:v>
      </x:c>
      <x:c r="AR429" s="9" t="n">
        <x:v>935.9</x:v>
      </x:c>
      <x:c r="AS429" s="3" t="s">
        <x:v>185</x:v>
      </x:c>
      <x:c r="AT429" s="7" t="n">
        <x:v>46301.9166666667</x:v>
      </x:c>
    </x:row>
    <x:row r="430" ht="31.299999237060547" hidden="0">
      <x:c r="A430" s="3" t="s">
        <x:v>949</x:v>
      </x:c>
      <x:c r="B430" s="3" t="s">
        <x:v>397</x:v>
      </x:c>
      <x:c r="C430" s="3" t="s">
        <x:v>398</x:v>
      </x:c>
      <x:c r="D430" s="3" t="s">
        <x:v>399</x:v>
      </x:c>
      <x:c r="E430" s="3" t="s">
        <x:v>249</x:v>
      </x:c>
      <x:c r="F430" s="3" t="s">
        <x:v>149</x:v>
      </x:c>
      <x:c r="G430" s="3" t="s">
        <x:v>324</x:v>
      </x:c>
      <x:c r="H430" s="3" t="s">
        <x:v>301</x:v>
      </x:c>
      <x:c r="I430" s="3" t="s">
        <x:v>302</x:v>
      </x:c>
      <x:c r="J430" s="3" t="s">
        <x:v>303</x:v>
      </x:c>
      <x:c r="K430" s="3" t="s">
        <x:v>104</x:v>
      </x:c>
      <x:c r="L430" s="3" t="s">
        <x:v>401</x:v>
      </x:c>
      <x:c r="M430" s="3" t="s">
        <x:v>402</x:v>
      </x:c>
      <x:c r="N430" s="3" t="s">
        <x:v>403</x:v>
      </x:c>
      <x:c r="O430" s="3" t="s">
        <x:v>404</x:v>
      </x:c>
      <x:c r="P430" s="3" t="s">
        <x:v>405</x:v>
      </x:c>
      <x:c r="Q430" s="3" t="s">
        <x:v>406</x:v>
      </x:c>
      <x:c r="R430" s="3" t="s">
        <x:v>330</x:v>
      </x:c>
      <x:c r="S430" s="3" t="s">
        <x:v>135</x:v>
      </x:c>
      <x:c r="T430" s="3" t="s">
        <x:v>111</x:v>
      </x:c>
      <x:c r="U430" s="3" t="s">
        <x:v>331</x:v>
      </x:c>
      <x:c r="V430" s="3" t="s">
        <x:v>178</x:v>
      </x:c>
      <x:c r="W430" s="3" t="s">
        <x:v>355</x:v>
      </x:c>
      <x:c r="X430" s="3" t="s">
        <x:v>180</x:v>
      </x:c>
      <x:c r="Y430" s="3" t="s">
        <x:v>356</x:v>
      </x:c>
      <x:c r="Z430" s="3" t="s">
        <x:v>334</x:v>
      </x:c>
      <x:c r="AA430" s="3" t="s">
        <x:v>118</x:v>
      </x:c>
      <x:c r="AB430" s="7" t="n">
        <x:v>46279.3375</x:v>
      </x:c>
      <x:c r="AC430" s="7" t="n">
        <x:v>46279.3409722222</x:v>
      </x:c>
      <x:c r="AD430" s="7" t="n">
        <x:v>46279.34375</x:v>
      </x:c>
      <x:c r="AE430" s="7" t="n">
        <x:v>46279.3590277778</x:v>
      </x:c>
      <x:c r="AF430" s="7" t="n">
        <x:v>46279.3986111111</x:v>
      </x:c>
      <x:c r="AG430" s="3" t="n">
        <x:v>31</x:v>
      </x:c>
      <x:c r="AH430" s="3" t="n">
        <x:v>50</x:v>
      </x:c>
      <x:c r="AI430" s="3" t="s">
        <x:v>135</x:v>
      </x:c>
      <x:c r="AJ430" s="3" t="s">
        <x:v>135</x:v>
      </x:c>
      <x:c r="AK430" s="3" t="n">
        <x:v>180</x:v>
      </x:c>
      <x:c r="AL430" s="3" t="n">
        <x:v>0</x:v>
      </x:c>
      <x:c r="AM430" s="8" t="n">
        <x:v>0.45</x:v>
      </x:c>
      <x:c r="AN430" s="3" t="n">
        <x:v>3</x:v>
      </x:c>
      <x:c r="AO430" s="3" t="s">
        <x:v>14</x:v>
      </x:c>
      <x:c r="AP430" s="3" t="s">
        <x:v>183</x:v>
      </x:c>
      <x:c r="AQ430" s="3" t="s">
        <x:v>950</x:v>
      </x:c>
      <x:c r="AR430" s="9" t="n">
        <x:v>1009.5</x:v>
      </x:c>
      <x:c r="AS430" s="3" t="s">
        <x:v>185</x:v>
      </x:c>
      <x:c r="AT430" s="7" t="n">
        <x:v>46301.9166666667</x:v>
      </x:c>
    </x:row>
    <x:row r="431" ht="31.299999237060547" hidden="0">
      <x:c r="A431" s="3" t="s">
        <x:v>951</x:v>
      </x:c>
      <x:c r="B431" s="3" t="s">
        <x:v>433</x:v>
      </x:c>
      <x:c r="C431" s="3" t="s">
        <x:v>434</x:v>
      </x:c>
      <x:c r="D431" s="3" t="s">
        <x:v>435</x:v>
      </x:c>
      <x:c r="E431" s="3" t="s">
        <x:v>249</x:v>
      </x:c>
      <x:c r="F431" s="3" t="s">
        <x:v>169</x:v>
      </x:c>
      <x:c r="G431" s="3" t="s">
        <x:v>614</x:v>
      </x:c>
      <x:c r="H431" s="3" t="s">
        <x:v>301</x:v>
      </x:c>
      <x:c r="I431" s="3" t="s">
        <x:v>302</x:v>
      </x:c>
      <x:c r="J431" s="3" t="s">
        <x:v>303</x:v>
      </x:c>
      <x:c r="K431" s="3" t="s">
        <x:v>104</x:v>
      </x:c>
      <x:c r="L431" s="3" t="s">
        <x:v>437</x:v>
      </x:c>
      <x:c r="M431" s="3" t="s">
        <x:v>106</x:v>
      </x:c>
      <x:c r="N431" s="3" t="s">
        <x:v>438</x:v>
      </x:c>
      <x:c r="O431" s="3" t="s">
        <x:v>439</x:v>
      </x:c>
      <x:c r="P431" s="3" t="s">
        <x:v>440</x:v>
      </x:c>
      <x:c r="Q431" s="3" t="s">
        <x:v>441</x:v>
      </x:c>
      <x:c r="R431" s="3" t="s">
        <x:v>196</x:v>
      </x:c>
      <x:c r="S431" s="3" t="s">
        <x:v>111</x:v>
      </x:c>
      <x:c r="T431" s="3" t="s">
        <x:v>111</x:v>
      </x:c>
      <x:c r="U431" s="3" t="s">
        <x:v>197</x:v>
      </x:c>
      <x:c r="V431" s="3" t="s">
        <x:v>198</x:v>
      </x:c>
      <x:c r="W431" s="3" t="s">
        <x:v>199</x:v>
      </x:c>
      <x:c r="X431" s="3" t="s">
        <x:v>366</x:v>
      </x:c>
      <x:c r="Y431" s="3" t="s">
        <x:v>527</x:v>
      </x:c>
      <x:c r="Z431" s="3" t="s">
        <x:v>201</x:v>
      </x:c>
      <x:c r="AA431" s="3" t="s">
        <x:v>368</x:v>
      </x:c>
      <x:c r="AB431" s="7" t="n">
        <x:v>46279.3527777778</x:v>
      </x:c>
      <x:c r="AC431" s="7" t="n">
        <x:v>46279.3569444444</x:v>
      </x:c>
      <x:c r="AD431" s="7" t="n">
        <x:v>46279.3611111111</x:v>
      </x:c>
      <x:c r="AE431" s="7" t="n">
        <x:v>46279.3708333333</x:v>
      </x:c>
      <x:c r="AF431" s="7" t="n">
        <x:v>46279.4152777778</x:v>
      </x:c>
      <x:c r="AG431" s="3" t="n">
        <x:v>26</x:v>
      </x:c>
      <x:c r="AH431" s="3" t="n">
        <x:v>60</x:v>
      </x:c>
      <x:c r="AI431" s="3" t="s">
        <x:v>135</x:v>
      </x:c>
      <x:c r="AJ431" s="3" t="s">
        <x:v>135</x:v>
      </x:c>
      <x:c r="AK431" s="3" t="n">
        <x:v>120</x:v>
      </x:c>
      <x:c r="AL431" s="3" t="n">
        <x:v>0</x:v>
      </x:c>
      <x:c r="AM431" s="8" t="n">
        <x:v>0.7167</x:v>
      </x:c>
      <x:c r="AN431" s="3" t="n">
        <x:v>1</x:v>
      </x:c>
      <x:c r="AO431" s="3" t="s">
        <x:v>14</x:v>
      </x:c>
      <x:c r="AP431" s="3" t="s">
        <x:v>471</x:v>
      </x:c>
      <x:c r="AQ431" s="3" t="s">
        <x:v>562</x:v>
      </x:c>
      <x:c r="AR431" s="9" t="n">
        <x:v>809</x:v>
      </x:c>
      <x:c r="AS431" s="3" t="s">
        <x:v>185</x:v>
      </x:c>
      <x:c r="AT431" s="7" t="n">
        <x:v>46301.9166666667</x:v>
      </x:c>
    </x:row>
    <x:row r="432" ht="31.299999237060547" hidden="0">
      <x:c r="A432" s="3" t="s">
        <x:v>952</x:v>
      </x:c>
      <x:c r="B432" s="3" t="s">
        <x:v>166</x:v>
      </x:c>
      <x:c r="C432" s="3" t="s">
        <x:v>167</x:v>
      </x:c>
      <x:c r="D432" s="3" t="s">
        <x:v>168</x:v>
      </x:c>
      <x:c r="E432" s="3" t="s">
        <x:v>249</x:v>
      </x:c>
      <x:c r="F432" s="3" t="s">
        <x:v>127</x:v>
      </x:c>
      <x:c r="G432" s="3" t="s">
        <x:v>522</x:v>
      </x:c>
      <x:c r="H432" s="3" t="s">
        <x:v>343</x:v>
      </x:c>
      <x:c r="I432" s="3" t="s">
        <x:v>102</x:v>
      </x:c>
      <x:c r="J432" s="3" t="s">
        <x:v>103</x:v>
      </x:c>
      <x:c r="K432" s="3" t="s">
        <x:v>104</x:v>
      </x:c>
      <x:c r="L432" s="3" t="s">
        <x:v>171</x:v>
      </x:c>
      <x:c r="M432" s="3" t="s">
        <x:v>172</x:v>
      </x:c>
      <x:c r="N432" s="3" t="s">
        <x:v>173</x:v>
      </x:c>
      <x:c r="O432" s="3" t="s">
        <x:v>174</x:v>
      </x:c>
      <x:c r="P432" s="3" t="s">
        <x:v>175</x:v>
      </x:c>
      <x:c r="Q432" s="3" t="s">
        <x:v>271</x:v>
      </x:c>
      <x:c r="R432" s="3" t="s">
        <x:v>380</x:v>
      </x:c>
      <x:c r="S432" s="3" t="s">
        <x:v>111</x:v>
      </x:c>
      <x:c r="T432" s="3" t="s">
        <x:v>111</x:v>
      </x:c>
      <x:c r="U432" s="3" t="s">
        <x:v>381</x:v>
      </x:c>
      <x:c r="V432" s="3" t="s">
        <x:v>312</x:v>
      </x:c>
      <x:c r="W432" s="3" t="s">
        <x:v>382</x:v>
      </x:c>
      <x:c r="X432" s="3" t="s">
        <x:v>314</x:v>
      </x:c>
      <x:c r="Y432" s="3" t="s">
        <x:v>383</x:v>
      </x:c>
      <x:c r="Z432" s="3" t="s">
        <x:v>384</x:v>
      </x:c>
      <x:c r="AA432" s="3" t="s">
        <x:v>385</x:v>
      </x:c>
      <x:c r="AB432" s="7" t="n">
        <x:v>46279.3875</x:v>
      </x:c>
      <x:c r="AC432" s="7" t="n">
        <x:v>46279.3916666667</x:v>
      </x:c>
      <x:c r="AD432" s="7" t="n">
        <x:v>46279.3930555556</x:v>
      </x:c>
      <x:c r="AE432" s="7" t="n">
        <x:v>46279.4111111111</x:v>
      </x:c>
      <x:c r="AF432" s="7" t="n">
        <x:v>46279.4715277778</x:v>
      </x:c>
      <x:c r="AG432" s="3" t="n">
        <x:v>34</x:v>
      </x:c>
      <x:c r="AH432" s="3" t="n">
        <x:v>77</x:v>
      </x:c>
      <x:c r="AI432" s="3" t="s">
        <x:v>135</x:v>
      </x:c>
      <x:c r="AJ432" s="3" t="s">
        <x:v>135</x:v>
      </x:c>
      <x:c r="AK432" s="3" t="n">
        <x:v>120</x:v>
      </x:c>
      <x:c r="AL432" s="3" t="n">
        <x:v>0</x:v>
      </x:c>
      <x:c r="AM432" s="8" t="n">
        <x:v>0.925</x:v>
      </x:c>
      <x:c r="AN432" s="3" t="n">
        <x:v>2</x:v>
      </x:c>
      <x:c r="AO432" s="3" t="s">
        <x:v>19</x:v>
      </x:c>
      <x:c r="AP432" s="3" t="s">
        <x:v>771</x:v>
      </x:c>
      <x:c r="AQ432" s="3" t="s">
        <x:v>501</x:v>
      </x:c>
      <x:c r="AR432" s="9" t="n">
        <x:v>1347.4</x:v>
      </x:c>
      <x:c r="AS432" s="3" t="s">
        <x:v>185</x:v>
      </x:c>
      <x:c r="AT432" s="7" t="n">
        <x:v>46301.9166666667</x:v>
      </x:c>
    </x:row>
    <x:row r="433" ht="31.299999237060547" hidden="0">
      <x:c r="A433" s="3" t="s">
        <x:v>953</x:v>
      </x:c>
      <x:c r="B433" s="3" t="s">
        <x:v>433</x:v>
      </x:c>
      <x:c r="C433" s="3" t="s">
        <x:v>434</x:v>
      </x:c>
      <x:c r="D433" s="3" t="s">
        <x:v>435</x:v>
      </x:c>
      <x:c r="E433" s="3" t="s">
        <x:v>249</x:v>
      </x:c>
      <x:c r="F433" s="3" t="s">
        <x:v>149</x:v>
      </x:c>
      <x:c r="G433" s="3" t="s">
        <x:v>575</x:v>
      </x:c>
      <x:c r="H433" s="3" t="s">
        <x:v>301</x:v>
      </x:c>
      <x:c r="I433" s="3" t="s">
        <x:v>302</x:v>
      </x:c>
      <x:c r="J433" s="3" t="s">
        <x:v>303</x:v>
      </x:c>
      <x:c r="K433" s="3" t="s">
        <x:v>104</x:v>
      </x:c>
      <x:c r="L433" s="3" t="s">
        <x:v>437</x:v>
      </x:c>
      <x:c r="M433" s="3" t="s">
        <x:v>106</x:v>
      </x:c>
      <x:c r="N433" s="3" t="s">
        <x:v>438</x:v>
      </x:c>
      <x:c r="O433" s="3" t="s">
        <x:v>439</x:v>
      </x:c>
      <x:c r="P433" s="3" t="s">
        <x:v>440</x:v>
      </x:c>
      <x:c r="Q433" s="3" t="s">
        <x:v>441</x:v>
      </x:c>
      <x:c r="R433" s="3" t="s">
        <x:v>196</x:v>
      </x:c>
      <x:c r="S433" s="3" t="s">
        <x:v>111</x:v>
      </x:c>
      <x:c r="T433" s="3" t="s">
        <x:v>111</x:v>
      </x:c>
      <x:c r="U433" s="3" t="s">
        <x:v>197</x:v>
      </x:c>
      <x:c r="V433" s="3" t="s">
        <x:v>198</x:v>
      </x:c>
      <x:c r="W433" s="3" t="s">
        <x:v>199</x:v>
      </x:c>
      <x:c r="X433" s="3" t="s">
        <x:v>366</x:v>
      </x:c>
      <x:c r="Y433" s="3" t="s">
        <x:v>527</x:v>
      </x:c>
      <x:c r="Z433" s="3" t="s">
        <x:v>201</x:v>
      </x:c>
      <x:c r="AA433" s="3" t="s">
        <x:v>368</x:v>
      </x:c>
      <x:c r="AB433" s="7" t="n">
        <x:v>46279.3902777778</x:v>
      </x:c>
      <x:c r="AC433" s="7" t="n">
        <x:v>46279.3916666667</x:v>
      </x:c>
      <x:c r="AD433" s="7" t="n">
        <x:v>46279.3944444444</x:v>
      </x:c>
      <x:c r="AE433" s="7" t="n">
        <x:v>46279.4166666667</x:v>
      </x:c>
      <x:c r="AF433" s="7" t="n">
        <x:v>46279.4625</x:v>
      </x:c>
      <x:c r="AG433" s="3" t="n">
        <x:v>38</x:v>
      </x:c>
      <x:c r="AH433" s="3" t="n">
        <x:v>58</x:v>
      </x:c>
      <x:c r="AI433" s="3" t="s">
        <x:v>135</x:v>
      </x:c>
      <x:c r="AJ433" s="3" t="s">
        <x:v>135</x:v>
      </x:c>
      <x:c r="AK433" s="3" t="n">
        <x:v>120</x:v>
      </x:c>
      <x:c r="AL433" s="3" t="n">
        <x:v>0</x:v>
      </x:c>
      <x:c r="AM433" s="8" t="n">
        <x:v>0.8</x:v>
      </x:c>
      <x:c r="AN433" s="3" t="n">
        <x:v>1</x:v>
      </x:c>
      <x:c r="AO433" s="3" t="s">
        <x:v>14</x:v>
      </x:c>
      <x:c r="AP433" s="3" t="s">
        <x:v>471</x:v>
      </x:c>
      <x:c r="AQ433" s="3" t="s">
        <x:v>562</x:v>
      </x:c>
      <x:c r="AR433" s="9" t="n">
        <x:v>848.6</x:v>
      </x:c>
      <x:c r="AS433" s="3" t="s">
        <x:v>185</x:v>
      </x:c>
      <x:c r="AT433" s="7" t="n">
        <x:v>46301.9166666667</x:v>
      </x:c>
    </x:row>
    <x:row r="434" ht="31.299999237060547" hidden="0">
      <x:c r="A434" s="3" t="s">
        <x:v>954</x:v>
      </x:c>
      <x:c r="B434" s="3" t="s">
        <x:v>233</x:v>
      </x:c>
      <x:c r="C434" s="3" t="s">
        <x:v>234</x:v>
      </x:c>
      <x:c r="D434" s="3" t="s">
        <x:v>235</x:v>
      </x:c>
      <x:c r="E434" s="3" t="s">
        <x:v>249</x:v>
      </x:c>
      <x:c r="F434" s="3" t="s">
        <x:v>99</x:v>
      </x:c>
      <x:c r="G434" s="3" t="s">
        <x:v>416</x:v>
      </x:c>
      <x:c r="H434" s="3" t="s">
        <x:v>339</x:v>
      </x:c>
      <x:c r="I434" s="3" t="s">
        <x:v>102</x:v>
      </x:c>
      <x:c r="J434" s="3" t="s">
        <x:v>103</x:v>
      </x:c>
      <x:c r="K434" s="3" t="s">
        <x:v>104</x:v>
      </x:c>
      <x:c r="L434" s="3" t="s">
        <x:v>237</x:v>
      </x:c>
      <x:c r="M434" s="3" t="s">
        <x:v>172</x:v>
      </x:c>
      <x:c r="N434" s="3" t="s">
        <x:v>238</x:v>
      </x:c>
      <x:c r="O434" s="3" t="s">
        <x:v>239</x:v>
      </x:c>
      <x:c r="P434" s="3" t="s">
        <x:v>240</x:v>
      </x:c>
      <x:c r="Q434" s="3" t="s">
        <x:v>276</x:v>
      </x:c>
      <x:c r="R434" s="3" t="s">
        <x:v>373</x:v>
      </x:c>
      <x:c r="S434" s="3" t="s">
        <x:v>135</x:v>
      </x:c>
      <x:c r="T434" s="3" t="s">
        <x:v>111</x:v>
      </x:c>
      <x:c r="U434" s="3" t="s">
        <x:v>374</x:v>
      </x:c>
      <x:c r="V434" s="3" t="s">
        <x:v>178</x:v>
      </x:c>
      <x:c r="W434" s="3" t="s">
        <x:v>355</x:v>
      </x:c>
      <x:c r="X434" s="3" t="s">
        <x:v>180</x:v>
      </x:c>
      <x:c r="Y434" s="3" t="s">
        <x:v>356</x:v>
      </x:c>
      <x:c r="Z434" s="3" t="s">
        <x:v>375</x:v>
      </x:c>
      <x:c r="AA434" s="3" t="s">
        <x:v>118</x:v>
      </x:c>
      <x:c r="AB434" s="7" t="n">
        <x:v>46279.3986111111</x:v>
      </x:c>
      <x:c r="AC434" s="7" t="n">
        <x:v>46279.4006944444</x:v>
      </x:c>
      <x:c r="AD434" s="7" t="n">
        <x:v>46279.4020833333</x:v>
      </x:c>
      <x:c r="AE434" s="7" t="n">
        <x:v>46279.4256944444</x:v>
      </x:c>
      <x:c r="AF434" s="7" t="n">
        <x:v>46279.4694444445</x:v>
      </x:c>
      <x:c r="AG434" s="3" t="n">
        <x:v>39</x:v>
      </x:c>
      <x:c r="AH434" s="3" t="n">
        <x:v>59</x:v>
      </x:c>
      <x:c r="AI434" s="3" t="s">
        <x:v>135</x:v>
      </x:c>
      <x:c r="AJ434" s="3" t="s">
        <x:v>111</x:v>
      </x:c>
      <x:c r="AK434" s="3" t="n">
        <x:v>150</x:v>
      </x:c>
      <x:c r="AL434" s="3" t="n">
        <x:v>0</x:v>
      </x:c>
      <x:c r="AM434" s="8" t="n">
        <x:v>0.6533</x:v>
      </x:c>
      <x:c r="AN434" s="3" t="n">
        <x:v>3</x:v>
      </x:c>
      <x:c r="AO434" s="3" t="s">
        <x:v>14</x:v>
      </x:c>
      <x:c r="AP434" s="3" t="s">
        <x:v>955</x:v>
      </x:c>
      <x:c r="AQ434" s="3" t="s">
        <x:v>956</x:v>
      </x:c>
      <x:c r="AR434" s="9" t="n">
        <x:v>1110.3</x:v>
      </x:c>
      <x:c r="AS434" s="3" t="s">
        <x:v>185</x:v>
      </x:c>
      <x:c r="AT434" s="7" t="n">
        <x:v>46301.9166666667</x:v>
      </x:c>
    </x:row>
    <x:row r="435" ht="31.299999237060547" hidden="0">
      <x:c r="A435" s="3" t="s">
        <x:v>957</x:v>
      </x:c>
      <x:c r="B435" s="3" t="s">
        <x:v>205</x:v>
      </x:c>
      <x:c r="C435" s="3" t="s">
        <x:v>206</x:v>
      </x:c>
      <x:c r="D435" s="3" t="s">
        <x:v>207</x:v>
      </x:c>
      <x:c r="E435" s="3" t="s">
        <x:v>249</x:v>
      </x:c>
      <x:c r="F435" s="3" t="s">
        <x:v>99</x:v>
      </x:c>
      <x:c r="G435" s="3" t="s">
        <x:v>377</x:v>
      </x:c>
      <x:c r="H435" s="3" t="s">
        <x:v>343</x:v>
      </x:c>
      <x:c r="I435" s="3" t="s">
        <x:v>102</x:v>
      </x:c>
      <x:c r="J435" s="3" t="s">
        <x:v>103</x:v>
      </x:c>
      <x:c r="K435" s="3" t="s">
        <x:v>104</x:v>
      </x:c>
      <x:c r="L435" s="3" t="s">
        <x:v>209</x:v>
      </x:c>
      <x:c r="M435" s="3" t="s">
        <x:v>210</x:v>
      </x:c>
      <x:c r="N435" s="3" t="s">
        <x:v>211</x:v>
      </x:c>
      <x:c r="O435" s="3" t="s">
        <x:v>212</x:v>
      </x:c>
      <x:c r="P435" s="3" t="s">
        <x:v>213</x:v>
      </x:c>
      <x:c r="Q435" s="3" t="s">
        <x:v>254</x:v>
      </x:c>
      <x:c r="R435" s="3" t="s">
        <x:v>330</x:v>
      </x:c>
      <x:c r="S435" s="3" t="s">
        <x:v>135</x:v>
      </x:c>
      <x:c r="T435" s="3" t="s">
        <x:v>111</x:v>
      </x:c>
      <x:c r="U435" s="3" t="s">
        <x:v>331</x:v>
      </x:c>
      <x:c r="V435" s="3" t="s">
        <x:v>178</x:v>
      </x:c>
      <x:c r="W435" s="3" t="s">
        <x:v>179</x:v>
      </x:c>
      <x:c r="X435" s="3" t="s">
        <x:v>180</x:v>
      </x:c>
      <x:c r="Y435" s="3" t="s">
        <x:v>414</x:v>
      </x:c>
      <x:c r="Z435" s="3" t="s">
        <x:v>334</x:v>
      </x:c>
      <x:c r="AA435" s="3" t="s">
        <x:v>118</x:v>
      </x:c>
      <x:c r="AB435" s="7" t="n">
        <x:v>46279.3993055556</x:v>
      </x:c>
      <x:c r="AC435" s="7" t="n">
        <x:v>46279.4006944444</x:v>
      </x:c>
      <x:c r="AD435" s="7" t="n">
        <x:v>46279.4027777778</x:v>
      </x:c>
      <x:c r="AE435" s="7" t="n">
        <x:v>46279.4173611111</x:v>
      </x:c>
      <x:c r="AF435" s="7" t="n">
        <x:v>46279.4506944444</x:v>
      </x:c>
      <x:c r="AG435" s="3" t="n">
        <x:v>26</x:v>
      </x:c>
      <x:c r="AH435" s="3" t="n">
        <x:v>43</x:v>
      </x:c>
      <x:c r="AI435" s="3" t="s">
        <x:v>135</x:v>
      </x:c>
      <x:c r="AJ435" s="3" t="s">
        <x:v>135</x:v>
      </x:c>
      <x:c r="AK435" s="3" t="n">
        <x:v>180</x:v>
      </x:c>
      <x:c r="AL435" s="3" t="n">
        <x:v>0</x:v>
      </x:c>
      <x:c r="AM435" s="8" t="n">
        <x:v>0.3833</x:v>
      </x:c>
      <x:c r="AN435" s="3" t="n">
        <x:v>2</x:v>
      </x:c>
      <x:c r="AO435" s="3" t="s">
        <x:v>14</x:v>
      </x:c>
      <x:c r="AP435" s="3" t="s">
        <x:v>573</x:v>
      </x:c>
      <x:c r="AQ435" s="3" t="s">
        <x:v>697</x:v>
      </x:c>
      <x:c r="AR435" s="9" t="n">
        <x:v>686.6</x:v>
      </x:c>
      <x:c r="AS435" s="3" t="s">
        <x:v>121</x:v>
      </x:c>
      <x:c r="AT435" s="7" t="n">
        <x:v>46301.9166666667</x:v>
      </x:c>
    </x:row>
    <x:row r="436" ht="31.299999237060547" hidden="0">
      <x:c r="A436" s="3" t="s">
        <x:v>958</x:v>
      </x:c>
      <x:c r="B436" s="3" t="s">
        <x:v>123</x:v>
      </x:c>
      <x:c r="C436" s="3" t="s">
        <x:v>124</x:v>
      </x:c>
      <x:c r="D436" s="3" t="s">
        <x:v>125</x:v>
      </x:c>
      <x:c r="E436" s="3" t="s">
        <x:v>249</x:v>
      </x:c>
      <x:c r="F436" s="3" t="s">
        <x:v>99</x:v>
      </x:c>
      <x:c r="G436" s="3" t="s">
        <x:v>416</x:v>
      </x:c>
      <x:c r="H436" s="3" t="s">
        <x:v>339</x:v>
      </x:c>
      <x:c r="I436" s="3" t="s">
        <x:v>102</x:v>
      </x:c>
      <x:c r="J436" s="3" t="s">
        <x:v>103</x:v>
      </x:c>
      <x:c r="K436" s="3" t="s">
        <x:v>104</x:v>
      </x:c>
      <x:c r="L436" s="3" t="s">
        <x:v>129</x:v>
      </x:c>
      <x:c r="M436" s="3" t="s">
        <x:v>130</x:v>
      </x:c>
      <x:c r="N436" s="3" t="s">
        <x:v>131</x:v>
      </x:c>
      <x:c r="O436" s="3" t="s">
        <x:v>132</x:v>
      </x:c>
      <x:c r="P436" s="3" t="s">
        <x:v>133</x:v>
      </x:c>
      <x:c r="Q436" s="3" t="s">
        <x:v>268</x:v>
      </x:c>
      <x:c r="R436" s="3" t="s">
        <x:v>373</x:v>
      </x:c>
      <x:c r="S436" s="3" t="s">
        <x:v>135</x:v>
      </x:c>
      <x:c r="T436" s="3" t="s">
        <x:v>111</x:v>
      </x:c>
      <x:c r="U436" s="3" t="s">
        <x:v>374</x:v>
      </x:c>
      <x:c r="V436" s="3" t="s">
        <x:v>178</x:v>
      </x:c>
      <x:c r="W436" s="3" t="s">
        <x:v>355</x:v>
      </x:c>
      <x:c r="X436" s="3" t="s">
        <x:v>180</x:v>
      </x:c>
      <x:c r="Y436" s="3" t="s">
        <x:v>356</x:v>
      </x:c>
      <x:c r="Z436" s="3" t="s">
        <x:v>375</x:v>
      </x:c>
      <x:c r="AA436" s="3" t="s">
        <x:v>118</x:v>
      </x:c>
      <x:c r="AB436" s="7" t="n">
        <x:v>46279.5041666667</x:v>
      </x:c>
      <x:c r="AC436" s="7" t="n">
        <x:v>46279.50625</x:v>
      </x:c>
      <x:c r="AD436" s="7" t="n">
        <x:v>46279.5104166667</x:v>
      </x:c>
      <x:c r="AE436" s="7" t="n">
        <x:v>46279.5291666667</x:v>
      </x:c>
      <x:c r="AF436" s="7" t="n">
        <x:v>46279.5763888889</x:v>
      </x:c>
      <x:c r="AG436" s="3" t="n">
        <x:v>36</x:v>
      </x:c>
      <x:c r="AH436" s="3" t="n">
        <x:v>60</x:v>
      </x:c>
      <x:c r="AI436" s="3" t="s">
        <x:v>135</x:v>
      </x:c>
      <x:c r="AJ436" s="3" t="s">
        <x:v>135</x:v>
      </x:c>
      <x:c r="AK436" s="3" t="n">
        <x:v>180</x:v>
      </x:c>
      <x:c r="AL436" s="3" t="n">
        <x:v>0</x:v>
      </x:c>
      <x:c r="AM436" s="8" t="n">
        <x:v>0.5333</x:v>
      </x:c>
      <x:c r="AN436" s="3" t="n">
        <x:v>3</x:v>
      </x:c>
      <x:c r="AO436" s="3" t="s">
        <x:v>14</x:v>
      </x:c>
      <x:c r="AP436" s="3" t="s">
        <x:v>183</x:v>
      </x:c>
      <x:c r="AQ436" s="3" t="s">
        <x:v>631</x:v>
      </x:c>
      <x:c r="AR436" s="9" t="n">
        <x:v>1104</x:v>
      </x:c>
      <x:c r="AS436" s="3" t="s">
        <x:v>185</x:v>
      </x:c>
      <x:c r="AT436" s="7" t="n">
        <x:v>46301.9166666667</x:v>
      </x:c>
    </x:row>
    <x:row r="437" ht="31.299999237060547" hidden="0">
      <x:c r="A437" s="3" t="s">
        <x:v>959</x:v>
      </x:c>
      <x:c r="B437" s="3" t="s">
        <x:v>297</x:v>
      </x:c>
      <x:c r="C437" s="3" t="s">
        <x:v>298</x:v>
      </x:c>
      <x:c r="D437" s="3" t="s">
        <x:v>299</x:v>
      </x:c>
      <x:c r="E437" s="3" t="s">
        <x:v>249</x:v>
      </x:c>
      <x:c r="F437" s="3" t="s">
        <x:v>149</x:v>
      </x:c>
      <x:c r="G437" s="3" t="s">
        <x:v>581</x:v>
      </x:c>
      <x:c r="H437" s="3" t="s">
        <x:v>301</x:v>
      </x:c>
      <x:c r="I437" s="3" t="s">
        <x:v>302</x:v>
      </x:c>
      <x:c r="J437" s="3" t="s">
        <x:v>303</x:v>
      </x:c>
      <x:c r="K437" s="3" t="s">
        <x:v>104</x:v>
      </x:c>
      <x:c r="L437" s="3" t="s">
        <x:v>304</x:v>
      </x:c>
      <x:c r="M437" s="3" t="s">
        <x:v>305</x:v>
      </x:c>
      <x:c r="N437" s="3" t="s">
        <x:v>306</x:v>
      </x:c>
      <x:c r="O437" s="3" t="s">
        <x:v>307</x:v>
      </x:c>
      <x:c r="P437" s="3" t="s">
        <x:v>308</x:v>
      </x:c>
      <x:c r="Q437" s="3" t="s">
        <x:v>309</x:v>
      </x:c>
      <x:c r="R437" s="3" t="s">
        <x:v>380</x:v>
      </x:c>
      <x:c r="S437" s="3" t="s">
        <x:v>111</x:v>
      </x:c>
      <x:c r="T437" s="3" t="s">
        <x:v>111</x:v>
      </x:c>
      <x:c r="U437" s="3" t="s">
        <x:v>381</x:v>
      </x:c>
      <x:c r="V437" s="3" t="s">
        <x:v>312</x:v>
      </x:c>
      <x:c r="W437" s="3" t="s">
        <x:v>351</x:v>
      </x:c>
      <x:c r="X437" s="3" t="s">
        <x:v>314</x:v>
      </x:c>
      <x:c r="Y437" s="3" t="s">
        <x:v>352</x:v>
      </x:c>
      <x:c r="Z437" s="3" t="s">
        <x:v>384</x:v>
      </x:c>
      <x:c r="AA437" s="3" t="s">
        <x:v>385</x:v>
      </x:c>
      <x:c r="AB437" s="7" t="n">
        <x:v>46279.5895833333</x:v>
      </x:c>
      <x:c r="AC437" s="7" t="n">
        <x:v>46279.5909722222</x:v>
      </x:c>
      <x:c r="AD437" s="7" t="n">
        <x:v>46279.5923611111</x:v>
      </x:c>
      <x:c r="AE437" s="7" t="n">
        <x:v>46279.6006944444</x:v>
      </x:c>
      <x:c r="AF437" s="7" t="n">
        <x:v>46279.6416666667</x:v>
      </x:c>
      <x:c r="AG437" s="3" t="n">
        <x:v>16</x:v>
      </x:c>
      <x:c r="AH437" s="3" t="n">
        <x:v>52</x:v>
      </x:c>
      <x:c r="AI437" s="3" t="s">
        <x:v>135</x:v>
      </x:c>
      <x:c r="AJ437" s="3" t="s">
        <x:v>111</x:v>
      </x:c>
      <x:c r="AK437" s="3" t="n">
        <x:v>120</x:v>
      </x:c>
      <x:c r="AL437" s="3" t="n">
        <x:v>0</x:v>
      </x:c>
      <x:c r="AM437" s="8" t="n">
        <x:v>0.5667</x:v>
      </x:c>
      <x:c r="AN437" s="3" t="n">
        <x:v>1</x:v>
      </x:c>
      <x:c r="AO437" s="3" t="s">
        <x:v>9</x:v>
      </x:c>
      <x:c r="AP437" s="3" t="s">
        <x:v>584</x:v>
      </x:c>
      <x:c r="AQ437" s="3" t="s">
        <x:v>603</x:v>
      </x:c>
      <x:c r="AR437" s="9" t="n">
        <x:v>1086.4</x:v>
      </x:c>
      <x:c r="AS437" s="3" t="s">
        <x:v>121</x:v>
      </x:c>
      <x:c r="AT437" s="7" t="n">
        <x:v>46301.9166666667</x:v>
      </x:c>
    </x:row>
    <x:row r="438" ht="31.299999237060547" hidden="0">
      <x:c r="A438" s="3" t="s">
        <x:v>960</x:v>
      </x:c>
      <x:c r="B438" s="3" t="s">
        <x:v>205</x:v>
      </x:c>
      <x:c r="C438" s="3" t="s">
        <x:v>206</x:v>
      </x:c>
      <x:c r="D438" s="3" t="s">
        <x:v>207</x:v>
      </x:c>
      <x:c r="E438" s="3" t="s">
        <x:v>249</x:v>
      </x:c>
      <x:c r="F438" s="3" t="s">
        <x:v>169</x:v>
      </x:c>
      <x:c r="G438" s="3" t="s">
        <x:v>443</x:v>
      </x:c>
      <x:c r="H438" s="3" t="s">
        <x:v>101</x:v>
      </x:c>
      <x:c r="I438" s="3" t="s">
        <x:v>102</x:v>
      </x:c>
      <x:c r="J438" s="3" t="s">
        <x:v>103</x:v>
      </x:c>
      <x:c r="K438" s="3" t="s">
        <x:v>104</x:v>
      </x:c>
      <x:c r="L438" s="3" t="s">
        <x:v>209</x:v>
      </x:c>
      <x:c r="M438" s="3" t="s">
        <x:v>210</x:v>
      </x:c>
      <x:c r="N438" s="3" t="s">
        <x:v>211</x:v>
      </x:c>
      <x:c r="O438" s="3" t="s">
        <x:v>212</x:v>
      </x:c>
      <x:c r="P438" s="3" t="s">
        <x:v>213</x:v>
      </x:c>
      <x:c r="Q438" s="3" t="s">
        <x:v>254</x:v>
      </x:c>
      <x:c r="R438" s="3" t="s">
        <x:v>330</x:v>
      </x:c>
      <x:c r="S438" s="3" t="s">
        <x:v>135</x:v>
      </x:c>
      <x:c r="T438" s="3" t="s">
        <x:v>111</x:v>
      </x:c>
      <x:c r="U438" s="3" t="s">
        <x:v>331</x:v>
      </x:c>
      <x:c r="V438" s="3" t="s">
        <x:v>178</x:v>
      </x:c>
      <x:c r="W438" s="3" t="s">
        <x:v>179</x:v>
      </x:c>
      <x:c r="X438" s="3" t="s">
        <x:v>180</x:v>
      </x:c>
      <x:c r="Y438" s="3" t="s">
        <x:v>414</x:v>
      </x:c>
      <x:c r="Z438" s="3" t="s">
        <x:v>334</x:v>
      </x:c>
      <x:c r="AA438" s="3" t="s">
        <x:v>118</x:v>
      </x:c>
      <x:c r="AB438" s="7" t="n">
        <x:v>46279.6673611111</x:v>
      </x:c>
      <x:c r="AC438" s="7" t="n">
        <x:v>46279.6722222222</x:v>
      </x:c>
      <x:c r="AD438" s="7" t="n">
        <x:v>46279.6770833333</x:v>
      </x:c>
      <x:c r="AE438" s="7" t="n">
        <x:v>46279.7041666667</x:v>
      </x:c>
      <x:c r="AF438" s="7" t="n">
        <x:v>46279.7569444444</x:v>
      </x:c>
      <x:c r="AG438" s="3" t="n">
        <x:v>53</x:v>
      </x:c>
      <x:c r="AH438" s="3" t="n">
        <x:v>69</x:v>
      </x:c>
      <x:c r="AI438" s="3" t="s">
        <x:v>135</x:v>
      </x:c>
      <x:c r="AJ438" s="3" t="s">
        <x:v>135</x:v>
      </x:c>
      <x:c r="AK438" s="3" t="n">
        <x:v>180</x:v>
      </x:c>
      <x:c r="AL438" s="3" t="n">
        <x:v>0</x:v>
      </x:c>
      <x:c r="AM438" s="8" t="n">
        <x:v>0.6778</x:v>
      </x:c>
      <x:c r="AN438" s="3" t="n">
        <x:v>1</x:v>
      </x:c>
      <x:c r="AO438" s="3" t="s">
        <x:v>14</x:v>
      </x:c>
      <x:c r="AP438" s="3" t="s">
        <x:v>471</x:v>
      </x:c>
      <x:c r="AQ438" s="3" t="s">
        <x:v>697</x:v>
      </x:c>
      <x:c r="AR438" s="9" t="n">
        <x:v>995.3</x:v>
      </x:c>
      <x:c r="AS438" s="3" t="s">
        <x:v>185</x:v>
      </x:c>
      <x:c r="AT438" s="7" t="n">
        <x:v>46301.9166666667</x:v>
      </x:c>
    </x:row>
    <x:row r="439" ht="31.299999237060547" hidden="0">
      <x:c r="A439" s="3" t="s">
        <x:v>961</x:v>
      </x:c>
      <x:c r="B439" s="3" t="s">
        <x:v>166</x:v>
      </x:c>
      <x:c r="C439" s="3" t="s">
        <x:v>167</x:v>
      </x:c>
      <x:c r="D439" s="3" t="s">
        <x:v>168</x:v>
      </x:c>
      <x:c r="E439" s="3" t="s">
        <x:v>249</x:v>
      </x:c>
      <x:c r="F439" s="3" t="s">
        <x:v>127</x:v>
      </x:c>
      <x:c r="G439" s="3" t="s">
        <x:v>504</x:v>
      </x:c>
      <x:c r="H439" s="3" t="s">
        <x:v>343</x:v>
      </x:c>
      <x:c r="I439" s="3" t="s">
        <x:v>102</x:v>
      </x:c>
      <x:c r="J439" s="3" t="s">
        <x:v>103</x:v>
      </x:c>
      <x:c r="K439" s="3" t="s">
        <x:v>104</x:v>
      </x:c>
      <x:c r="L439" s="3" t="s">
        <x:v>171</x:v>
      </x:c>
      <x:c r="M439" s="3" t="s">
        <x:v>172</x:v>
      </x:c>
      <x:c r="N439" s="3" t="s">
        <x:v>173</x:v>
      </x:c>
      <x:c r="O439" s="3" t="s">
        <x:v>174</x:v>
      </x:c>
      <x:c r="P439" s="3" t="s">
        <x:v>175</x:v>
      </x:c>
      <x:c r="Q439" s="3" t="s">
        <x:v>271</x:v>
      </x:c>
      <x:c r="R439" s="3" t="s">
        <x:v>344</x:v>
      </x:c>
      <x:c r="S439" s="3" t="s">
        <x:v>111</x:v>
      </x:c>
      <x:c r="T439" s="3" t="s">
        <x:v>111</x:v>
      </x:c>
      <x:c r="U439" s="3" t="s">
        <x:v>345</x:v>
      </x:c>
      <x:c r="V439" s="3" t="s">
        <x:v>178</x:v>
      </x:c>
      <x:c r="W439" s="3" t="s">
        <x:v>332</x:v>
      </x:c>
      <x:c r="X439" s="3" t="s">
        <x:v>180</x:v>
      </x:c>
      <x:c r="Y439" s="3" t="s">
        <x:v>333</x:v>
      </x:c>
      <x:c r="Z439" s="3" t="s">
        <x:v>346</x:v>
      </x:c>
      <x:c r="AA439" s="3" t="s">
        <x:v>118</x:v>
      </x:c>
      <x:c r="AB439" s="7" t="n">
        <x:v>46279.6833333333</x:v>
      </x:c>
      <x:c r="AC439" s="7" t="n">
        <x:v>46279.6854166667</x:v>
      </x:c>
      <x:c r="AD439" s="7" t="n">
        <x:v>46279.6888888889</x:v>
      </x:c>
      <x:c r="AE439" s="7" t="n">
        <x:v>46279.7034722222</x:v>
      </x:c>
      <x:c r="AF439" s="7" t="n">
        <x:v>46279.7611111111</x:v>
      </x:c>
      <x:c r="AG439" s="3" t="n">
        <x:v>29</x:v>
      </x:c>
      <x:c r="AH439" s="3" t="n">
        <x:v>74</x:v>
      </x:c>
      <x:c r="AI439" s="3" t="s">
        <x:v>135</x:v>
      </x:c>
      <x:c r="AJ439" s="3" t="s">
        <x:v>135</x:v>
      </x:c>
      <x:c r="AK439" s="3" t="n">
        <x:v>120</x:v>
      </x:c>
      <x:c r="AL439" s="3" t="n">
        <x:v>0</x:v>
      </x:c>
      <x:c r="AM439" s="8" t="n">
        <x:v>0.8583</x:v>
      </x:c>
      <x:c r="AN439" s="3" t="n">
        <x:v>2</x:v>
      </x:c>
      <x:c r="AO439" s="3" t="s">
        <x:v>19</x:v>
      </x:c>
      <x:c r="AP439" s="3" t="s">
        <x:v>771</x:v>
      </x:c>
      <x:c r="AQ439" s="3" t="s">
        <x:v>501</x:v>
      </x:c>
      <x:c r="AR439" s="9" t="n">
        <x:v>1303.3</x:v>
      </x:c>
      <x:c r="AS439" s="3" t="s">
        <x:v>185</x:v>
      </x:c>
      <x:c r="AT439" s="7" t="n">
        <x:v>46301.9166666667</x:v>
      </x:c>
    </x:row>
    <x:row r="440" ht="31.299999237060547" hidden="0">
      <x:c r="A440" s="3" t="s">
        <x:v>962</x:v>
      </x:c>
      <x:c r="B440" s="3" t="s">
        <x:v>166</x:v>
      </x:c>
      <x:c r="C440" s="3" t="s">
        <x:v>167</x:v>
      </x:c>
      <x:c r="D440" s="3" t="s">
        <x:v>168</x:v>
      </x:c>
      <x:c r="E440" s="3" t="s">
        <x:v>249</x:v>
      </x:c>
      <x:c r="F440" s="3" t="s">
        <x:v>99</x:v>
      </x:c>
      <x:c r="G440" s="3" t="s">
        <x:v>359</x:v>
      </x:c>
      <x:c r="H440" s="3" t="s">
        <x:v>101</x:v>
      </x:c>
      <x:c r="I440" s="3" t="s">
        <x:v>102</x:v>
      </x:c>
      <x:c r="J440" s="3" t="s">
        <x:v>103</x:v>
      </x:c>
      <x:c r="K440" s="3" t="s">
        <x:v>104</x:v>
      </x:c>
      <x:c r="L440" s="3" t="s">
        <x:v>171</x:v>
      </x:c>
      <x:c r="M440" s="3" t="s">
        <x:v>172</x:v>
      </x:c>
      <x:c r="N440" s="3" t="s">
        <x:v>173</x:v>
      </x:c>
      <x:c r="O440" s="3" t="s">
        <x:v>174</x:v>
      </x:c>
      <x:c r="P440" s="3" t="s">
        <x:v>175</x:v>
      </x:c>
      <x:c r="Q440" s="3" t="s">
        <x:v>271</x:v>
      </x:c>
      <x:c r="R440" s="3" t="s">
        <x:v>156</x:v>
      </x:c>
      <x:c r="S440" s="3" t="s">
        <x:v>135</x:v>
      </x:c>
      <x:c r="T440" s="3" t="s">
        <x:v>111</x:v>
      </x:c>
      <x:c r="U440" s="3" t="s">
        <x:v>157</x:v>
      </x:c>
      <x:c r="V440" s="3" t="s">
        <x:v>158</x:v>
      </x:c>
      <x:c r="W440" s="3" t="s">
        <x:v>159</x:v>
      </x:c>
      <x:c r="X440" s="3" t="s">
        <x:v>160</x:v>
      </x:c>
      <x:c r="Y440" s="3" t="s">
        <x:v>360</x:v>
      </x:c>
      <x:c r="Z440" s="3" t="s">
        <x:v>162</x:v>
      </x:c>
      <x:c r="AA440" s="3" t="s">
        <x:v>118</x:v>
      </x:c>
      <x:c r="AB440" s="7" t="n">
        <x:v>46279.71875</x:v>
      </x:c>
      <x:c r="AC440" s="7" t="n">
        <x:v>46279.7236111111</x:v>
      </x:c>
      <x:c r="AD440" s="7" t="n">
        <x:v>46279.7298611111</x:v>
      </x:c>
      <x:c r="AE440" s="7" t="n">
        <x:v>46279.7472222222</x:v>
      </x:c>
      <x:c r="AF440" s="7" t="n">
        <x:v>46279.7930555556</x:v>
      </x:c>
      <x:c r="AG440" s="3" t="n">
        <x:v>41</x:v>
      </x:c>
      <x:c r="AH440" s="3" t="n">
        <x:v>61</x:v>
      </x:c>
      <x:c r="AI440" s="3" t="s">
        <x:v>135</x:v>
      </x:c>
      <x:c r="AJ440" s="3" t="s">
        <x:v>135</x:v>
      </x:c>
      <x:c r="AK440" s="3" t="n">
        <x:v>150</x:v>
      </x:c>
      <x:c r="AL440" s="3" t="n">
        <x:v>0</x:v>
      </x:c>
      <x:c r="AM440" s="8" t="n">
        <x:v>0.68</x:v>
      </x:c>
      <x:c r="AN440" s="3" t="n">
        <x:v>2</x:v>
      </x:c>
      <x:c r="AO440" s="3" t="s">
        <x:v>14</x:v>
      </x:c>
      <x:c r="AP440" s="3" t="s">
        <x:v>717</x:v>
      </x:c>
      <x:c r="AQ440" s="3" t="s">
        <x:v>501</x:v>
      </x:c>
      <x:c r="AR440" s="9" t="n">
        <x:v>1263.7</x:v>
      </x:c>
      <x:c r="AS440" s="3" t="s">
        <x:v>121</x:v>
      </x:c>
      <x:c r="AT440" s="7" t="n">
        <x:v>46301.9166666667</x:v>
      </x:c>
    </x:row>
    <x:row r="441" ht="31.299999237060547" hidden="0">
      <x:c r="A441" s="3" t="s">
        <x:v>963</x:v>
      </x:c>
      <x:c r="B441" s="3" t="s">
        <x:v>187</x:v>
      </x:c>
      <x:c r="C441" s="3" t="s">
        <x:v>188</x:v>
      </x:c>
      <x:c r="D441" s="3" t="s">
        <x:v>189</x:v>
      </x:c>
      <x:c r="E441" s="3" t="s">
        <x:v>249</x:v>
      </x:c>
      <x:c r="F441" s="3" t="s">
        <x:v>99</x:v>
      </x:c>
      <x:c r="G441" s="3" t="s">
        <x:v>349</x:v>
      </x:c>
      <x:c r="H441" s="3" t="s">
        <x:v>343</x:v>
      </x:c>
      <x:c r="I441" s="3" t="s">
        <x:v>102</x:v>
      </x:c>
      <x:c r="J441" s="3" t="s">
        <x:v>103</x:v>
      </x:c>
      <x:c r="K441" s="3" t="s">
        <x:v>104</x:v>
      </x:c>
      <x:c r="L441" s="3" t="s">
        <x:v>191</x:v>
      </x:c>
      <x:c r="M441" s="3" t="s">
        <x:v>192</x:v>
      </x:c>
      <x:c r="N441" s="3" t="s">
        <x:v>193</x:v>
      </x:c>
      <x:c r="O441" s="3" t="s">
        <x:v>194</x:v>
      </x:c>
      <x:c r="P441" s="3" t="s">
        <x:v>195</x:v>
      </x:c>
      <x:c r="Q441" s="3" t="s">
        <x:v>273</x:v>
      </x:c>
      <x:c r="R441" s="3" t="s">
        <x:v>344</x:v>
      </x:c>
      <x:c r="S441" s="3" t="s">
        <x:v>111</x:v>
      </x:c>
      <x:c r="T441" s="3" t="s">
        <x:v>111</x:v>
      </x:c>
      <x:c r="U441" s="3" t="s">
        <x:v>345</x:v>
      </x:c>
      <x:c r="V441" s="3" t="s">
        <x:v>178</x:v>
      </x:c>
      <x:c r="W441" s="3" t="s">
        <x:v>332</x:v>
      </x:c>
      <x:c r="X441" s="3" t="s">
        <x:v>180</x:v>
      </x:c>
      <x:c r="Y441" s="3" t="s">
        <x:v>333</x:v>
      </x:c>
      <x:c r="Z441" s="3" t="s">
        <x:v>346</x:v>
      </x:c>
      <x:c r="AA441" s="3" t="s">
        <x:v>118</x:v>
      </x:c>
      <x:c r="AB441" s="7" t="n">
        <x:v>46279.725</x:v>
      </x:c>
      <x:c r="AC441" s="7" t="n">
        <x:v>46279.7291666667</x:v>
      </x:c>
      <x:c r="AD441" s="7" t="n">
        <x:v>46279.7340277778</x:v>
      </x:c>
      <x:c r="AE441" s="7" t="n">
        <x:v>46279.7569444444</x:v>
      </x:c>
      <x:c r="AF441" s="7" t="n">
        <x:v>46279.8034722222</x:v>
      </x:c>
      <x:c r="AG441" s="3" t="n">
        <x:v>46</x:v>
      </x:c>
      <x:c r="AH441" s="3" t="n">
        <x:v>63</x:v>
      </x:c>
      <x:c r="AI441" s="3" t="s">
        <x:v>135</x:v>
      </x:c>
      <x:c r="AJ441" s="3" t="s">
        <x:v>111</x:v>
      </x:c>
      <x:c r="AK441" s="3" t="n">
        <x:v>120</x:v>
      </x:c>
      <x:c r="AL441" s="3" t="n">
        <x:v>0</x:v>
      </x:c>
      <x:c r="AM441" s="8" t="n">
        <x:v>0.9083</x:v>
      </x:c>
      <x:c r="AN441" s="3" t="n">
        <x:v>2</x:v>
      </x:c>
      <x:c r="AO441" s="3" t="s">
        <x:v>19</x:v>
      </x:c>
      <x:c r="AP441" s="3" t="s">
        <x:v>964</x:v>
      </x:c>
      <x:c r="AQ441" s="3" t="s">
        <x:v>689</x:v>
      </x:c>
      <x:c r="AR441" s="9" t="n">
        <x:v>1300.6</x:v>
      </x:c>
      <x:c r="AS441" s="3" t="s">
        <x:v>185</x:v>
      </x:c>
      <x:c r="AT441" s="7" t="n">
        <x:v>46301.9166666667</x:v>
      </x:c>
    </x:row>
    <x:row r="442" ht="31.299999237060547" hidden="0">
      <x:c r="A442" s="3" t="s">
        <x:v>965</x:v>
      </x:c>
      <x:c r="B442" s="3" t="s">
        <x:v>123</x:v>
      </x:c>
      <x:c r="C442" s="3" t="s">
        <x:v>124</x:v>
      </x:c>
      <x:c r="D442" s="3" t="s">
        <x:v>125</x:v>
      </x:c>
      <x:c r="E442" s="3" t="s">
        <x:v>249</x:v>
      </x:c>
      <x:c r="F442" s="3" t="s">
        <x:v>127</x:v>
      </x:c>
      <x:c r="G442" s="3" t="s">
        <x:v>410</x:v>
      </x:c>
      <x:c r="H442" s="3" t="s">
        <x:v>343</x:v>
      </x:c>
      <x:c r="I442" s="3" t="s">
        <x:v>102</x:v>
      </x:c>
      <x:c r="J442" s="3" t="s">
        <x:v>103</x:v>
      </x:c>
      <x:c r="K442" s="3" t="s">
        <x:v>104</x:v>
      </x:c>
      <x:c r="L442" s="3" t="s">
        <x:v>129</x:v>
      </x:c>
      <x:c r="M442" s="3" t="s">
        <x:v>130</x:v>
      </x:c>
      <x:c r="N442" s="3" t="s">
        <x:v>131</x:v>
      </x:c>
      <x:c r="O442" s="3" t="s">
        <x:v>132</x:v>
      </x:c>
      <x:c r="P442" s="3" t="s">
        <x:v>133</x:v>
      </x:c>
      <x:c r="Q442" s="3" t="s">
        <x:v>268</x:v>
      </x:c>
      <x:c r="R442" s="3" t="s">
        <x:v>344</x:v>
      </x:c>
      <x:c r="S442" s="3" t="s">
        <x:v>111</x:v>
      </x:c>
      <x:c r="T442" s="3" t="s">
        <x:v>111</x:v>
      </x:c>
      <x:c r="U442" s="3" t="s">
        <x:v>345</x:v>
      </x:c>
      <x:c r="V442" s="3" t="s">
        <x:v>178</x:v>
      </x:c>
      <x:c r="W442" s="3" t="s">
        <x:v>179</x:v>
      </x:c>
      <x:c r="X442" s="3" t="s">
        <x:v>180</x:v>
      </x:c>
      <x:c r="Y442" s="3" t="s">
        <x:v>414</x:v>
      </x:c>
      <x:c r="Z442" s="3" t="s">
        <x:v>346</x:v>
      </x:c>
      <x:c r="AA442" s="3" t="s">
        <x:v>118</x:v>
      </x:c>
      <x:c r="AB442" s="7" t="n">
        <x:v>46279.7555555556</x:v>
      </x:c>
      <x:c r="AC442" s="7" t="n">
        <x:v>46279.7576388889</x:v>
      </x:c>
      <x:c r="AD442" s="7" t="n">
        <x:v>46279.7604166667</x:v>
      </x:c>
      <x:c r="AE442" s="7" t="n">
        <x:v>46279.7847222222</x:v>
      </x:c>
      <x:c r="AF442" s="7" t="n">
        <x:v>46279.8118055556</x:v>
      </x:c>
      <x:c r="AG442" s="3" t="n">
        <x:v>42</x:v>
      </x:c>
      <x:c r="AH442" s="3" t="n">
        <x:v>32</x:v>
      </x:c>
      <x:c r="AI442" s="3" t="s">
        <x:v>135</x:v>
      </x:c>
      <x:c r="AJ442" s="3" t="s">
        <x:v>135</x:v>
      </x:c>
      <x:c r="AK442" s="3" t="n">
        <x:v>120</x:v>
      </x:c>
      <x:c r="AL442" s="3" t="n">
        <x:v>0</x:v>
      </x:c>
      <x:c r="AM442" s="8" t="n">
        <x:v>0.6167</x:v>
      </x:c>
      <x:c r="AN442" s="3" t="n">
        <x:v>0</x:v>
      </x:c>
      <x:c r="AO442" s="3" t="s">
        <x:v>14</x:v>
      </x:c>
      <x:c r="AP442" s="3" t="s">
        <x:v>347</x:v>
      </x:c>
      <x:c r="AQ442" s="3" t="s">
        <x:v>357</x:v>
      </x:c>
      <x:c r="AR442" s="9" t="n">
        <x:v>679.4</x:v>
      </x:c>
      <x:c r="AS442" s="3" t="s">
        <x:v>121</x:v>
      </x:c>
      <x:c r="AT442" s="7" t="n">
        <x:v>46301.9166666667</x:v>
      </x:c>
    </x:row>
    <x:row r="443" ht="31.299999237060547" hidden="0">
      <x:c r="A443" s="3" t="s">
        <x:v>966</x:v>
      </x:c>
      <x:c r="B443" s="3" t="s">
        <x:v>146</x:v>
      </x:c>
      <x:c r="C443" s="3" t="s">
        <x:v>147</x:v>
      </x:c>
      <x:c r="D443" s="3" t="s">
        <x:v>148</x:v>
      </x:c>
      <x:c r="E443" s="3" t="s">
        <x:v>249</x:v>
      </x:c>
      <x:c r="F443" s="3" t="s">
        <x:v>149</x:v>
      </x:c>
      <x:c r="G443" s="3" t="s">
        <x:v>498</x:v>
      </x:c>
      <x:c r="H443" s="3" t="s">
        <x:v>101</x:v>
      </x:c>
      <x:c r="I443" s="3" t="s">
        <x:v>102</x:v>
      </x:c>
      <x:c r="J443" s="3" t="s">
        <x:v>103</x:v>
      </x:c>
      <x:c r="K443" s="3" t="s">
        <x:v>104</x:v>
      </x:c>
      <x:c r="L443" s="3" t="s">
        <x:v>151</x:v>
      </x:c>
      <x:c r="M443" s="3" t="s">
        <x:v>152</x:v>
      </x:c>
      <x:c r="N443" s="3" t="s">
        <x:v>153</x:v>
      </x:c>
      <x:c r="O443" s="3" t="s">
        <x:v>154</x:v>
      </x:c>
      <x:c r="P443" s="3" t="s">
        <x:v>155</x:v>
      </x:c>
      <x:c r="Q443" s="3" t="s">
        <x:v>270</x:v>
      </x:c>
      <x:c r="R443" s="3" t="s">
        <x:v>310</x:v>
      </x:c>
      <x:c r="S443" s="3" t="s">
        <x:v>135</x:v>
      </x:c>
      <x:c r="T443" s="3" t="s">
        <x:v>111</x:v>
      </x:c>
      <x:c r="U443" s="3" t="s">
        <x:v>311</x:v>
      </x:c>
      <x:c r="V443" s="3" t="s">
        <x:v>312</x:v>
      </x:c>
      <x:c r="W443" s="3" t="s">
        <x:v>382</x:v>
      </x:c>
      <x:c r="X443" s="3" t="s">
        <x:v>314</x:v>
      </x:c>
      <x:c r="Y443" s="3" t="s">
        <x:v>383</x:v>
      </x:c>
      <x:c r="Z443" s="3" t="s">
        <x:v>316</x:v>
      </x:c>
      <x:c r="AA443" s="3" t="s">
        <x:v>317</x:v>
      </x:c>
      <x:c r="AB443" s="7" t="n">
        <x:v>46279.7729166667</x:v>
      </x:c>
      <x:c r="AC443" s="7" t="n">
        <x:v>46279.775</x:v>
      </x:c>
      <x:c r="AD443" s="7" t="n">
        <x:v>46279.7798611111</x:v>
      </x:c>
      <x:c r="AE443" s="7" t="n">
        <x:v>46279.7902777778</x:v>
      </x:c>
      <x:c r="AF443" s="7" t="n">
        <x:v>46279.8159722222</x:v>
      </x:c>
      <x:c r="AG443" s="3" t="n">
        <x:v>25</x:v>
      </x:c>
      <x:c r="AH443" s="3" t="n">
        <x:v>34</x:v>
      </x:c>
      <x:c r="AI443" s="3" t="s">
        <x:v>135</x:v>
      </x:c>
      <x:c r="AJ443" s="3" t="s">
        <x:v>135</x:v>
      </x:c>
      <x:c r="AK443" s="3" t="n">
        <x:v>180</x:v>
      </x:c>
      <x:c r="AL443" s="3" t="n">
        <x:v>0</x:v>
      </x:c>
      <x:c r="AM443" s="8" t="n">
        <x:v>0.3278</x:v>
      </x:c>
      <x:c r="AN443" s="3" t="n">
        <x:v>2</x:v>
      </x:c>
      <x:c r="AO443" s="3" t="s">
        <x:v>14</x:v>
      </x:c>
      <x:c r="AP443" s="3" t="s">
        <x:v>573</x:v>
      </x:c>
      <x:c r="AQ443" s="3" t="s">
        <x:v>533</x:v>
      </x:c>
      <x:c r="AR443" s="9" t="n">
        <x:v>617.3</x:v>
      </x:c>
      <x:c r="AS443" s="3" t="s">
        <x:v>121</x:v>
      </x:c>
      <x:c r="AT443" s="7" t="n">
        <x:v>46301.9166666667</x:v>
      </x:c>
    </x:row>
    <x:row r="444" ht="31.299999237060547" hidden="0">
      <x:c r="A444" s="3" t="s">
        <x:v>967</x:v>
      </x:c>
      <x:c r="B444" s="3" t="s">
        <x:v>233</x:v>
      </x:c>
      <x:c r="C444" s="3" t="s">
        <x:v>234</x:v>
      </x:c>
      <x:c r="D444" s="3" t="s">
        <x:v>235</x:v>
      </x:c>
      <x:c r="E444" s="3" t="s">
        <x:v>249</x:v>
      </x:c>
      <x:c r="F444" s="3" t="s">
        <x:v>149</x:v>
      </x:c>
      <x:c r="G444" s="3" t="s">
        <x:v>754</x:v>
      </x:c>
      <x:c r="H444" s="3" t="s">
        <x:v>101</x:v>
      </x:c>
      <x:c r="I444" s="3" t="s">
        <x:v>102</x:v>
      </x:c>
      <x:c r="J444" s="3" t="s">
        <x:v>103</x:v>
      </x:c>
      <x:c r="K444" s="3" t="s">
        <x:v>104</x:v>
      </x:c>
      <x:c r="L444" s="3" t="s">
        <x:v>237</x:v>
      </x:c>
      <x:c r="M444" s="3" t="s">
        <x:v>172</x:v>
      </x:c>
      <x:c r="N444" s="3" t="s">
        <x:v>238</x:v>
      </x:c>
      <x:c r="O444" s="3" t="s">
        <x:v>239</x:v>
      </x:c>
      <x:c r="P444" s="3" t="s">
        <x:v>240</x:v>
      </x:c>
      <x:c r="Q444" s="3" t="s">
        <x:v>276</x:v>
      </x:c>
      <x:c r="R444" s="3" t="s">
        <x:v>310</x:v>
      </x:c>
      <x:c r="S444" s="3" t="s">
        <x:v>135</x:v>
      </x:c>
      <x:c r="T444" s="3" t="s">
        <x:v>111</x:v>
      </x:c>
      <x:c r="U444" s="3" t="s">
        <x:v>311</x:v>
      </x:c>
      <x:c r="V444" s="3" t="s">
        <x:v>312</x:v>
      </x:c>
      <x:c r="W444" s="3" t="s">
        <x:v>351</x:v>
      </x:c>
      <x:c r="X444" s="3" t="s">
        <x:v>314</x:v>
      </x:c>
      <x:c r="Y444" s="3" t="s">
        <x:v>352</x:v>
      </x:c>
      <x:c r="Z444" s="3" t="s">
        <x:v>316</x:v>
      </x:c>
      <x:c r="AA444" s="3" t="s">
        <x:v>317</x:v>
      </x:c>
      <x:c r="AB444" s="7" t="n">
        <x:v>46279.7861111111</x:v>
      </x:c>
      <x:c r="AC444" s="7" t="n">
        <x:v>46279.7888888889</x:v>
      </x:c>
      <x:c r="AD444" s="7" t="n">
        <x:v>46279.79375</x:v>
      </x:c>
      <x:c r="AE444" s="7" t="n">
        <x:v>46279.8076388889</x:v>
      </x:c>
      <x:c r="AF444" s="7" t="n">
        <x:v>46279.8409722222</x:v>
      </x:c>
      <x:c r="AG444" s="3" t="n">
        <x:v>31</x:v>
      </x:c>
      <x:c r="AH444" s="3" t="n">
        <x:v>44</x:v>
      </x:c>
      <x:c r="AI444" s="3" t="s">
        <x:v>135</x:v>
      </x:c>
      <x:c r="AJ444" s="3" t="s">
        <x:v>111</x:v>
      </x:c>
      <x:c r="AK444" s="3" t="n">
        <x:v>150</x:v>
      </x:c>
      <x:c r="AL444" s="3" t="n">
        <x:v>0</x:v>
      </x:c>
      <x:c r="AM444" s="8" t="n">
        <x:v>0.5</x:v>
      </x:c>
      <x:c r="AN444" s="3" t="n">
        <x:v>0</x:v>
      </x:c>
      <x:c r="AO444" s="3" t="s">
        <x:v>9</x:v>
      </x:c>
      <x:c r="AP444" s="3" t="s">
        <x:v>335</x:v>
      </x:c>
      <x:c r="AQ444" s="3" t="s">
        <x:v>361</x:v>
      </x:c>
      <x:c r="AR444" s="9" t="n">
        <x:v>716.3</x:v>
      </x:c>
      <x:c r="AS444" s="3" t="s">
        <x:v>144</x:v>
      </x:c>
      <x:c r="AT444" s="7" t="n">
        <x:v>46301.9166666667</x:v>
      </x:c>
    </x:row>
    <x:row r="445" ht="31.299999237060547" hidden="0">
      <x:c r="A445" s="3" t="s">
        <x:v>968</x:v>
      </x:c>
      <x:c r="B445" s="3" t="s">
        <x:v>233</x:v>
      </x:c>
      <x:c r="C445" s="3" t="s">
        <x:v>234</x:v>
      </x:c>
      <x:c r="D445" s="3" t="s">
        <x:v>235</x:v>
      </x:c>
      <x:c r="E445" s="3" t="s">
        <x:v>249</x:v>
      </x:c>
      <x:c r="F445" s="3" t="s">
        <x:v>99</x:v>
      </x:c>
      <x:c r="G445" s="3" t="s">
        <x:v>447</x:v>
      </x:c>
      <x:c r="H445" s="3" t="s">
        <x:v>343</x:v>
      </x:c>
      <x:c r="I445" s="3" t="s">
        <x:v>102</x:v>
      </x:c>
      <x:c r="J445" s="3" t="s">
        <x:v>103</x:v>
      </x:c>
      <x:c r="K445" s="3" t="s">
        <x:v>104</x:v>
      </x:c>
      <x:c r="L445" s="3" t="s">
        <x:v>237</x:v>
      </x:c>
      <x:c r="M445" s="3" t="s">
        <x:v>172</x:v>
      </x:c>
      <x:c r="N445" s="3" t="s">
        <x:v>238</x:v>
      </x:c>
      <x:c r="O445" s="3" t="s">
        <x:v>239</x:v>
      </x:c>
      <x:c r="P445" s="3" t="s">
        <x:v>240</x:v>
      </x:c>
      <x:c r="Q445" s="3" t="s">
        <x:v>276</x:v>
      </x:c>
      <x:c r="R445" s="3" t="s">
        <x:v>344</x:v>
      </x:c>
      <x:c r="S445" s="3" t="s">
        <x:v>111</x:v>
      </x:c>
      <x:c r="T445" s="3" t="s">
        <x:v>111</x:v>
      </x:c>
      <x:c r="U445" s="3" t="s">
        <x:v>345</x:v>
      </x:c>
      <x:c r="V445" s="3" t="s">
        <x:v>178</x:v>
      </x:c>
      <x:c r="W445" s="3" t="s">
        <x:v>332</x:v>
      </x:c>
      <x:c r="X445" s="3" t="s">
        <x:v>180</x:v>
      </x:c>
      <x:c r="Y445" s="3" t="s">
        <x:v>333</x:v>
      </x:c>
      <x:c r="Z445" s="3" t="s">
        <x:v>346</x:v>
      </x:c>
      <x:c r="AA445" s="3" t="s">
        <x:v>118</x:v>
      </x:c>
      <x:c r="AB445" s="7" t="n">
        <x:v>46280.3104166667</x:v>
      </x:c>
      <x:c r="AC445" s="7" t="n">
        <x:v>46280.3138888889</x:v>
      </x:c>
      <x:c r="AD445" s="7" t="n">
        <x:v>46280.3194444444</x:v>
      </x:c>
      <x:c r="AE445" s="7" t="n">
        <x:v>46280.3395833333</x:v>
      </x:c>
      <x:c r="AF445" s="7" t="n">
        <x:v>46280.3868055556</x:v>
      </x:c>
      <x:c r="AG445" s="3" t="n">
        <x:v>42</x:v>
      </x:c>
      <x:c r="AH445" s="3" t="n">
        <x:v>64</x:v>
      </x:c>
      <x:c r="AI445" s="3" t="s">
        <x:v>135</x:v>
      </x:c>
      <x:c r="AJ445" s="3" t="s">
        <x:v>111</x:v>
      </x:c>
      <x:c r="AK445" s="3" t="n">
        <x:v>120</x:v>
      </x:c>
      <x:c r="AL445" s="3" t="n">
        <x:v>0</x:v>
      </x:c>
      <x:c r="AM445" s="8" t="n">
        <x:v>0.8833</x:v>
      </x:c>
      <x:c r="AN445" s="3" t="n">
        <x:v>2</x:v>
      </x:c>
      <x:c r="AO445" s="3" t="s">
        <x:v>19</x:v>
      </x:c>
      <x:c r="AP445" s="3" t="s">
        <x:v>964</x:v>
      </x:c>
      <x:c r="AQ445" s="3" t="s">
        <x:v>501</x:v>
      </x:c>
      <x:c r="AR445" s="9" t="n">
        <x:v>909.8</x:v>
      </x:c>
      <x:c r="AS445" s="3" t="s">
        <x:v>185</x:v>
      </x:c>
      <x:c r="AT445" s="7" t="n">
        <x:v>46301.9166666667</x:v>
      </x:c>
    </x:row>
    <x:row r="446" ht="31.299999237060547" hidden="0">
      <x:c r="A446" s="3" t="s">
        <x:v>969</x:v>
      </x:c>
      <x:c r="B446" s="3" t="s">
        <x:v>233</x:v>
      </x:c>
      <x:c r="C446" s="3" t="s">
        <x:v>234</x:v>
      </x:c>
      <x:c r="D446" s="3" t="s">
        <x:v>235</x:v>
      </x:c>
      <x:c r="E446" s="3" t="s">
        <x:v>249</x:v>
      </x:c>
      <x:c r="F446" s="3" t="s">
        <x:v>99</x:v>
      </x:c>
      <x:c r="G446" s="3" t="s">
        <x:v>447</x:v>
      </x:c>
      <x:c r="H446" s="3" t="s">
        <x:v>343</x:v>
      </x:c>
      <x:c r="I446" s="3" t="s">
        <x:v>102</x:v>
      </x:c>
      <x:c r="J446" s="3" t="s">
        <x:v>103</x:v>
      </x:c>
      <x:c r="K446" s="3" t="s">
        <x:v>104</x:v>
      </x:c>
      <x:c r="L446" s="3" t="s">
        <x:v>237</x:v>
      </x:c>
      <x:c r="M446" s="3" t="s">
        <x:v>172</x:v>
      </x:c>
      <x:c r="N446" s="3" t="s">
        <x:v>238</x:v>
      </x:c>
      <x:c r="O446" s="3" t="s">
        <x:v>239</x:v>
      </x:c>
      <x:c r="P446" s="3" t="s">
        <x:v>240</x:v>
      </x:c>
      <x:c r="Q446" s="3" t="s">
        <x:v>276</x:v>
      </x:c>
      <x:c r="R446" s="3" t="s">
        <x:v>344</x:v>
      </x:c>
      <x:c r="S446" s="3" t="s">
        <x:v>111</x:v>
      </x:c>
      <x:c r="T446" s="3" t="s">
        <x:v>111</x:v>
      </x:c>
      <x:c r="U446" s="3" t="s">
        <x:v>345</x:v>
      </x:c>
      <x:c r="V446" s="3" t="s">
        <x:v>178</x:v>
      </x:c>
      <x:c r="W446" s="3" t="s">
        <x:v>179</x:v>
      </x:c>
      <x:c r="X446" s="3" t="s">
        <x:v>180</x:v>
      </x:c>
      <x:c r="Y446" s="3" t="s">
        <x:v>414</x:v>
      </x:c>
      <x:c r="Z446" s="3" t="s">
        <x:v>346</x:v>
      </x:c>
      <x:c r="AA446" s="3" t="s">
        <x:v>118</x:v>
      </x:c>
      <x:c r="AB446" s="7" t="n">
        <x:v>46280.3444444445</x:v>
      </x:c>
      <x:c r="AC446" s="7" t="n">
        <x:v>46280.3472222222</x:v>
      </x:c>
      <x:c r="AD446" s="7" t="n">
        <x:v>46280.3506944444</x:v>
      </x:c>
      <x:c r="AE446" s="7" t="n">
        <x:v>46280.3715277778</x:v>
      </x:c>
      <x:c r="AF446" s="7" t="n">
        <x:v>46280.4305555556</x:v>
      </x:c>
      <x:c r="AG446" s="3" t="n">
        <x:v>39</x:v>
      </x:c>
      <x:c r="AH446" s="3" t="n">
        <x:v>75</x:v>
      </x:c>
      <x:c r="AI446" s="3" t="s">
        <x:v>135</x:v>
      </x:c>
      <x:c r="AJ446" s="3" t="s">
        <x:v>111</x:v>
      </x:c>
      <x:c r="AK446" s="3" t="n">
        <x:v>120</x:v>
      </x:c>
      <x:c r="AL446" s="3" t="n">
        <x:v>0</x:v>
      </x:c>
      <x:c r="AM446" s="8" t="n">
        <x:v>0.95</x:v>
      </x:c>
      <x:c r="AN446" s="3" t="n">
        <x:v>3</x:v>
      </x:c>
      <x:c r="AO446" s="3" t="s">
        <x:v>19</x:v>
      </x:c>
      <x:c r="AP446" s="3" t="s">
        <x:v>970</x:v>
      </x:c>
      <x:c r="AQ446" s="3" t="s">
        <x:v>971</x:v>
      </x:c>
      <x:c r="AR446" s="9" t="n">
        <x:v>1225.5</x:v>
      </x:c>
      <x:c r="AS446" s="3" t="s">
        <x:v>185</x:v>
      </x:c>
      <x:c r="AT446" s="7" t="n">
        <x:v>46301.9166666667</x:v>
      </x:c>
    </x:row>
    <x:row r="447" ht="31.299999237060547" hidden="0">
      <x:c r="A447" s="3" t="s">
        <x:v>972</x:v>
      </x:c>
      <x:c r="B447" s="3" t="s">
        <x:v>205</x:v>
      </x:c>
      <x:c r="C447" s="3" t="s">
        <x:v>206</x:v>
      </x:c>
      <x:c r="D447" s="3" t="s">
        <x:v>207</x:v>
      </x:c>
      <x:c r="E447" s="3" t="s">
        <x:v>249</x:v>
      </x:c>
      <x:c r="F447" s="3" t="s">
        <x:v>127</x:v>
      </x:c>
      <x:c r="G447" s="3" t="s">
        <x:v>416</x:v>
      </x:c>
      <x:c r="H447" s="3" t="s">
        <x:v>339</x:v>
      </x:c>
      <x:c r="I447" s="3" t="s">
        <x:v>102</x:v>
      </x:c>
      <x:c r="J447" s="3" t="s">
        <x:v>103</x:v>
      </x:c>
      <x:c r="K447" s="3" t="s">
        <x:v>104</x:v>
      </x:c>
      <x:c r="L447" s="3" t="s">
        <x:v>209</x:v>
      </x:c>
      <x:c r="M447" s="3" t="s">
        <x:v>210</x:v>
      </x:c>
      <x:c r="N447" s="3" t="s">
        <x:v>211</x:v>
      </x:c>
      <x:c r="O447" s="3" t="s">
        <x:v>212</x:v>
      </x:c>
      <x:c r="P447" s="3" t="s">
        <x:v>213</x:v>
      </x:c>
      <x:c r="Q447" s="3" t="s">
        <x:v>254</x:v>
      </x:c>
      <x:c r="R447" s="3" t="s">
        <x:v>373</x:v>
      </x:c>
      <x:c r="S447" s="3" t="s">
        <x:v>135</x:v>
      </x:c>
      <x:c r="T447" s="3" t="s">
        <x:v>111</x:v>
      </x:c>
      <x:c r="U447" s="3" t="s">
        <x:v>374</x:v>
      </x:c>
      <x:c r="V447" s="3" t="s">
        <x:v>178</x:v>
      </x:c>
      <x:c r="W447" s="3" t="s">
        <x:v>355</x:v>
      </x:c>
      <x:c r="X447" s="3" t="s">
        <x:v>180</x:v>
      </x:c>
      <x:c r="Y447" s="3" t="s">
        <x:v>356</x:v>
      </x:c>
      <x:c r="Z447" s="3" t="s">
        <x:v>375</x:v>
      </x:c>
      <x:c r="AA447" s="3" t="s">
        <x:v>118</x:v>
      </x:c>
      <x:c r="AB447" s="7" t="n">
        <x:v>46280.375</x:v>
      </x:c>
      <x:c r="AC447" s="7" t="n">
        <x:v>46280.3798611111</x:v>
      </x:c>
      <x:c r="AD447" s="7" t="n">
        <x:v>46280.3840277778</x:v>
      </x:c>
      <x:c r="AE447" s="7" t="n">
        <x:v>46280.4166666667</x:v>
      </x:c>
      <x:c r="AF447" s="7" t="n">
        <x:v>46280.4416666667</x:v>
      </x:c>
      <x:c r="AG447" s="3" t="n">
        <x:v>60</x:v>
      </x:c>
      <x:c r="AH447" s="3" t="n">
        <x:v>30</x:v>
      </x:c>
      <x:c r="AI447" s="3" t="s">
        <x:v>135</x:v>
      </x:c>
      <x:c r="AJ447" s="3" t="s">
        <x:v>135</x:v>
      </x:c>
      <x:c r="AK447" s="3" t="n">
        <x:v>180</x:v>
      </x:c>
      <x:c r="AL447" s="3" t="n">
        <x:v>0</x:v>
      </x:c>
      <x:c r="AM447" s="8" t="n">
        <x:v>0.5</x:v>
      </x:c>
      <x:c r="AN447" s="3" t="n">
        <x:v>2</x:v>
      </x:c>
      <x:c r="AO447" s="3" t="s">
        <x:v>14</x:v>
      </x:c>
      <x:c r="AP447" s="3" t="s">
        <x:v>573</x:v>
      </x:c>
      <x:c r="AQ447" s="3" t="s">
        <x:v>697</x:v>
      </x:c>
      <x:c r="AR447" s="9" t="n">
        <x:v>746</x:v>
      </x:c>
      <x:c r="AS447" s="3" t="s">
        <x:v>185</x:v>
      </x:c>
      <x:c r="AT447" s="7" t="n">
        <x:v>46301.9166666667</x:v>
      </x:c>
    </x:row>
    <x:row r="448" ht="31.299999237060547" hidden="0">
      <x:c r="A448" s="3" t="s">
        <x:v>973</x:v>
      </x:c>
      <x:c r="B448" s="3" t="s">
        <x:v>205</x:v>
      </x:c>
      <x:c r="C448" s="3" t="s">
        <x:v>206</x:v>
      </x:c>
      <x:c r="D448" s="3" t="s">
        <x:v>207</x:v>
      </x:c>
      <x:c r="E448" s="3" t="s">
        <x:v>249</x:v>
      </x:c>
      <x:c r="F448" s="3" t="s">
        <x:v>169</x:v>
      </x:c>
      <x:c r="G448" s="3" t="s">
        <x:v>379</x:v>
      </x:c>
      <x:c r="H448" s="3" t="s">
        <x:v>339</x:v>
      </x:c>
      <x:c r="I448" s="3" t="s">
        <x:v>102</x:v>
      </x:c>
      <x:c r="J448" s="3" t="s">
        <x:v>103</x:v>
      </x:c>
      <x:c r="K448" s="3" t="s">
        <x:v>104</x:v>
      </x:c>
      <x:c r="L448" s="3" t="s">
        <x:v>209</x:v>
      </x:c>
      <x:c r="M448" s="3" t="s">
        <x:v>210</x:v>
      </x:c>
      <x:c r="N448" s="3" t="s">
        <x:v>211</x:v>
      </x:c>
      <x:c r="O448" s="3" t="s">
        <x:v>212</x:v>
      </x:c>
      <x:c r="P448" s="3" t="s">
        <x:v>213</x:v>
      </x:c>
      <x:c r="Q448" s="3" t="s">
        <x:v>254</x:v>
      </x:c>
      <x:c r="R448" s="3" t="s">
        <x:v>380</x:v>
      </x:c>
      <x:c r="S448" s="3" t="s">
        <x:v>111</x:v>
      </x:c>
      <x:c r="T448" s="3" t="s">
        <x:v>111</x:v>
      </x:c>
      <x:c r="U448" s="3" t="s">
        <x:v>381</x:v>
      </x:c>
      <x:c r="V448" s="3" t="s">
        <x:v>312</x:v>
      </x:c>
      <x:c r="W448" s="3" t="s">
        <x:v>382</x:v>
      </x:c>
      <x:c r="X448" s="3" t="s">
        <x:v>314</x:v>
      </x:c>
      <x:c r="Y448" s="3" t="s">
        <x:v>383</x:v>
      </x:c>
      <x:c r="Z448" s="3" t="s">
        <x:v>384</x:v>
      </x:c>
      <x:c r="AA448" s="3" t="s">
        <x:v>385</x:v>
      </x:c>
      <x:c r="AB448" s="7" t="n">
        <x:v>46280.3784722222</x:v>
      </x:c>
      <x:c r="AC448" s="7" t="n">
        <x:v>46280.3798611111</x:v>
      </x:c>
      <x:c r="AD448" s="7" t="n">
        <x:v>46280.3854166667</x:v>
      </x:c>
      <x:c r="AE448" s="7" t="n">
        <x:v>46280.4020833333</x:v>
      </x:c>
      <x:c r="AF448" s="7" t="n">
        <x:v>46280.4347222222</x:v>
      </x:c>
      <x:c r="AG448" s="3" t="n">
        <x:v>34</x:v>
      </x:c>
      <x:c r="AH448" s="3" t="n">
        <x:v>43</x:v>
      </x:c>
      <x:c r="AI448" s="3" t="s">
        <x:v>135</x:v>
      </x:c>
      <x:c r="AJ448" s="3" t="s">
        <x:v>135</x:v>
      </x:c>
      <x:c r="AK448" s="3" t="n">
        <x:v>120</x:v>
      </x:c>
      <x:c r="AL448" s="3" t="n">
        <x:v>0</x:v>
      </x:c>
      <x:c r="AM448" s="8" t="n">
        <x:v>0.6417</x:v>
      </x:c>
      <x:c r="AN448" s="3" t="n">
        <x:v>1</x:v>
      </x:c>
      <x:c r="AO448" s="3" t="s">
        <x:v>14</x:v>
      </x:c>
      <x:c r="AP448" s="3" t="s">
        <x:v>471</x:v>
      </x:c>
      <x:c r="AQ448" s="3" t="s">
        <x:v>697</x:v>
      </x:c>
      <x:c r="AR448" s="9" t="n">
        <x:v>722.6</x:v>
      </x:c>
      <x:c r="AS448" s="3" t="s">
        <x:v>185</x:v>
      </x:c>
      <x:c r="AT448" s="7" t="n">
        <x:v>46301.9166666667</x:v>
      </x:c>
    </x:row>
    <x:row r="449" ht="31.299999237060547" hidden="0">
      <x:c r="A449" s="3" t="s">
        <x:v>974</x:v>
      </x:c>
      <x:c r="B449" s="3" t="s">
        <x:v>123</x:v>
      </x:c>
      <x:c r="C449" s="3" t="s">
        <x:v>124</x:v>
      </x:c>
      <x:c r="D449" s="3" t="s">
        <x:v>125</x:v>
      </x:c>
      <x:c r="E449" s="3" t="s">
        <x:v>249</x:v>
      </x:c>
      <x:c r="F449" s="3" t="s">
        <x:v>169</x:v>
      </x:c>
      <x:c r="G449" s="3" t="s">
        <x:v>388</x:v>
      </x:c>
      <x:c r="H449" s="3" t="s">
        <x:v>339</x:v>
      </x:c>
      <x:c r="I449" s="3" t="s">
        <x:v>102</x:v>
      </x:c>
      <x:c r="J449" s="3" t="s">
        <x:v>103</x:v>
      </x:c>
      <x:c r="K449" s="3" t="s">
        <x:v>104</x:v>
      </x:c>
      <x:c r="L449" s="3" t="s">
        <x:v>129</x:v>
      </x:c>
      <x:c r="M449" s="3" t="s">
        <x:v>130</x:v>
      </x:c>
      <x:c r="N449" s="3" t="s">
        <x:v>131</x:v>
      </x:c>
      <x:c r="O449" s="3" t="s">
        <x:v>132</x:v>
      </x:c>
      <x:c r="P449" s="3" t="s">
        <x:v>133</x:v>
      </x:c>
      <x:c r="Q449" s="3" t="s">
        <x:v>268</x:v>
      </x:c>
      <x:c r="R449" s="3" t="s">
        <x:v>110</x:v>
      </x:c>
      <x:c r="S449" s="3" t="s">
        <x:v>111</x:v>
      </x:c>
      <x:c r="T449" s="3" t="s">
        <x:v>111</x:v>
      </x:c>
      <x:c r="U449" s="3" t="s">
        <x:v>112</x:v>
      </x:c>
      <x:c r="V449" s="3" t="s">
        <x:v>113</x:v>
      </x:c>
      <x:c r="W449" s="3" t="s">
        <x:v>419</x:v>
      </x:c>
      <x:c r="X449" s="3" t="s">
        <x:v>115</x:v>
      </x:c>
      <x:c r="Y449" s="3" t="s">
        <x:v>420</x:v>
      </x:c>
      <x:c r="Z449" s="3" t="s">
        <x:v>117</x:v>
      </x:c>
      <x:c r="AA449" s="3" t="s">
        <x:v>118</x:v>
      </x:c>
      <x:c r="AB449" s="7" t="n">
        <x:v>46280.3979166667</x:v>
      </x:c>
      <x:c r="AC449" s="7" t="n">
        <x:v>46280.4</x:v>
      </x:c>
      <x:c r="AD449" s="7" t="n">
        <x:v>46280.4041666667</x:v>
      </x:c>
      <x:c r="AE449" s="7" t="n">
        <x:v>46280.4194444444</x:v>
      </x:c>
      <x:c r="AF449" s="7" t="n">
        <x:v>46280.4534722222</x:v>
      </x:c>
      <x:c r="AG449" s="3" t="n">
        <x:v>31</x:v>
      </x:c>
      <x:c r="AH449" s="3" t="n">
        <x:v>44</x:v>
      </x:c>
      <x:c r="AI449" s="3" t="s">
        <x:v>135</x:v>
      </x:c>
      <x:c r="AJ449" s="3" t="s">
        <x:v>135</x:v>
      </x:c>
      <x:c r="AK449" s="3" t="n">
        <x:v>120</x:v>
      </x:c>
      <x:c r="AL449" s="3" t="n">
        <x:v>0</x:v>
      </x:c>
      <x:c r="AM449" s="8" t="n">
        <x:v>0.625</x:v>
      </x:c>
      <x:c r="AN449" s="3" t="n">
        <x:v>1</x:v>
      </x:c>
      <x:c r="AO449" s="3" t="s">
        <x:v>14</x:v>
      </x:c>
      <x:c r="AP449" s="3" t="s">
        <x:v>471</x:v>
      </x:c>
      <x:c r="AQ449" s="3" t="s">
        <x:v>472</x:v>
      </x:c>
      <x:c r="AR449" s="9" t="n">
        <x:v>716.3</x:v>
      </x:c>
      <x:c r="AS449" s="3" t="s">
        <x:v>121</x:v>
      </x:c>
      <x:c r="AT449" s="7" t="n">
        <x:v>46301.9166666667</x:v>
      </x:c>
    </x:row>
    <x:row r="450" ht="31.299999237060547" hidden="0">
      <x:c r="A450" s="3" t="s">
        <x:v>975</x:v>
      </x:c>
      <x:c r="B450" s="3" t="s">
        <x:v>222</x:v>
      </x:c>
      <x:c r="C450" s="3" t="s">
        <x:v>223</x:v>
      </x:c>
      <x:c r="D450" s="3" t="s">
        <x:v>224</x:v>
      </x:c>
      <x:c r="E450" s="3" t="s">
        <x:v>249</x:v>
      </x:c>
      <x:c r="F450" s="3" t="s">
        <x:v>169</x:v>
      </x:c>
      <x:c r="G450" s="3" t="s">
        <x:v>372</x:v>
      </x:c>
      <x:c r="H450" s="3" t="s">
        <x:v>101</x:v>
      </x:c>
      <x:c r="I450" s="3" t="s">
        <x:v>102</x:v>
      </x:c>
      <x:c r="J450" s="3" t="s">
        <x:v>103</x:v>
      </x:c>
      <x:c r="K450" s="3" t="s">
        <x:v>104</x:v>
      </x:c>
      <x:c r="L450" s="3" t="s">
        <x:v>226</x:v>
      </x:c>
      <x:c r="M450" s="3" t="s">
        <x:v>227</x:v>
      </x:c>
      <x:c r="N450" s="3" t="s">
        <x:v>228</x:v>
      </x:c>
      <x:c r="O450" s="3" t="s">
        <x:v>229</x:v>
      </x:c>
      <x:c r="P450" s="3" t="s">
        <x:v>230</x:v>
      </x:c>
      <x:c r="Q450" s="3" t="s">
        <x:v>274</x:v>
      </x:c>
      <x:c r="R450" s="3" t="s">
        <x:v>373</x:v>
      </x:c>
      <x:c r="S450" s="3" t="s">
        <x:v>135</x:v>
      </x:c>
      <x:c r="T450" s="3" t="s">
        <x:v>111</x:v>
      </x:c>
      <x:c r="U450" s="3" t="s">
        <x:v>374</x:v>
      </x:c>
      <x:c r="V450" s="3" t="s">
        <x:v>178</x:v>
      </x:c>
      <x:c r="W450" s="3" t="s">
        <x:v>179</x:v>
      </x:c>
      <x:c r="X450" s="3" t="s">
        <x:v>180</x:v>
      </x:c>
      <x:c r="Y450" s="3" t="s">
        <x:v>414</x:v>
      </x:c>
      <x:c r="Z450" s="3" t="s">
        <x:v>375</x:v>
      </x:c>
      <x:c r="AA450" s="3" t="s">
        <x:v>118</x:v>
      </x:c>
      <x:c r="AB450" s="7" t="n">
        <x:v>46280.4104166667</x:v>
      </x:c>
      <x:c r="AC450" s="7" t="n">
        <x:v>46280.4131944444</x:v>
      </x:c>
      <x:c r="AD450" s="7" t="n">
        <x:v>46280.4159722222</x:v>
      </x:c>
      <x:c r="AE450" s="7" t="n">
        <x:v>46280.4361111111</x:v>
      </x:c>
      <x:c r="AF450" s="7" t="n">
        <x:v>46280.4770833333</x:v>
      </x:c>
      <x:c r="AG450" s="3" t="n">
        <x:v>37</x:v>
      </x:c>
      <x:c r="AH450" s="3" t="n">
        <x:v>53</x:v>
      </x:c>
      <x:c r="AI450" s="3" t="s">
        <x:v>135</x:v>
      </x:c>
      <x:c r="AJ450" s="3" t="s">
        <x:v>135</x:v>
      </x:c>
      <x:c r="AK450" s="3" t="n">
        <x:v>180</x:v>
      </x:c>
      <x:c r="AL450" s="3" t="n">
        <x:v>0</x:v>
      </x:c>
      <x:c r="AM450" s="8" t="n">
        <x:v>0.5</x:v>
      </x:c>
      <x:c r="AN450" s="3" t="n">
        <x:v>0</x:v>
      </x:c>
      <x:c r="AO450" s="3" t="s">
        <x:v>9</x:v>
      </x:c>
      <x:c r="AP450" s="3" t="s">
        <x:v>142</x:v>
      </x:c>
      <x:c r="AQ450" s="3" t="s">
        <x:v>452</x:v>
      </x:c>
      <x:c r="AR450" s="9" t="n">
        <x:v>808.1</x:v>
      </x:c>
      <x:c r="AS450" s="3" t="s">
        <x:v>121</x:v>
      </x:c>
      <x:c r="AT450" s="7" t="n">
        <x:v>46301.9166666667</x:v>
      </x:c>
    </x:row>
    <x:row r="451" ht="31.299999237060547" hidden="0">
      <x:c r="A451" s="3" t="s">
        <x:v>976</x:v>
      </x:c>
      <x:c r="B451" s="3" t="s">
        <x:v>166</x:v>
      </x:c>
      <x:c r="C451" s="3" t="s">
        <x:v>167</x:v>
      </x:c>
      <x:c r="D451" s="3" t="s">
        <x:v>168</x:v>
      </x:c>
      <x:c r="E451" s="3" t="s">
        <x:v>249</x:v>
      </x:c>
      <x:c r="F451" s="3" t="s">
        <x:v>99</x:v>
      </x:c>
      <x:c r="G451" s="3" t="s">
        <x:v>623</x:v>
      </x:c>
      <x:c r="H451" s="3" t="s">
        <x:v>101</x:v>
      </x:c>
      <x:c r="I451" s="3" t="s">
        <x:v>102</x:v>
      </x:c>
      <x:c r="J451" s="3" t="s">
        <x:v>103</x:v>
      </x:c>
      <x:c r="K451" s="3" t="s">
        <x:v>104</x:v>
      </x:c>
      <x:c r="L451" s="3" t="s">
        <x:v>171</x:v>
      </x:c>
      <x:c r="M451" s="3" t="s">
        <x:v>172</x:v>
      </x:c>
      <x:c r="N451" s="3" t="s">
        <x:v>173</x:v>
      </x:c>
      <x:c r="O451" s="3" t="s">
        <x:v>174</x:v>
      </x:c>
      <x:c r="P451" s="3" t="s">
        <x:v>175</x:v>
      </x:c>
      <x:c r="Q451" s="3" t="s">
        <x:v>271</x:v>
      </x:c>
      <x:c r="R451" s="3" t="s">
        <x:v>176</x:v>
      </x:c>
      <x:c r="S451" s="3" t="s">
        <x:v>135</x:v>
      </x:c>
      <x:c r="T451" s="3" t="s">
        <x:v>135</x:v>
      </x:c>
      <x:c r="U451" s="3" t="s">
        <x:v>177</x:v>
      </x:c>
      <x:c r="V451" s="3" t="s">
        <x:v>178</x:v>
      </x:c>
      <x:c r="W451" s="3" t="s">
        <x:v>355</x:v>
      </x:c>
      <x:c r="X451" s="3" t="s">
        <x:v>180</x:v>
      </x:c>
      <x:c r="Y451" s="3" t="s">
        <x:v>356</x:v>
      </x:c>
      <x:c r="Z451" s="3" t="s">
        <x:v>182</x:v>
      </x:c>
      <x:c r="AA451" s="3" t="s">
        <x:v>118</x:v>
      </x:c>
      <x:c r="AB451" s="7" t="n">
        <x:v>46280.4194444444</x:v>
      </x:c>
      <x:c r="AC451" s="7" t="n">
        <x:v>46280.4236111111</x:v>
      </x:c>
      <x:c r="AD451" s="7" t="n">
        <x:v>46280.425</x:v>
      </x:c>
      <x:c r="AE451" s="7" t="n">
        <x:v>46280.4381944445</x:v>
      </x:c>
      <x:c r="AF451" s="7" t="n">
        <x:v>46280.4826388889</x:v>
      </x:c>
      <x:c r="AG451" s="3" t="n">
        <x:v>27</x:v>
      </x:c>
      <x:c r="AH451" s="3" t="n">
        <x:v>55</x:v>
      </x:c>
      <x:c r="AI451" s="3" t="s">
        <x:v>135</x:v>
      </x:c>
      <x:c r="AJ451" s="3" t="s">
        <x:v>135</x:v>
      </x:c>
      <x:c r="AK451" s="3" t="n">
        <x:v>150</x:v>
      </x:c>
      <x:c r="AL451" s="3" t="n">
        <x:v>0</x:v>
      </x:c>
      <x:c r="AM451" s="8" t="n">
        <x:v>0.5467</x:v>
      </x:c>
      <x:c r="AN451" s="3" t="n">
        <x:v>0</x:v>
      </x:c>
      <x:c r="AO451" s="3" t="s">
        <x:v>9</x:v>
      </x:c>
      <x:c r="AP451" s="3" t="s">
        <x:v>142</x:v>
      </x:c>
      <x:c r="AQ451" s="3" t="s">
        <x:v>361</x:v>
      </x:c>
      <x:c r="AR451" s="9" t="n">
        <x:v>1157.5</x:v>
      </x:c>
      <x:c r="AS451" s="3" t="s">
        <x:v>121</x:v>
      </x:c>
      <x:c r="AT451" s="7" t="n">
        <x:v>46301.9166666667</x:v>
      </x:c>
    </x:row>
    <x:row r="452" ht="31.299999237060547" hidden="0">
      <x:c r="A452" s="3" t="s">
        <x:v>977</x:v>
      </x:c>
      <x:c r="B452" s="3" t="s">
        <x:v>397</x:v>
      </x:c>
      <x:c r="C452" s="3" t="s">
        <x:v>398</x:v>
      </x:c>
      <x:c r="D452" s="3" t="s">
        <x:v>399</x:v>
      </x:c>
      <x:c r="E452" s="3" t="s">
        <x:v>249</x:v>
      </x:c>
      <x:c r="F452" s="3" t="s">
        <x:v>149</x:v>
      </x:c>
      <x:c r="G452" s="3" t="s">
        <x:v>390</x:v>
      </x:c>
      <x:c r="H452" s="3" t="s">
        <x:v>301</x:v>
      </x:c>
      <x:c r="I452" s="3" t="s">
        <x:v>302</x:v>
      </x:c>
      <x:c r="J452" s="3" t="s">
        <x:v>303</x:v>
      </x:c>
      <x:c r="K452" s="3" t="s">
        <x:v>104</x:v>
      </x:c>
      <x:c r="L452" s="3" t="s">
        <x:v>401</x:v>
      </x:c>
      <x:c r="M452" s="3" t="s">
        <x:v>402</x:v>
      </x:c>
      <x:c r="N452" s="3" t="s">
        <x:v>403</x:v>
      </x:c>
      <x:c r="O452" s="3" t="s">
        <x:v>404</x:v>
      </x:c>
      <x:c r="P452" s="3" t="s">
        <x:v>405</x:v>
      </x:c>
      <x:c r="Q452" s="3" t="s">
        <x:v>406</x:v>
      </x:c>
      <x:c r="R452" s="3" t="s">
        <x:v>391</x:v>
      </x:c>
      <x:c r="S452" s="3" t="s">
        <x:v>135</x:v>
      </x:c>
      <x:c r="T452" s="3" t="s">
        <x:v>135</x:v>
      </x:c>
      <x:c r="U452" s="3" t="s">
        <x:v>392</x:v>
      </x:c>
      <x:c r="V452" s="3" t="s">
        <x:v>312</x:v>
      </x:c>
      <x:c r="W452" s="3" t="s">
        <x:v>382</x:v>
      </x:c>
      <x:c r="X452" s="3" t="s">
        <x:v>314</x:v>
      </x:c>
      <x:c r="Y452" s="3" t="s">
        <x:v>383</x:v>
      </x:c>
      <x:c r="Z452" s="3" t="s">
        <x:v>393</x:v>
      </x:c>
      <x:c r="AA452" s="3" t="s">
        <x:v>394</x:v>
      </x:c>
      <x:c r="AB452" s="7" t="n">
        <x:v>46280.4402777778</x:v>
      </x:c>
      <x:c r="AC452" s="7" t="n">
        <x:v>46280.4430555556</x:v>
      </x:c>
      <x:c r="AD452" s="7" t="n">
        <x:v>46280.4465277778</x:v>
      </x:c>
      <x:c r="AE452" s="7" t="n">
        <x:v>46280.4597222222</x:v>
      </x:c>
      <x:c r="AF452" s="7" t="n">
        <x:v>46280.4923611111</x:v>
      </x:c>
      <x:c r="AG452" s="3" t="n">
        <x:v>28</x:v>
      </x:c>
      <x:c r="AH452" s="3" t="n">
        <x:v>40</x:v>
      </x:c>
      <x:c r="AI452" s="3" t="s">
        <x:v>135</x:v>
      </x:c>
      <x:c r="AJ452" s="3" t="s">
        <x:v>135</x:v>
      </x:c>
      <x:c r="AK452" s="3" t="n">
        <x:v>180</x:v>
      </x:c>
      <x:c r="AL452" s="3" t="n">
        <x:v>0</x:v>
      </x:c>
      <x:c r="AM452" s="8" t="n">
        <x:v>0.3778</x:v>
      </x:c>
      <x:c r="AN452" s="3" t="n">
        <x:v>4</x:v>
      </x:c>
      <x:c r="AO452" s="3" t="s">
        <x:v>14</x:v>
      </x:c>
      <x:c r="AP452" s="3" t="s">
        <x:v>889</x:v>
      </x:c>
      <x:c r="AQ452" s="3" t="s">
        <x:v>832</x:v>
      </x:c>
      <x:c r="AR452" s="9" t="n">
        <x:v>924</x:v>
      </x:c>
      <x:c r="AS452" s="3" t="s">
        <x:v>185</x:v>
      </x:c>
      <x:c r="AT452" s="7" t="n">
        <x:v>46301.9166666667</x:v>
      </x:c>
    </x:row>
    <x:row r="453" ht="31.299999237060547" hidden="0">
      <x:c r="A453" s="3" t="s">
        <x:v>978</x:v>
      </x:c>
      <x:c r="B453" s="3" t="s">
        <x:v>146</x:v>
      </x:c>
      <x:c r="C453" s="3" t="s">
        <x:v>147</x:v>
      </x:c>
      <x:c r="D453" s="3" t="s">
        <x:v>148</x:v>
      </x:c>
      <x:c r="E453" s="3" t="s">
        <x:v>249</x:v>
      </x:c>
      <x:c r="F453" s="3" t="s">
        <x:v>149</x:v>
      </x:c>
      <x:c r="G453" s="3" t="s">
        <x:v>486</x:v>
      </x:c>
      <x:c r="H453" s="3" t="s">
        <x:v>101</x:v>
      </x:c>
      <x:c r="I453" s="3" t="s">
        <x:v>102</x:v>
      </x:c>
      <x:c r="J453" s="3" t="s">
        <x:v>103</x:v>
      </x:c>
      <x:c r="K453" s="3" t="s">
        <x:v>104</x:v>
      </x:c>
      <x:c r="L453" s="3" t="s">
        <x:v>151</x:v>
      </x:c>
      <x:c r="M453" s="3" t="s">
        <x:v>152</x:v>
      </x:c>
      <x:c r="N453" s="3" t="s">
        <x:v>153</x:v>
      </x:c>
      <x:c r="O453" s="3" t="s">
        <x:v>154</x:v>
      </x:c>
      <x:c r="P453" s="3" t="s">
        <x:v>155</x:v>
      </x:c>
      <x:c r="Q453" s="3" t="s">
        <x:v>270</x:v>
      </x:c>
      <x:c r="R453" s="3" t="s">
        <x:v>176</x:v>
      </x:c>
      <x:c r="S453" s="3" t="s">
        <x:v>135</x:v>
      </x:c>
      <x:c r="T453" s="3" t="s">
        <x:v>135</x:v>
      </x:c>
      <x:c r="U453" s="3" t="s">
        <x:v>177</x:v>
      </x:c>
      <x:c r="V453" s="3" t="s">
        <x:v>178</x:v>
      </x:c>
      <x:c r="W453" s="3" t="s">
        <x:v>179</x:v>
      </x:c>
      <x:c r="X453" s="3" t="s">
        <x:v>180</x:v>
      </x:c>
      <x:c r="Y453" s="3" t="s">
        <x:v>414</x:v>
      </x:c>
      <x:c r="Z453" s="3" t="s">
        <x:v>182</x:v>
      </x:c>
      <x:c r="AA453" s="3" t="s">
        <x:v>118</x:v>
      </x:c>
      <x:c r="AB453" s="7" t="n">
        <x:v>46280.5138888889</x:v>
      </x:c>
      <x:c r="AC453" s="7" t="n">
        <x:v>46280.5180555556</x:v>
      </x:c>
      <x:c r="AD453" s="7" t="n">
        <x:v>46280.5208333333</x:v>
      </x:c>
      <x:c r="AE453" s="7" t="n">
        <x:v>46280.5354166667</x:v>
      </x:c>
      <x:c r="AF453" s="7" t="n">
        <x:v>46280.5611111111</x:v>
      </x:c>
      <x:c r="AG453" s="3" t="n">
        <x:v>31</x:v>
      </x:c>
      <x:c r="AH453" s="3" t="n">
        <x:v>34</x:v>
      </x:c>
      <x:c r="AI453" s="3" t="s">
        <x:v>135</x:v>
      </x:c>
      <x:c r="AJ453" s="3" t="s">
        <x:v>135</x:v>
      </x:c>
      <x:c r="AK453" s="3" t="n">
        <x:v>180</x:v>
      </x:c>
      <x:c r="AL453" s="3" t="n">
        <x:v>0</x:v>
      </x:c>
      <x:c r="AM453" s="8" t="n">
        <x:v>0.3611</x:v>
      </x:c>
      <x:c r="AN453" s="3" t="n">
        <x:v>0</x:v>
      </x:c>
      <x:c r="AO453" s="3" t="s">
        <x:v>9</x:v>
      </x:c>
      <x:c r="AP453" s="3" t="s">
        <x:v>142</x:v>
      </x:c>
      <x:c r="AQ453" s="3" t="s">
        <x:v>459</x:v>
      </x:c>
      <x:c r="AR453" s="9" t="n">
        <x:v>644.3</x:v>
      </x:c>
      <x:c r="AS453" s="3" t="s">
        <x:v>144</x:v>
      </x:c>
      <x:c r="AT453" s="7" t="n">
        <x:v>46301.9166666667</x:v>
      </x:c>
    </x:row>
    <x:row r="454" ht="31.299999237060547" hidden="0">
      <x:c r="A454" s="3" t="s">
        <x:v>979</x:v>
      </x:c>
      <x:c r="B454" s="3" t="s">
        <x:v>166</x:v>
      </x:c>
      <x:c r="C454" s="3" t="s">
        <x:v>167</x:v>
      </x:c>
      <x:c r="D454" s="3" t="s">
        <x:v>168</x:v>
      </x:c>
      <x:c r="E454" s="3" t="s">
        <x:v>249</x:v>
      </x:c>
      <x:c r="F454" s="3" t="s">
        <x:v>99</x:v>
      </x:c>
      <x:c r="G454" s="3" t="s">
        <x:v>447</x:v>
      </x:c>
      <x:c r="H454" s="3" t="s">
        <x:v>343</x:v>
      </x:c>
      <x:c r="I454" s="3" t="s">
        <x:v>102</x:v>
      </x:c>
      <x:c r="J454" s="3" t="s">
        <x:v>103</x:v>
      </x:c>
      <x:c r="K454" s="3" t="s">
        <x:v>104</x:v>
      </x:c>
      <x:c r="L454" s="3" t="s">
        <x:v>171</x:v>
      </x:c>
      <x:c r="M454" s="3" t="s">
        <x:v>172</x:v>
      </x:c>
      <x:c r="N454" s="3" t="s">
        <x:v>173</x:v>
      </x:c>
      <x:c r="O454" s="3" t="s">
        <x:v>174</x:v>
      </x:c>
      <x:c r="P454" s="3" t="s">
        <x:v>175</x:v>
      </x:c>
      <x:c r="Q454" s="3" t="s">
        <x:v>271</x:v>
      </x:c>
      <x:c r="R454" s="3" t="s">
        <x:v>344</x:v>
      </x:c>
      <x:c r="S454" s="3" t="s">
        <x:v>111</x:v>
      </x:c>
      <x:c r="T454" s="3" t="s">
        <x:v>111</x:v>
      </x:c>
      <x:c r="U454" s="3" t="s">
        <x:v>345</x:v>
      </x:c>
      <x:c r="V454" s="3" t="s">
        <x:v>178</x:v>
      </x:c>
      <x:c r="W454" s="3" t="s">
        <x:v>332</x:v>
      </x:c>
      <x:c r="X454" s="3" t="s">
        <x:v>180</x:v>
      </x:c>
      <x:c r="Y454" s="3" t="s">
        <x:v>333</x:v>
      </x:c>
      <x:c r="Z454" s="3" t="s">
        <x:v>346</x:v>
      </x:c>
      <x:c r="AA454" s="3" t="s">
        <x:v>118</x:v>
      </x:c>
      <x:c r="AB454" s="7" t="n">
        <x:v>46280.5430555556</x:v>
      </x:c>
      <x:c r="AC454" s="7" t="n">
        <x:v>46280.5458333333</x:v>
      </x:c>
      <x:c r="AD454" s="7" t="n">
        <x:v>46280.5520833333</x:v>
      </x:c>
      <x:c r="AE454" s="7" t="n">
        <x:v>46280.5604166667</x:v>
      </x:c>
      <x:c r="AF454" s="7" t="n">
        <x:v>46280.6090277778</x:v>
      </x:c>
      <x:c r="AG454" s="3" t="n">
        <x:v>25</x:v>
      </x:c>
      <x:c r="AH454" s="3" t="n">
        <x:v>60</x:v>
      </x:c>
      <x:c r="AI454" s="3" t="s">
        <x:v>135</x:v>
      </x:c>
      <x:c r="AJ454" s="3" t="s">
        <x:v>135</x:v>
      </x:c>
      <x:c r="AK454" s="3" t="n">
        <x:v>120</x:v>
      </x:c>
      <x:c r="AL454" s="3" t="n">
        <x:v>0</x:v>
      </x:c>
      <x:c r="AM454" s="8" t="n">
        <x:v>0.7083</x:v>
      </x:c>
      <x:c r="AN454" s="3" t="n">
        <x:v>2</x:v>
      </x:c>
      <x:c r="AO454" s="3" t="s">
        <x:v>14</x:v>
      </x:c>
      <x:c r="AP454" s="3" t="s">
        <x:v>717</x:v>
      </x:c>
      <x:c r="AQ454" s="3" t="s">
        <x:v>501</x:v>
      </x:c>
      <x:c r="AR454" s="9" t="n">
        <x:v>1184.5</x:v>
      </x:c>
      <x:c r="AS454" s="3" t="s">
        <x:v>121</x:v>
      </x:c>
      <x:c r="AT454" s="7" t="n">
        <x:v>46301.9166666667</x:v>
      </x:c>
    </x:row>
    <x:row r="455" ht="31.299999237060547" hidden="0">
      <x:c r="A455" s="3" t="s">
        <x:v>980</x:v>
      </x:c>
      <x:c r="B455" s="3" t="s">
        <x:v>297</x:v>
      </x:c>
      <x:c r="C455" s="3" t="s">
        <x:v>298</x:v>
      </x:c>
      <x:c r="D455" s="3" t="s">
        <x:v>299</x:v>
      </x:c>
      <x:c r="E455" s="3" t="s">
        <x:v>249</x:v>
      </x:c>
      <x:c r="F455" s="3" t="s">
        <x:v>149</x:v>
      </x:c>
      <x:c r="G455" s="3" t="s">
        <x:v>324</x:v>
      </x:c>
      <x:c r="H455" s="3" t="s">
        <x:v>301</x:v>
      </x:c>
      <x:c r="I455" s="3" t="s">
        <x:v>302</x:v>
      </x:c>
      <x:c r="J455" s="3" t="s">
        <x:v>303</x:v>
      </x:c>
      <x:c r="K455" s="3" t="s">
        <x:v>104</x:v>
      </x:c>
      <x:c r="L455" s="3" t="s">
        <x:v>304</x:v>
      </x:c>
      <x:c r="M455" s="3" t="s">
        <x:v>305</x:v>
      </x:c>
      <x:c r="N455" s="3" t="s">
        <x:v>306</x:v>
      </x:c>
      <x:c r="O455" s="3" t="s">
        <x:v>307</x:v>
      </x:c>
      <x:c r="P455" s="3" t="s">
        <x:v>308</x:v>
      </x:c>
      <x:c r="Q455" s="3" t="s">
        <x:v>309</x:v>
      </x:c>
      <x:c r="R455" s="3" t="s">
        <x:v>330</x:v>
      </x:c>
      <x:c r="S455" s="3" t="s">
        <x:v>135</x:v>
      </x:c>
      <x:c r="T455" s="3" t="s">
        <x:v>111</x:v>
      </x:c>
      <x:c r="U455" s="3" t="s">
        <x:v>331</x:v>
      </x:c>
      <x:c r="V455" s="3" t="s">
        <x:v>178</x:v>
      </x:c>
      <x:c r="W455" s="3" t="s">
        <x:v>332</x:v>
      </x:c>
      <x:c r="X455" s="3" t="s">
        <x:v>180</x:v>
      </x:c>
      <x:c r="Y455" s="3" t="s">
        <x:v>333</x:v>
      </x:c>
      <x:c r="Z455" s="3" t="s">
        <x:v>334</x:v>
      </x:c>
      <x:c r="AA455" s="3" t="s">
        <x:v>118</x:v>
      </x:c>
      <x:c r="AB455" s="7" t="n">
        <x:v>46280.5701388889</x:v>
      </x:c>
      <x:c r="AC455" s="7" t="n">
        <x:v>46280.575</x:v>
      </x:c>
      <x:c r="AD455" s="7" t="n">
        <x:v>46280.5805555556</x:v>
      </x:c>
      <x:c r="AE455" s="7" t="n">
        <x:v>46280.5944444445</x:v>
      </x:c>
      <x:c r="AF455" s="7" t="n">
        <x:v>46280.6506944444</x:v>
      </x:c>
      <x:c r="AG455" s="3" t="n">
        <x:v>35</x:v>
      </x:c>
      <x:c r="AH455" s="3" t="n">
        <x:v>71</x:v>
      </x:c>
      <x:c r="AI455" s="3" t="s">
        <x:v>135</x:v>
      </x:c>
      <x:c r="AJ455" s="3" t="s">
        <x:v>111</x:v>
      </x:c>
      <x:c r="AK455" s="3" t="n">
        <x:v>180</x:v>
      </x:c>
      <x:c r="AL455" s="3" t="n">
        <x:v>0</x:v>
      </x:c>
      <x:c r="AM455" s="8" t="n">
        <x:v>0.5889</x:v>
      </x:c>
      <x:c r="AN455" s="3" t="n">
        <x:v>3</x:v>
      </x:c>
      <x:c r="AO455" s="3" t="s">
        <x:v>14</x:v>
      </x:c>
      <x:c r="AP455" s="3" t="s">
        <x:v>684</x:v>
      </x:c>
      <x:c r="AQ455" s="3" t="s">
        <x:v>981</x:v>
      </x:c>
      <x:c r="AR455" s="9" t="n">
        <x:v>1558.7</x:v>
      </x:c>
      <x:c r="AS455" s="3" t="s">
        <x:v>185</x:v>
      </x:c>
      <x:c r="AT455" s="7" t="n">
        <x:v>46301.9166666667</x:v>
      </x:c>
    </x:row>
    <x:row r="456" ht="31.299999237060547" hidden="0">
      <x:c r="A456" s="3" t="s">
        <x:v>982</x:v>
      </x:c>
      <x:c r="B456" s="3" t="s">
        <x:v>123</x:v>
      </x:c>
      <x:c r="C456" s="3" t="s">
        <x:v>124</x:v>
      </x:c>
      <x:c r="D456" s="3" t="s">
        <x:v>125</x:v>
      </x:c>
      <x:c r="E456" s="3" t="s">
        <x:v>249</x:v>
      </x:c>
      <x:c r="F456" s="3" t="s">
        <x:v>99</x:v>
      </x:c>
      <x:c r="G456" s="3" t="s">
        <x:v>354</x:v>
      </x:c>
      <x:c r="H456" s="3" t="s">
        <x:v>101</x:v>
      </x:c>
      <x:c r="I456" s="3" t="s">
        <x:v>102</x:v>
      </x:c>
      <x:c r="J456" s="3" t="s">
        <x:v>103</x:v>
      </x:c>
      <x:c r="K456" s="3" t="s">
        <x:v>104</x:v>
      </x:c>
      <x:c r="L456" s="3" t="s">
        <x:v>129</x:v>
      </x:c>
      <x:c r="M456" s="3" t="s">
        <x:v>130</x:v>
      </x:c>
      <x:c r="N456" s="3" t="s">
        <x:v>131</x:v>
      </x:c>
      <x:c r="O456" s="3" t="s">
        <x:v>132</x:v>
      </x:c>
      <x:c r="P456" s="3" t="s">
        <x:v>133</x:v>
      </x:c>
      <x:c r="Q456" s="3" t="s">
        <x:v>268</x:v>
      </x:c>
      <x:c r="R456" s="3" t="s">
        <x:v>176</x:v>
      </x:c>
      <x:c r="S456" s="3" t="s">
        <x:v>135</x:v>
      </x:c>
      <x:c r="T456" s="3" t="s">
        <x:v>135</x:v>
      </x:c>
      <x:c r="U456" s="3" t="s">
        <x:v>177</x:v>
      </x:c>
      <x:c r="V456" s="3" t="s">
        <x:v>178</x:v>
      </x:c>
      <x:c r="W456" s="3" t="s">
        <x:v>355</x:v>
      </x:c>
      <x:c r="X456" s="3" t="s">
        <x:v>180</x:v>
      </x:c>
      <x:c r="Y456" s="3" t="s">
        <x:v>356</x:v>
      </x:c>
      <x:c r="Z456" s="3" t="s">
        <x:v>182</x:v>
      </x:c>
      <x:c r="AA456" s="3" t="s">
        <x:v>118</x:v>
      </x:c>
      <x:c r="AB456" s="7" t="n">
        <x:v>46280.5979166667</x:v>
      </x:c>
      <x:c r="AC456" s="7" t="n">
        <x:v>46280.6006944444</x:v>
      </x:c>
      <x:c r="AD456" s="7" t="n">
        <x:v>46280.6034722222</x:v>
      </x:c>
      <x:c r="AE456" s="7" t="n">
        <x:v>46280.6138888889</x:v>
      </x:c>
      <x:c r="AF456" s="7" t="n">
        <x:v>46280.6465277778</x:v>
      </x:c>
      <x:c r="AG456" s="3" t="n">
        <x:v>23</x:v>
      </x:c>
      <x:c r="AH456" s="3" t="n">
        <x:v>38</x:v>
      </x:c>
      <x:c r="AI456" s="3" t="s">
        <x:v>135</x:v>
      </x:c>
      <x:c r="AJ456" s="3" t="s">
        <x:v>135</x:v>
      </x:c>
      <x:c r="AK456" s="3" t="n">
        <x:v>180</x:v>
      </x:c>
      <x:c r="AL456" s="3" t="n">
        <x:v>0</x:v>
      </x:c>
      <x:c r="AM456" s="8" t="n">
        <x:v>0.3389</x:v>
      </x:c>
      <x:c r="AN456" s="3" t="n">
        <x:v>1</x:v>
      </x:c>
      <x:c r="AO456" s="3" t="s">
        <x:v>9</x:v>
      </x:c>
      <x:c r="AP456" s="3" t="s">
        <x:v>500</x:v>
      </x:c>
      <x:c r="AQ456" s="3" t="s">
        <x:v>472</x:v>
      </x:c>
      <x:c r="AR456" s="9" t="n">
        <x:v>637.1</x:v>
      </x:c>
      <x:c r="AS456" s="3" t="s">
        <x:v>121</x:v>
      </x:c>
      <x:c r="AT456" s="7" t="n">
        <x:v>46301.9166666667</x:v>
      </x:c>
    </x:row>
    <x:row r="457" ht="31.299999237060547" hidden="0">
      <x:c r="A457" s="3" t="s">
        <x:v>983</x:v>
      </x:c>
      <x:c r="B457" s="3" t="s">
        <x:v>205</x:v>
      </x:c>
      <x:c r="C457" s="3" t="s">
        <x:v>206</x:v>
      </x:c>
      <x:c r="D457" s="3" t="s">
        <x:v>207</x:v>
      </x:c>
      <x:c r="E457" s="3" t="s">
        <x:v>249</x:v>
      </x:c>
      <x:c r="F457" s="3" t="s">
        <x:v>99</x:v>
      </x:c>
      <x:c r="G457" s="3" t="s">
        <x:v>498</x:v>
      </x:c>
      <x:c r="H457" s="3" t="s">
        <x:v>101</x:v>
      </x:c>
      <x:c r="I457" s="3" t="s">
        <x:v>102</x:v>
      </x:c>
      <x:c r="J457" s="3" t="s">
        <x:v>103</x:v>
      </x:c>
      <x:c r="K457" s="3" t="s">
        <x:v>104</x:v>
      </x:c>
      <x:c r="L457" s="3" t="s">
        <x:v>209</x:v>
      </x:c>
      <x:c r="M457" s="3" t="s">
        <x:v>210</x:v>
      </x:c>
      <x:c r="N457" s="3" t="s">
        <x:v>211</x:v>
      </x:c>
      <x:c r="O457" s="3" t="s">
        <x:v>212</x:v>
      </x:c>
      <x:c r="P457" s="3" t="s">
        <x:v>213</x:v>
      </x:c>
      <x:c r="Q457" s="3" t="s">
        <x:v>254</x:v>
      </x:c>
      <x:c r="R457" s="3" t="s">
        <x:v>310</x:v>
      </x:c>
      <x:c r="S457" s="3" t="s">
        <x:v>135</x:v>
      </x:c>
      <x:c r="T457" s="3" t="s">
        <x:v>111</x:v>
      </x:c>
      <x:c r="U457" s="3" t="s">
        <x:v>311</x:v>
      </x:c>
      <x:c r="V457" s="3" t="s">
        <x:v>312</x:v>
      </x:c>
      <x:c r="W457" s="3" t="s">
        <x:v>313</x:v>
      </x:c>
      <x:c r="X457" s="3" t="s">
        <x:v>314</x:v>
      </x:c>
      <x:c r="Y457" s="3" t="s">
        <x:v>315</x:v>
      </x:c>
      <x:c r="Z457" s="3" t="s">
        <x:v>316</x:v>
      </x:c>
      <x:c r="AA457" s="3" t="s">
        <x:v>317</x:v>
      </x:c>
      <x:c r="AB457" s="7" t="n">
        <x:v>46280.6597222222</x:v>
      </x:c>
      <x:c r="AC457" s="7" t="n">
        <x:v>46280.6638888889</x:v>
      </x:c>
      <x:c r="AD457" s="7" t="n">
        <x:v>46280.6652777778</x:v>
      </x:c>
      <x:c r="AE457" s="7" t="n">
        <x:v>46280.6881944445</x:v>
      </x:c>
      <x:c r="AF457" s="7" t="n">
        <x:v>46280.73125</x:v>
      </x:c>
      <x:c r="AG457" s="3" t="n">
        <x:v>41</x:v>
      </x:c>
      <x:c r="AH457" s="3" t="n">
        <x:v>54</x:v>
      </x:c>
      <x:c r="AI457" s="3" t="s">
        <x:v>135</x:v>
      </x:c>
      <x:c r="AJ457" s="3" t="s">
        <x:v>135</x:v>
      </x:c>
      <x:c r="AK457" s="3" t="n">
        <x:v>180</x:v>
      </x:c>
      <x:c r="AL457" s="3" t="n">
        <x:v>0</x:v>
      </x:c>
      <x:c r="AM457" s="8" t="n">
        <x:v>0.5278</x:v>
      </x:c>
      <x:c r="AN457" s="3" t="n">
        <x:v>2</x:v>
      </x:c>
      <x:c r="AO457" s="3" t="s">
        <x:v>14</x:v>
      </x:c>
      <x:c r="AP457" s="3" t="s">
        <x:v>573</x:v>
      </x:c>
      <x:c r="AQ457" s="3" t="s">
        <x:v>697</x:v>
      </x:c>
      <x:c r="AR457" s="9" t="n">
        <x:v>833.3</x:v>
      </x:c>
      <x:c r="AS457" s="3" t="s">
        <x:v>121</x:v>
      </x:c>
      <x:c r="AT457" s="7" t="n">
        <x:v>46301.9166666667</x:v>
      </x:c>
    </x:row>
    <x:row r="458" ht="31.299999237060547" hidden="0">
      <x:c r="A458" s="3" t="s">
        <x:v>984</x:v>
      </x:c>
      <x:c r="B458" s="3" t="s">
        <x:v>166</x:v>
      </x:c>
      <x:c r="C458" s="3" t="s">
        <x:v>167</x:v>
      </x:c>
      <x:c r="D458" s="3" t="s">
        <x:v>168</x:v>
      </x:c>
      <x:c r="E458" s="3" t="s">
        <x:v>249</x:v>
      </x:c>
      <x:c r="F458" s="3" t="s">
        <x:v>99</x:v>
      </x:c>
      <x:c r="G458" s="3" t="s">
        <x:v>443</x:v>
      </x:c>
      <x:c r="H458" s="3" t="s">
        <x:v>101</x:v>
      </x:c>
      <x:c r="I458" s="3" t="s">
        <x:v>102</x:v>
      </x:c>
      <x:c r="J458" s="3" t="s">
        <x:v>103</x:v>
      </x:c>
      <x:c r="K458" s="3" t="s">
        <x:v>104</x:v>
      </x:c>
      <x:c r="L458" s="3" t="s">
        <x:v>171</x:v>
      </x:c>
      <x:c r="M458" s="3" t="s">
        <x:v>172</x:v>
      </x:c>
      <x:c r="N458" s="3" t="s">
        <x:v>173</x:v>
      </x:c>
      <x:c r="O458" s="3" t="s">
        <x:v>174</x:v>
      </x:c>
      <x:c r="P458" s="3" t="s">
        <x:v>175</x:v>
      </x:c>
      <x:c r="Q458" s="3" t="s">
        <x:v>271</x:v>
      </x:c>
      <x:c r="R458" s="3" t="s">
        <x:v>330</x:v>
      </x:c>
      <x:c r="S458" s="3" t="s">
        <x:v>135</x:v>
      </x:c>
      <x:c r="T458" s="3" t="s">
        <x:v>111</x:v>
      </x:c>
      <x:c r="U458" s="3" t="s">
        <x:v>331</x:v>
      </x:c>
      <x:c r="V458" s="3" t="s">
        <x:v>178</x:v>
      </x:c>
      <x:c r="W458" s="3" t="s">
        <x:v>355</x:v>
      </x:c>
      <x:c r="X458" s="3" t="s">
        <x:v>180</x:v>
      </x:c>
      <x:c r="Y458" s="3" t="s">
        <x:v>356</x:v>
      </x:c>
      <x:c r="Z458" s="3" t="s">
        <x:v>334</x:v>
      </x:c>
      <x:c r="AA458" s="3" t="s">
        <x:v>118</x:v>
      </x:c>
      <x:c r="AB458" s="7" t="n">
        <x:v>46280.7319444444</x:v>
      </x:c>
      <x:c r="AC458" s="7" t="n">
        <x:v>46280.7347222222</x:v>
      </x:c>
      <x:c r="AD458" s="7" t="n">
        <x:v>46280.7375</x:v>
      </x:c>
      <x:c r="AE458" s="7" t="n">
        <x:v>46280.7534722222</x:v>
      </x:c>
      <x:c r="AF458" s="7" t="n">
        <x:v>46280.7958333333</x:v>
      </x:c>
      <x:c r="AG458" s="3" t="n">
        <x:v>31</x:v>
      </x:c>
      <x:c r="AH458" s="3" t="n">
        <x:v>58</x:v>
      </x:c>
      <x:c r="AI458" s="3" t="s">
        <x:v>135</x:v>
      </x:c>
      <x:c r="AJ458" s="3" t="s">
        <x:v>135</x:v>
      </x:c>
      <x:c r="AK458" s="3" t="n">
        <x:v>150</x:v>
      </x:c>
      <x:c r="AL458" s="3" t="n">
        <x:v>0</x:v>
      </x:c>
      <x:c r="AM458" s="8" t="n">
        <x:v>0.5933</x:v>
      </x:c>
      <x:c r="AN458" s="3" t="n">
        <x:v>1</x:v>
      </x:c>
      <x:c r="AO458" s="3" t="s">
        <x:v>9</x:v>
      </x:c>
      <x:c r="AP458" s="3" t="s">
        <x:v>500</x:v>
      </x:c>
      <x:c r="AQ458" s="3" t="s">
        <x:v>501</x:v>
      </x:c>
      <x:c r="AR458" s="9" t="n">
        <x:v>1197.1</x:v>
      </x:c>
      <x:c r="AS458" s="3" t="s">
        <x:v>121</x:v>
      </x:c>
      <x:c r="AT458" s="7" t="n">
        <x:v>46301.9166666667</x:v>
      </x:c>
    </x:row>
    <x:row r="459" ht="31.299999237060547" hidden="0">
      <x:c r="A459" s="3" t="s">
        <x:v>985</x:v>
      </x:c>
      <x:c r="B459" s="3" t="s">
        <x:v>187</x:v>
      </x:c>
      <x:c r="C459" s="3" t="s">
        <x:v>188</x:v>
      </x:c>
      <x:c r="D459" s="3" t="s">
        <x:v>189</x:v>
      </x:c>
      <x:c r="E459" s="3" t="s">
        <x:v>249</x:v>
      </x:c>
      <x:c r="F459" s="3" t="s">
        <x:v>149</x:v>
      </x:c>
      <x:c r="G459" s="3" t="s">
        <x:v>491</x:v>
      </x:c>
      <x:c r="H459" s="3" t="s">
        <x:v>101</x:v>
      </x:c>
      <x:c r="I459" s="3" t="s">
        <x:v>102</x:v>
      </x:c>
      <x:c r="J459" s="3" t="s">
        <x:v>103</x:v>
      </x:c>
      <x:c r="K459" s="3" t="s">
        <x:v>104</x:v>
      </x:c>
      <x:c r="L459" s="3" t="s">
        <x:v>191</x:v>
      </x:c>
      <x:c r="M459" s="3" t="s">
        <x:v>192</x:v>
      </x:c>
      <x:c r="N459" s="3" t="s">
        <x:v>193</x:v>
      </x:c>
      <x:c r="O459" s="3" t="s">
        <x:v>194</x:v>
      </x:c>
      <x:c r="P459" s="3" t="s">
        <x:v>195</x:v>
      </x:c>
      <x:c r="Q459" s="3" t="s">
        <x:v>273</x:v>
      </x:c>
      <x:c r="R459" s="3" t="s">
        <x:v>373</x:v>
      </x:c>
      <x:c r="S459" s="3" t="s">
        <x:v>135</x:v>
      </x:c>
      <x:c r="T459" s="3" t="s">
        <x:v>111</x:v>
      </x:c>
      <x:c r="U459" s="3" t="s">
        <x:v>374</x:v>
      </x:c>
      <x:c r="V459" s="3" t="s">
        <x:v>178</x:v>
      </x:c>
      <x:c r="W459" s="3" t="s">
        <x:v>332</x:v>
      </x:c>
      <x:c r="X459" s="3" t="s">
        <x:v>180</x:v>
      </x:c>
      <x:c r="Y459" s="3" t="s">
        <x:v>333</x:v>
      </x:c>
      <x:c r="Z459" s="3" t="s">
        <x:v>375</x:v>
      </x:c>
      <x:c r="AA459" s="3" t="s">
        <x:v>118</x:v>
      </x:c>
      <x:c r="AB459" s="7" t="n">
        <x:v>46280.7381944444</x:v>
      </x:c>
      <x:c r="AC459" s="7" t="n">
        <x:v>46280.7416666667</x:v>
      </x:c>
      <x:c r="AD459" s="7" t="n">
        <x:v>46280.7444444444</x:v>
      </x:c>
      <x:c r="AE459" s="7" t="n">
        <x:v>46280.7576388889</x:v>
      </x:c>
      <x:c r="AF459" s="7" t="n">
        <x:v>46280.8097222222</x:v>
      </x:c>
      <x:c r="AG459" s="3" t="n">
        <x:v>28</x:v>
      </x:c>
      <x:c r="AH459" s="3" t="n">
        <x:v>72</x:v>
      </x:c>
      <x:c r="AI459" s="3" t="s">
        <x:v>135</x:v>
      </x:c>
      <x:c r="AJ459" s="3" t="s">
        <x:v>111</x:v>
      </x:c>
      <x:c r="AK459" s="3" t="n">
        <x:v>150</x:v>
      </x:c>
      <x:c r="AL459" s="3" t="n">
        <x:v>0</x:v>
      </x:c>
      <x:c r="AM459" s="8" t="n">
        <x:v>0.6667</x:v>
      </x:c>
      <x:c r="AN459" s="3" t="n">
        <x:v>2</x:v>
      </x:c>
      <x:c r="AO459" s="3" t="s">
        <x:v>14</x:v>
      </x:c>
      <x:c r="AP459" s="3" t="s">
        <x:v>605</x:v>
      </x:c>
      <x:c r="AQ459" s="3" t="s">
        <x:v>689</x:v>
      </x:c>
      <x:c r="AR459" s="9" t="n">
        <x:v>1284.4</x:v>
      </x:c>
      <x:c r="AS459" s="3" t="s">
        <x:v>185</x:v>
      </x:c>
      <x:c r="AT459" s="7" t="n">
        <x:v>46301.9166666667</x:v>
      </x:c>
    </x:row>
    <x:row r="460" ht="31.299999237060547" hidden="0">
      <x:c r="A460" s="3" t="s">
        <x:v>986</x:v>
      </x:c>
      <x:c r="B460" s="3" t="s">
        <x:v>205</x:v>
      </x:c>
      <x:c r="C460" s="3" t="s">
        <x:v>206</x:v>
      </x:c>
      <x:c r="D460" s="3" t="s">
        <x:v>207</x:v>
      </x:c>
      <x:c r="E460" s="3" t="s">
        <x:v>249</x:v>
      </x:c>
      <x:c r="F460" s="3" t="s">
        <x:v>169</x:v>
      </x:c>
      <x:c r="G460" s="3" t="s">
        <x:v>498</x:v>
      </x:c>
      <x:c r="H460" s="3" t="s">
        <x:v>101</x:v>
      </x:c>
      <x:c r="I460" s="3" t="s">
        <x:v>102</x:v>
      </x:c>
      <x:c r="J460" s="3" t="s">
        <x:v>103</x:v>
      </x:c>
      <x:c r="K460" s="3" t="s">
        <x:v>104</x:v>
      </x:c>
      <x:c r="L460" s="3" t="s">
        <x:v>209</x:v>
      </x:c>
      <x:c r="M460" s="3" t="s">
        <x:v>210</x:v>
      </x:c>
      <x:c r="N460" s="3" t="s">
        <x:v>211</x:v>
      </x:c>
      <x:c r="O460" s="3" t="s">
        <x:v>212</x:v>
      </x:c>
      <x:c r="P460" s="3" t="s">
        <x:v>213</x:v>
      </x:c>
      <x:c r="Q460" s="3" t="s">
        <x:v>254</x:v>
      </x:c>
      <x:c r="R460" s="3" t="s">
        <x:v>310</x:v>
      </x:c>
      <x:c r="S460" s="3" t="s">
        <x:v>135</x:v>
      </x:c>
      <x:c r="T460" s="3" t="s">
        <x:v>111</x:v>
      </x:c>
      <x:c r="U460" s="3" t="s">
        <x:v>311</x:v>
      </x:c>
      <x:c r="V460" s="3" t="s">
        <x:v>312</x:v>
      </x:c>
      <x:c r="W460" s="3" t="s">
        <x:v>351</x:v>
      </x:c>
      <x:c r="X460" s="3" t="s">
        <x:v>314</x:v>
      </x:c>
      <x:c r="Y460" s="3" t="s">
        <x:v>352</x:v>
      </x:c>
      <x:c r="Z460" s="3" t="s">
        <x:v>316</x:v>
      </x:c>
      <x:c r="AA460" s="3" t="s">
        <x:v>317</x:v>
      </x:c>
      <x:c r="AB460" s="7" t="n">
        <x:v>46280.7784722222</x:v>
      </x:c>
      <x:c r="AC460" s="7" t="n">
        <x:v>46280.7819444445</x:v>
      </x:c>
      <x:c r="AD460" s="7" t="n">
        <x:v>46280.7875</x:v>
      </x:c>
      <x:c r="AE460" s="7" t="n">
        <x:v>46280.8069444444</x:v>
      </x:c>
      <x:c r="AF460" s="7" t="n">
        <x:v>46280.8361111111</x:v>
      </x:c>
      <x:c r="AG460" s="3" t="n">
        <x:v>41</x:v>
      </x:c>
      <x:c r="AH460" s="3" t="n">
        <x:v>39</x:v>
      </x:c>
      <x:c r="AI460" s="3" t="s">
        <x:v>135</x:v>
      </x:c>
      <x:c r="AJ460" s="3" t="s">
        <x:v>135</x:v>
      </x:c>
      <x:c r="AK460" s="3" t="n">
        <x:v>180</x:v>
      </x:c>
      <x:c r="AL460" s="3" t="n">
        <x:v>0</x:v>
      </x:c>
      <x:c r="AM460" s="8" t="n">
        <x:v>0.4444</x:v>
      </x:c>
      <x:c r="AN460" s="3" t="n">
        <x:v>3</x:v>
      </x:c>
      <x:c r="AO460" s="3" t="s">
        <x:v>14</x:v>
      </x:c>
      <x:c r="AP460" s="3" t="s">
        <x:v>183</x:v>
      </x:c>
      <x:c r="AQ460" s="3" t="s">
        <x:v>987</x:v>
      </x:c>
      <x:c r="AR460" s="9" t="n">
        <x:v>975.3</x:v>
      </x:c>
      <x:c r="AS460" s="3" t="s">
        <x:v>185</x:v>
      </x:c>
      <x:c r="AT460" s="7" t="n">
        <x:v>46301.9166666667</x:v>
      </x:c>
    </x:row>
    <x:row r="461" ht="31.299999237060547" hidden="0">
      <x:c r="A461" s="3" t="s">
        <x:v>988</x:v>
      </x:c>
      <x:c r="B461" s="3" t="s">
        <x:v>123</x:v>
      </x:c>
      <x:c r="C461" s="3" t="s">
        <x:v>124</x:v>
      </x:c>
      <x:c r="D461" s="3" t="s">
        <x:v>125</x:v>
      </x:c>
      <x:c r="E461" s="3" t="s">
        <x:v>249</x:v>
      </x:c>
      <x:c r="F461" s="3" t="s">
        <x:v>127</x:v>
      </x:c>
      <x:c r="G461" s="3" t="s">
        <x:v>388</x:v>
      </x:c>
      <x:c r="H461" s="3" t="s">
        <x:v>339</x:v>
      </x:c>
      <x:c r="I461" s="3" t="s">
        <x:v>102</x:v>
      </x:c>
      <x:c r="J461" s="3" t="s">
        <x:v>103</x:v>
      </x:c>
      <x:c r="K461" s="3" t="s">
        <x:v>104</x:v>
      </x:c>
      <x:c r="L461" s="3" t="s">
        <x:v>129</x:v>
      </x:c>
      <x:c r="M461" s="3" t="s">
        <x:v>130</x:v>
      </x:c>
      <x:c r="N461" s="3" t="s">
        <x:v>131</x:v>
      </x:c>
      <x:c r="O461" s="3" t="s">
        <x:v>132</x:v>
      </x:c>
      <x:c r="P461" s="3" t="s">
        <x:v>133</x:v>
      </x:c>
      <x:c r="Q461" s="3" t="s">
        <x:v>268</x:v>
      </x:c>
      <x:c r="R461" s="3" t="s">
        <x:v>110</x:v>
      </x:c>
      <x:c r="S461" s="3" t="s">
        <x:v>111</x:v>
      </x:c>
      <x:c r="T461" s="3" t="s">
        <x:v>111</x:v>
      </x:c>
      <x:c r="U461" s="3" t="s">
        <x:v>112</x:v>
      </x:c>
      <x:c r="V461" s="3" t="s">
        <x:v>113</x:v>
      </x:c>
      <x:c r="W461" s="3" t="s">
        <x:v>419</x:v>
      </x:c>
      <x:c r="X461" s="3" t="s">
        <x:v>115</x:v>
      </x:c>
      <x:c r="Y461" s="3" t="s">
        <x:v>420</x:v>
      </x:c>
      <x:c r="Z461" s="3" t="s">
        <x:v>117</x:v>
      </x:c>
      <x:c r="AA461" s="3" t="s">
        <x:v>118</x:v>
      </x:c>
      <x:c r="AB461" s="7" t="n">
        <x:v>46281.3972222222</x:v>
      </x:c>
      <x:c r="AC461" s="7" t="n">
        <x:v>46281.4</x:v>
      </x:c>
      <x:c r="AD461" s="7" t="n">
        <x:v>46281.4048611111</x:v>
      </x:c>
      <x:c r="AE461" s="7" t="n">
        <x:v>46281.4215277778</x:v>
      </x:c>
      <x:c r="AF461" s="7" t="n">
        <x:v>46281.4666666667</x:v>
      </x:c>
      <x:c r="AG461" s="3" t="n">
        <x:v>35</x:v>
      </x:c>
      <x:c r="AH461" s="3" t="n">
        <x:v>55</x:v>
      </x:c>
      <x:c r="AI461" s="3" t="s">
        <x:v>135</x:v>
      </x:c>
      <x:c r="AJ461" s="3" t="s">
        <x:v>135</x:v>
      </x:c>
      <x:c r="AK461" s="3" t="n">
        <x:v>120</x:v>
      </x:c>
      <x:c r="AL461" s="3" t="n">
        <x:v>0</x:v>
      </x:c>
      <x:c r="AM461" s="8" t="n">
        <x:v>0.75</x:v>
      </x:c>
      <x:c r="AN461" s="3" t="n">
        <x:v>2</x:v>
      </x:c>
      <x:c r="AO461" s="3" t="s">
        <x:v>14</x:v>
      </x:c>
      <x:c r="AP461" s="3" t="s">
        <x:v>717</x:v>
      </x:c>
      <x:c r="AQ461" s="3" t="s">
        <x:v>472</x:v>
      </x:c>
      <x:c r="AR461" s="9" t="n">
        <x:v>813.5</x:v>
      </x:c>
      <x:c r="AS461" s="3" t="s">
        <x:v>185</x:v>
      </x:c>
      <x:c r="AT461" s="7" t="n">
        <x:v>46301.9166666667</x:v>
      </x:c>
    </x:row>
    <x:row r="462" ht="31.299999237060547" hidden="0">
      <x:c r="A462" s="3" t="s">
        <x:v>989</x:v>
      </x:c>
      <x:c r="B462" s="3" t="s">
        <x:v>321</x:v>
      </x:c>
      <x:c r="C462" s="3" t="s">
        <x:v>322</x:v>
      </x:c>
      <x:c r="D462" s="3" t="s">
        <x:v>323</x:v>
      </x:c>
      <x:c r="E462" s="3" t="s">
        <x:v>249</x:v>
      </x:c>
      <x:c r="F462" s="3" t="s">
        <x:v>149</x:v>
      </x:c>
      <x:c r="G462" s="3" t="s">
        <x:v>324</x:v>
      </x:c>
      <x:c r="H462" s="3" t="s">
        <x:v>301</x:v>
      </x:c>
      <x:c r="I462" s="3" t="s">
        <x:v>302</x:v>
      </x:c>
      <x:c r="J462" s="3" t="s">
        <x:v>303</x:v>
      </x:c>
      <x:c r="K462" s="3" t="s">
        <x:v>104</x:v>
      </x:c>
      <x:c r="L462" s="3" t="s">
        <x:v>325</x:v>
      </x:c>
      <x:c r="M462" s="3" t="s">
        <x:v>326</x:v>
      </x:c>
      <x:c r="N462" s="3" t="s">
        <x:v>131</x:v>
      </x:c>
      <x:c r="O462" s="3" t="s">
        <x:v>327</x:v>
      </x:c>
      <x:c r="P462" s="3" t="s">
        <x:v>328</x:v>
      </x:c>
      <x:c r="Q462" s="3" t="s">
        <x:v>329</x:v>
      </x:c>
      <x:c r="R462" s="3" t="s">
        <x:v>330</x:v>
      </x:c>
      <x:c r="S462" s="3" t="s">
        <x:v>135</x:v>
      </x:c>
      <x:c r="T462" s="3" t="s">
        <x:v>111</x:v>
      </x:c>
      <x:c r="U462" s="3" t="s">
        <x:v>331</x:v>
      </x:c>
      <x:c r="V462" s="3" t="s">
        <x:v>178</x:v>
      </x:c>
      <x:c r="W462" s="3" t="s">
        <x:v>179</x:v>
      </x:c>
      <x:c r="X462" s="3" t="s">
        <x:v>180</x:v>
      </x:c>
      <x:c r="Y462" s="3" t="s">
        <x:v>414</x:v>
      </x:c>
      <x:c r="Z462" s="3" t="s">
        <x:v>334</x:v>
      </x:c>
      <x:c r="AA462" s="3" t="s">
        <x:v>118</x:v>
      </x:c>
      <x:c r="AB462" s="7" t="n">
        <x:v>46281.4069444445</x:v>
      </x:c>
      <x:c r="AC462" s="7" t="n">
        <x:v>46281.4118055556</x:v>
      </x:c>
      <x:c r="AD462" s="7" t="n">
        <x:v>46281.4180555556</x:v>
      </x:c>
      <x:c r="AE462" s="7" t="n">
        <x:v>46281.4381944445</x:v>
      </x:c>
      <x:c r="AF462" s="7" t="n">
        <x:v>46281.4756944444</x:v>
      </x:c>
      <x:c r="AG462" s="3" t="n">
        <x:v>45</x:v>
      </x:c>
      <x:c r="AH462" s="3" t="n">
        <x:v>49</x:v>
      </x:c>
      <x:c r="AI462" s="3" t="s">
        <x:v>135</x:v>
      </x:c>
      <x:c r="AJ462" s="3" t="s">
        <x:v>111</x:v>
      </x:c>
      <x:c r="AK462" s="3" t="n">
        <x:v>180</x:v>
      </x:c>
      <x:c r="AL462" s="3" t="n">
        <x:v>0</x:v>
      </x:c>
      <x:c r="AM462" s="8" t="n">
        <x:v>0.5222</x:v>
      </x:c>
      <x:c r="AN462" s="3" t="n">
        <x:v>6</x:v>
      </x:c>
      <x:c r="AO462" s="3" t="s">
        <x:v>14</x:v>
      </x:c>
      <x:c r="AP462" s="3" t="s">
        <x:v>990</x:v>
      </x:c>
      <x:c r="AQ462" s="3" t="s">
        <x:v>685</x:v>
      </x:c>
      <x:c r="AR462" s="9" t="n">
        <x:v>1065.3</x:v>
      </x:c>
      <x:c r="AS462" s="3" t="s">
        <x:v>185</x:v>
      </x:c>
      <x:c r="AT462" s="7" t="n">
        <x:v>46301.9166666667</x:v>
      </x:c>
    </x:row>
    <x:row r="463" ht="31.299999237060547" hidden="0">
      <x:c r="A463" s="3" t="s">
        <x:v>991</x:v>
      </x:c>
      <x:c r="B463" s="3" t="s">
        <x:v>166</x:v>
      </x:c>
      <x:c r="C463" s="3" t="s">
        <x:v>167</x:v>
      </x:c>
      <x:c r="D463" s="3" t="s">
        <x:v>168</x:v>
      </x:c>
      <x:c r="E463" s="3" t="s">
        <x:v>249</x:v>
      </x:c>
      <x:c r="F463" s="3" t="s">
        <x:v>149</x:v>
      </x:c>
      <x:c r="G463" s="3" t="s">
        <x:v>456</x:v>
      </x:c>
      <x:c r="H463" s="3" t="s">
        <x:v>343</x:v>
      </x:c>
      <x:c r="I463" s="3" t="s">
        <x:v>102</x:v>
      </x:c>
      <x:c r="J463" s="3" t="s">
        <x:v>103</x:v>
      </x:c>
      <x:c r="K463" s="3" t="s">
        <x:v>104</x:v>
      </x:c>
      <x:c r="L463" s="3" t="s">
        <x:v>171</x:v>
      </x:c>
      <x:c r="M463" s="3" t="s">
        <x:v>172</x:v>
      </x:c>
      <x:c r="N463" s="3" t="s">
        <x:v>173</x:v>
      </x:c>
      <x:c r="O463" s="3" t="s">
        <x:v>174</x:v>
      </x:c>
      <x:c r="P463" s="3" t="s">
        <x:v>175</x:v>
      </x:c>
      <x:c r="Q463" s="3" t="s">
        <x:v>271</x:v>
      </x:c>
      <x:c r="R463" s="3" t="s">
        <x:v>391</x:v>
      </x:c>
      <x:c r="S463" s="3" t="s">
        <x:v>135</x:v>
      </x:c>
      <x:c r="T463" s="3" t="s">
        <x:v>135</x:v>
      </x:c>
      <x:c r="U463" s="3" t="s">
        <x:v>392</x:v>
      </x:c>
      <x:c r="V463" s="3" t="s">
        <x:v>312</x:v>
      </x:c>
      <x:c r="W463" s="3" t="s">
        <x:v>313</x:v>
      </x:c>
      <x:c r="X463" s="3" t="s">
        <x:v>314</x:v>
      </x:c>
      <x:c r="Y463" s="3" t="s">
        <x:v>315</x:v>
      </x:c>
      <x:c r="Z463" s="3" t="s">
        <x:v>393</x:v>
      </x:c>
      <x:c r="AA463" s="3" t="s">
        <x:v>394</x:v>
      </x:c>
      <x:c r="AB463" s="7" t="n">
        <x:v>46281.4326388889</x:v>
      </x:c>
      <x:c r="AC463" s="7" t="n">
        <x:v>46281.4361111111</x:v>
      </x:c>
      <x:c r="AD463" s="7" t="n">
        <x:v>46281.4402777778</x:v>
      </x:c>
      <x:c r="AE463" s="7" t="n">
        <x:v>46281.4638888889</x:v>
      </x:c>
      <x:c r="AF463" s="7" t="n">
        <x:v>46281.5208333333</x:v>
      </x:c>
      <x:c r="AG463" s="3" t="n">
        <x:v>45</x:v>
      </x:c>
      <x:c r="AH463" s="3" t="n">
        <x:v>76</x:v>
      </x:c>
      <x:c r="AI463" s="3" t="s">
        <x:v>135</x:v>
      </x:c>
      <x:c r="AJ463" s="3" t="s">
        <x:v>135</x:v>
      </x:c>
      <x:c r="AK463" s="3" t="n">
        <x:v>150</x:v>
      </x:c>
      <x:c r="AL463" s="3" t="n">
        <x:v>0</x:v>
      </x:c>
      <x:c r="AM463" s="8" t="n">
        <x:v>0.8067</x:v>
      </x:c>
      <x:c r="AN463" s="3" t="n">
        <x:v>0</x:v>
      </x:c>
      <x:c r="AO463" s="3" t="s">
        <x:v>14</x:v>
      </x:c>
      <x:c r="AP463" s="3" t="s">
        <x:v>347</x:v>
      </x:c>
      <x:c r="AQ463" s="3" t="s">
        <x:v>340</x:v>
      </x:c>
      <x:c r="AR463" s="9" t="n">
        <x:v>1389.7</x:v>
      </x:c>
      <x:c r="AS463" s="3" t="s">
        <x:v>185</x:v>
      </x:c>
      <x:c r="AT463" s="7" t="n">
        <x:v>46301.9166666667</x:v>
      </x:c>
    </x:row>
    <x:row r="464" ht="31.299999237060547" hidden="0">
      <x:c r="A464" s="3" t="s">
        <x:v>992</x:v>
      </x:c>
      <x:c r="B464" s="3" t="s">
        <x:v>123</x:v>
      </x:c>
      <x:c r="C464" s="3" t="s">
        <x:v>124</x:v>
      </x:c>
      <x:c r="D464" s="3" t="s">
        <x:v>125</x:v>
      </x:c>
      <x:c r="E464" s="3" t="s">
        <x:v>249</x:v>
      </x:c>
      <x:c r="F464" s="3" t="s">
        <x:v>169</x:v>
      </x:c>
      <x:c r="G464" s="3" t="s">
        <x:v>498</x:v>
      </x:c>
      <x:c r="H464" s="3" t="s">
        <x:v>101</x:v>
      </x:c>
      <x:c r="I464" s="3" t="s">
        <x:v>102</x:v>
      </x:c>
      <x:c r="J464" s="3" t="s">
        <x:v>103</x:v>
      </x:c>
      <x:c r="K464" s="3" t="s">
        <x:v>104</x:v>
      </x:c>
      <x:c r="L464" s="3" t="s">
        <x:v>129</x:v>
      </x:c>
      <x:c r="M464" s="3" t="s">
        <x:v>130</x:v>
      </x:c>
      <x:c r="N464" s="3" t="s">
        <x:v>131</x:v>
      </x:c>
      <x:c r="O464" s="3" t="s">
        <x:v>132</x:v>
      </x:c>
      <x:c r="P464" s="3" t="s">
        <x:v>133</x:v>
      </x:c>
      <x:c r="Q464" s="3" t="s">
        <x:v>268</x:v>
      </x:c>
      <x:c r="R464" s="3" t="s">
        <x:v>310</x:v>
      </x:c>
      <x:c r="S464" s="3" t="s">
        <x:v>135</x:v>
      </x:c>
      <x:c r="T464" s="3" t="s">
        <x:v>111</x:v>
      </x:c>
      <x:c r="U464" s="3" t="s">
        <x:v>311</x:v>
      </x:c>
      <x:c r="V464" s="3" t="s">
        <x:v>312</x:v>
      </x:c>
      <x:c r="W464" s="3" t="s">
        <x:v>351</x:v>
      </x:c>
      <x:c r="X464" s="3" t="s">
        <x:v>314</x:v>
      </x:c>
      <x:c r="Y464" s="3" t="s">
        <x:v>352</x:v>
      </x:c>
      <x:c r="Z464" s="3" t="s">
        <x:v>316</x:v>
      </x:c>
      <x:c r="AA464" s="3" t="s">
        <x:v>317</x:v>
      </x:c>
      <x:c r="AB464" s="7" t="n">
        <x:v>46281.4798611111</x:v>
      </x:c>
      <x:c r="AC464" s="7" t="n">
        <x:v>46281.4847222222</x:v>
      </x:c>
      <x:c r="AD464" s="7" t="n">
        <x:v>46281.4861111111</x:v>
      </x:c>
      <x:c r="AE464" s="7" t="n">
        <x:v>46281.5166666667</x:v>
      </x:c>
      <x:c r="AF464" s="7" t="n">
        <x:v>46281.5486111111</x:v>
      </x:c>
      <x:c r="AG464" s="3" t="n">
        <x:v>53</x:v>
      </x:c>
      <x:c r="AH464" s="3" t="n">
        <x:v>42</x:v>
      </x:c>
      <x:c r="AI464" s="3" t="s">
        <x:v>135</x:v>
      </x:c>
      <x:c r="AJ464" s="3" t="s">
        <x:v>135</x:v>
      </x:c>
      <x:c r="AK464" s="3" t="n">
        <x:v>180</x:v>
      </x:c>
      <x:c r="AL464" s="3" t="n">
        <x:v>0</x:v>
      </x:c>
      <x:c r="AM464" s="8" t="n">
        <x:v>0.5278</x:v>
      </x:c>
      <x:c r="AN464" s="3" t="n">
        <x:v>0</x:v>
      </x:c>
      <x:c r="AO464" s="3" t="s">
        <x:v>9</x:v>
      </x:c>
      <x:c r="AP464" s="3" t="s">
        <x:v>142</x:v>
      </x:c>
      <x:c r="AQ464" s="3" t="s">
        <x:v>482</x:v>
      </x:c>
      <x:c r="AR464" s="9" t="n">
        <x:v>800.9</x:v>
      </x:c>
      <x:c r="AS464" s="3" t="s">
        <x:v>185</x:v>
      </x:c>
      <x:c r="AT464" s="7" t="n">
        <x:v>46301.9166666667</x:v>
      </x:c>
    </x:row>
    <x:row r="465" ht="31.299999237060547" hidden="0">
      <x:c r="A465" s="3" t="s">
        <x:v>993</x:v>
      </x:c>
      <x:c r="B465" s="3" t="s">
        <x:v>166</x:v>
      </x:c>
      <x:c r="C465" s="3" t="s">
        <x:v>167</x:v>
      </x:c>
      <x:c r="D465" s="3" t="s">
        <x:v>168</x:v>
      </x:c>
      <x:c r="E465" s="3" t="s">
        <x:v>249</x:v>
      </x:c>
      <x:c r="F465" s="3" t="s">
        <x:v>149</x:v>
      </x:c>
      <x:c r="G465" s="3" t="s">
        <x:v>614</x:v>
      </x:c>
      <x:c r="H465" s="3" t="s">
        <x:v>301</x:v>
      </x:c>
      <x:c r="I465" s="3" t="s">
        <x:v>302</x:v>
      </x:c>
      <x:c r="J465" s="3" t="s">
        <x:v>303</x:v>
      </x:c>
      <x:c r="K465" s="3" t="s">
        <x:v>104</x:v>
      </x:c>
      <x:c r="L465" s="3" t="s">
        <x:v>171</x:v>
      </x:c>
      <x:c r="M465" s="3" t="s">
        <x:v>172</x:v>
      </x:c>
      <x:c r="N465" s="3" t="s">
        <x:v>173</x:v>
      </x:c>
      <x:c r="O465" s="3" t="s">
        <x:v>174</x:v>
      </x:c>
      <x:c r="P465" s="3" t="s">
        <x:v>175</x:v>
      </x:c>
      <x:c r="Q465" s="3" t="s">
        <x:v>271</x:v>
      </x:c>
      <x:c r="R465" s="3" t="s">
        <x:v>196</x:v>
      </x:c>
      <x:c r="S465" s="3" t="s">
        <x:v>111</x:v>
      </x:c>
      <x:c r="T465" s="3" t="s">
        <x:v>111</x:v>
      </x:c>
      <x:c r="U465" s="3" t="s">
        <x:v>197</x:v>
      </x:c>
      <x:c r="V465" s="3" t="s">
        <x:v>198</x:v>
      </x:c>
      <x:c r="W465" s="3" t="s">
        <x:v>199</x:v>
      </x:c>
      <x:c r="X465" s="3" t="s">
        <x:v>366</x:v>
      </x:c>
      <x:c r="Y465" s="3" t="s">
        <x:v>527</x:v>
      </x:c>
      <x:c r="Z465" s="3" t="s">
        <x:v>201</x:v>
      </x:c>
      <x:c r="AA465" s="3" t="s">
        <x:v>368</x:v>
      </x:c>
      <x:c r="AB465" s="7" t="n">
        <x:v>46281.4854166667</x:v>
      </x:c>
      <x:c r="AC465" s="7" t="n">
        <x:v>46281.4888888889</x:v>
      </x:c>
      <x:c r="AD465" s="7" t="n">
        <x:v>46281.49375</x:v>
      </x:c>
      <x:c r="AE465" s="7" t="n">
        <x:v>46281.5243055556</x:v>
      </x:c>
      <x:c r="AF465" s="7" t="n">
        <x:v>46281.5868055556</x:v>
      </x:c>
      <x:c r="AG465" s="3" t="n">
        <x:v>56</x:v>
      </x:c>
      <x:c r="AH465" s="3" t="n">
        <x:v>84</x:v>
      </x:c>
      <x:c r="AI465" s="3" t="s">
        <x:v>135</x:v>
      </x:c>
      <x:c r="AJ465" s="3" t="s">
        <x:v>135</x:v>
      </x:c>
      <x:c r="AK465" s="3" t="n">
        <x:v>120</x:v>
      </x:c>
      <x:c r="AL465" s="3" t="n">
        <x:v>0</x:v>
      </x:c>
      <x:c r="AM465" s="8" t="n">
        <x:v>1.1667</x:v>
      </x:c>
      <x:c r="AN465" s="3" t="n">
        <x:v>0</x:v>
      </x:c>
      <x:c r="AO465" s="3" t="s">
        <x:v>24</x:v>
      </x:c>
      <x:c r="AP465" s="3" t="s">
        <x:v>495</x:v>
      </x:c>
      <x:c r="AQ465" s="3" t="s">
        <x:v>340</x:v>
      </x:c>
      <x:c r="AR465" s="9" t="n">
        <x:v>1496.8</x:v>
      </x:c>
      <x:c r="AS465" s="3" t="s">
        <x:v>185</x:v>
      </x:c>
      <x:c r="AT465" s="7" t="n">
        <x:v>46301.9166666667</x:v>
      </x:c>
    </x:row>
    <x:row r="466" ht="31.299999237060547" hidden="0">
      <x:c r="A466" s="3" t="s">
        <x:v>994</x:v>
      </x:c>
      <x:c r="B466" s="3" t="s">
        <x:v>222</x:v>
      </x:c>
      <x:c r="C466" s="3" t="s">
        <x:v>223</x:v>
      </x:c>
      <x:c r="D466" s="3" t="s">
        <x:v>224</x:v>
      </x:c>
      <x:c r="E466" s="3" t="s">
        <x:v>249</x:v>
      </x:c>
      <x:c r="F466" s="3" t="s">
        <x:v>149</x:v>
      </x:c>
      <x:c r="G466" s="3" t="s">
        <x:v>447</x:v>
      </x:c>
      <x:c r="H466" s="3" t="s">
        <x:v>343</x:v>
      </x:c>
      <x:c r="I466" s="3" t="s">
        <x:v>102</x:v>
      </x:c>
      <x:c r="J466" s="3" t="s">
        <x:v>103</x:v>
      </x:c>
      <x:c r="K466" s="3" t="s">
        <x:v>104</x:v>
      </x:c>
      <x:c r="L466" s="3" t="s">
        <x:v>226</x:v>
      </x:c>
      <x:c r="M466" s="3" t="s">
        <x:v>227</x:v>
      </x:c>
      <x:c r="N466" s="3" t="s">
        <x:v>228</x:v>
      </x:c>
      <x:c r="O466" s="3" t="s">
        <x:v>229</x:v>
      </x:c>
      <x:c r="P466" s="3" t="s">
        <x:v>230</x:v>
      </x:c>
      <x:c r="Q466" s="3" t="s">
        <x:v>274</x:v>
      </x:c>
      <x:c r="R466" s="3" t="s">
        <x:v>344</x:v>
      </x:c>
      <x:c r="S466" s="3" t="s">
        <x:v>111</x:v>
      </x:c>
      <x:c r="T466" s="3" t="s">
        <x:v>111</x:v>
      </x:c>
      <x:c r="U466" s="3" t="s">
        <x:v>345</x:v>
      </x:c>
      <x:c r="V466" s="3" t="s">
        <x:v>178</x:v>
      </x:c>
      <x:c r="W466" s="3" t="s">
        <x:v>332</x:v>
      </x:c>
      <x:c r="X466" s="3" t="s">
        <x:v>180</x:v>
      </x:c>
      <x:c r="Y466" s="3" t="s">
        <x:v>333</x:v>
      </x:c>
      <x:c r="Z466" s="3" t="s">
        <x:v>346</x:v>
      </x:c>
      <x:c r="AA466" s="3" t="s">
        <x:v>118</x:v>
      </x:c>
      <x:c r="AB466" s="7" t="n">
        <x:v>46281.5020833333</x:v>
      </x:c>
      <x:c r="AC466" s="7" t="n">
        <x:v>46281.5034722222</x:v>
      </x:c>
      <x:c r="AD466" s="7" t="n">
        <x:v>46281.5048611111</x:v>
      </x:c>
      <x:c r="AE466" s="7" t="n">
        <x:v>46281.5354166667</x:v>
      </x:c>
      <x:c r="AF466" s="7" t="n">
        <x:v>46281.56875</x:v>
      </x:c>
      <x:c r="AG466" s="3" t="n">
        <x:v>48</x:v>
      </x:c>
      <x:c r="AH466" s="3" t="n">
        <x:v>44</x:v>
      </x:c>
      <x:c r="AI466" s="3" t="s">
        <x:v>135</x:v>
      </x:c>
      <x:c r="AJ466" s="3" t="s">
        <x:v>135</x:v>
      </x:c>
      <x:c r="AK466" s="3" t="n">
        <x:v>120</x:v>
      </x:c>
      <x:c r="AL466" s="3" t="n">
        <x:v>0</x:v>
      </x:c>
      <x:c r="AM466" s="8" t="n">
        <x:v>0.7667</x:v>
      </x:c>
      <x:c r="AN466" s="3" t="n">
        <x:v>2</x:v>
      </x:c>
      <x:c r="AO466" s="3" t="s">
        <x:v>14</x:v>
      </x:c>
      <x:c r="AP466" s="3" t="s">
        <x:v>717</x:v>
      </x:c>
      <x:c r="AQ466" s="3" t="s">
        <x:v>546</x:v>
      </x:c>
      <x:c r="AR466" s="9" t="n">
        <x:v>792.8</x:v>
      </x:c>
      <x:c r="AS466" s="3" t="s">
        <x:v>185</x:v>
      </x:c>
      <x:c r="AT466" s="7" t="n">
        <x:v>46301.9166666667</x:v>
      </x:c>
    </x:row>
    <x:row r="467" ht="31.299999237060547" hidden="0">
      <x:c r="A467" s="3" t="s">
        <x:v>995</x:v>
      </x:c>
      <x:c r="B467" s="3" t="s">
        <x:v>397</x:v>
      </x:c>
      <x:c r="C467" s="3" t="s">
        <x:v>398</x:v>
      </x:c>
      <x:c r="D467" s="3" t="s">
        <x:v>399</x:v>
      </x:c>
      <x:c r="E467" s="3" t="s">
        <x:v>249</x:v>
      </x:c>
      <x:c r="F467" s="3" t="s">
        <x:v>99</x:v>
      </x:c>
      <x:c r="G467" s="3" t="s">
        <x:v>400</x:v>
      </x:c>
      <x:c r="H467" s="3" t="s">
        <x:v>301</x:v>
      </x:c>
      <x:c r="I467" s="3" t="s">
        <x:v>302</x:v>
      </x:c>
      <x:c r="J467" s="3" t="s">
        <x:v>303</x:v>
      </x:c>
      <x:c r="K467" s="3" t="s">
        <x:v>104</x:v>
      </x:c>
      <x:c r="L467" s="3" t="s">
        <x:v>401</x:v>
      </x:c>
      <x:c r="M467" s="3" t="s">
        <x:v>402</x:v>
      </x:c>
      <x:c r="N467" s="3" t="s">
        <x:v>403</x:v>
      </x:c>
      <x:c r="O467" s="3" t="s">
        <x:v>404</x:v>
      </x:c>
      <x:c r="P467" s="3" t="s">
        <x:v>405</x:v>
      </x:c>
      <x:c r="Q467" s="3" t="s">
        <x:v>406</x:v>
      </x:c>
      <x:c r="R467" s="3" t="s">
        <x:v>134</x:v>
      </x:c>
      <x:c r="S467" s="3" t="s">
        <x:v>135</x:v>
      </x:c>
      <x:c r="T467" s="3" t="s">
        <x:v>111</x:v>
      </x:c>
      <x:c r="U467" s="3" t="s">
        <x:v>136</x:v>
      </x:c>
      <x:c r="V467" s="3" t="s">
        <x:v>137</x:v>
      </x:c>
      <x:c r="W467" s="3" t="s">
        <x:v>407</x:v>
      </x:c>
      <x:c r="X467" s="3" t="s">
        <x:v>139</x:v>
      </x:c>
      <x:c r="Y467" s="3" t="s">
        <x:v>140</x:v>
      </x:c>
      <x:c r="Z467" s="3" t="s">
        <x:v>141</x:v>
      </x:c>
      <x:c r="AA467" s="3" t="s">
        <x:v>118</x:v>
      </x:c>
      <x:c r="AB467" s="7" t="n">
        <x:v>46281.5784722222</x:v>
      </x:c>
      <x:c r="AC467" s="7" t="n">
        <x:v>46281.5805555556</x:v>
      </x:c>
      <x:c r="AD467" s="7" t="n">
        <x:v>46281.5847222222</x:v>
      </x:c>
      <x:c r="AE467" s="7" t="n">
        <x:v>46281.6013888889</x:v>
      </x:c>
      <x:c r="AF467" s="7" t="n">
        <x:v>46281.6736111111</x:v>
      </x:c>
      <x:c r="AG467" s="3" t="n">
        <x:v>33</x:v>
      </x:c>
      <x:c r="AH467" s="3" t="n">
        <x:v>96</x:v>
      </x:c>
      <x:c r="AI467" s="3" t="s">
        <x:v>135</x:v>
      </x:c>
      <x:c r="AJ467" s="3" t="s">
        <x:v>135</x:v>
      </x:c>
      <x:c r="AK467" s="3" t="n">
        <x:v>180</x:v>
      </x:c>
      <x:c r="AL467" s="3" t="n">
        <x:v>0</x:v>
      </x:c>
      <x:c r="AM467" s="8" t="n">
        <x:v>0.7167</x:v>
      </x:c>
      <x:c r="AN467" s="3" t="n">
        <x:v>3</x:v>
      </x:c>
      <x:c r="AO467" s="3" t="s">
        <x:v>14</x:v>
      </x:c>
      <x:c r="AP467" s="3" t="s">
        <x:v>633</x:v>
      </x:c>
      <x:c r="AQ467" s="3" t="s">
        <x:v>593</x:v>
      </x:c>
      <x:c r="AR467" s="9" t="n">
        <x:v>1349.7</x:v>
      </x:c>
      <x:c r="AS467" s="3" t="s">
        <x:v>185</x:v>
      </x:c>
      <x:c r="AT467" s="7" t="n">
        <x:v>46301.9166666667</x:v>
      </x:c>
    </x:row>
    <x:row r="468" ht="31.299999237060547" hidden="0">
      <x:c r="A468" s="3" t="s">
        <x:v>996</x:v>
      </x:c>
      <x:c r="B468" s="3" t="s">
        <x:v>83</x:v>
      </x:c>
      <x:c r="C468" s="3" t="s">
        <x:v>96</x:v>
      </x:c>
      <x:c r="D468" s="3" t="s">
        <x:v>97</x:v>
      </x:c>
      <x:c r="E468" s="3" t="s">
        <x:v>249</x:v>
      </x:c>
      <x:c r="F468" s="3" t="s">
        <x:v>99</x:v>
      </x:c>
      <x:c r="G468" s="3" t="s">
        <x:v>359</x:v>
      </x:c>
      <x:c r="H468" s="3" t="s">
        <x:v>101</x:v>
      </x:c>
      <x:c r="I468" s="3" t="s">
        <x:v>102</x:v>
      </x:c>
      <x:c r="J468" s="3" t="s">
        <x:v>103</x:v>
      </x:c>
      <x:c r="K468" s="3" t="s">
        <x:v>104</x:v>
      </x:c>
      <x:c r="L468" s="3" t="s">
        <x:v>105</x:v>
      </x:c>
      <x:c r="M468" s="3" t="s">
        <x:v>106</x:v>
      </x:c>
      <x:c r="N468" s="3" t="s">
        <x:v>107</x:v>
      </x:c>
      <x:c r="O468" s="3" t="s">
        <x:v>108</x:v>
      </x:c>
      <x:c r="P468" s="3" t="s">
        <x:v>109</x:v>
      </x:c>
      <x:c r="Q468" s="3" t="s">
        <x:v>250</x:v>
      </x:c>
      <x:c r="R468" s="3" t="s">
        <x:v>156</x:v>
      </x:c>
      <x:c r="S468" s="3" t="s">
        <x:v>135</x:v>
      </x:c>
      <x:c r="T468" s="3" t="s">
        <x:v>111</x:v>
      </x:c>
      <x:c r="U468" s="3" t="s">
        <x:v>157</x:v>
      </x:c>
      <x:c r="V468" s="3" t="s">
        <x:v>158</x:v>
      </x:c>
      <x:c r="W468" s="3" t="s">
        <x:v>159</x:v>
      </x:c>
      <x:c r="X468" s="3" t="s">
        <x:v>160</x:v>
      </x:c>
      <x:c r="Y468" s="3" t="s">
        <x:v>360</x:v>
      </x:c>
      <x:c r="Z468" s="3" t="s">
        <x:v>162</x:v>
      </x:c>
      <x:c r="AA468" s="3" t="s">
        <x:v>118</x:v>
      </x:c>
      <x:c r="AB468" s="7" t="n">
        <x:v>46281.61875</x:v>
      </x:c>
      <x:c r="AC468" s="7" t="n">
        <x:v>46281.6229166667</x:v>
      </x:c>
      <x:c r="AD468" s="7" t="n">
        <x:v>46281.6291666667</x:v>
      </x:c>
      <x:c r="AE468" s="7" t="n">
        <x:v>46281.6527777778</x:v>
      </x:c>
      <x:c r="AF468" s="7" t="n">
        <x:v>46281.6958333333</x:v>
      </x:c>
      <x:c r="AG468" s="3" t="n">
        <x:v>49</x:v>
      </x:c>
      <x:c r="AH468" s="3" t="n">
        <x:v>57</x:v>
      </x:c>
      <x:c r="AI468" s="3" t="s">
        <x:v>111</x:v>
      </x:c>
      <x:c r="AJ468" s="3" t="s">
        <x:v>111</x:v>
      </x:c>
      <x:c r="AK468" s="3" t="n">
        <x:v>60</x:v>
      </x:c>
      <x:c r="AL468" s="3" t="n">
        <x:v>0</x:v>
      </x:c>
      <x:c r="AM468" s="8" t="n">
        <x:v>1.7667</x:v>
      </x:c>
      <x:c r="AN468" s="3" t="n">
        <x:v>1</x:v>
      </x:c>
      <x:c r="AO468" s="3" t="s">
        <x:v>24</x:v>
      </x:c>
      <x:c r="AP468" s="3" t="s">
        <x:v>561</x:v>
      </x:c>
      <x:c r="AQ468" s="3" t="s">
        <x:v>562</x:v>
      </x:c>
      <x:c r="AR468" s="9" t="n">
        <x:v>1210.9</x:v>
      </x:c>
      <x:c r="AS468" s="3" t="s">
        <x:v>185</x:v>
      </x:c>
      <x:c r="AT468" s="7" t="n">
        <x:v>46301.9166666667</x:v>
      </x:c>
    </x:row>
    <x:row r="469" ht="31.299999237060547" hidden="0">
      <x:c r="A469" s="3" t="s">
        <x:v>997</x:v>
      </x:c>
      <x:c r="B469" s="3" t="s">
        <x:v>166</x:v>
      </x:c>
      <x:c r="C469" s="3" t="s">
        <x:v>167</x:v>
      </x:c>
      <x:c r="D469" s="3" t="s">
        <x:v>168</x:v>
      </x:c>
      <x:c r="E469" s="3" t="s">
        <x:v>249</x:v>
      </x:c>
      <x:c r="F469" s="3" t="s">
        <x:v>127</x:v>
      </x:c>
      <x:c r="G469" s="3" t="s">
        <x:v>507</x:v>
      </x:c>
      <x:c r="H469" s="3" t="s">
        <x:v>101</x:v>
      </x:c>
      <x:c r="I469" s="3" t="s">
        <x:v>102</x:v>
      </x:c>
      <x:c r="J469" s="3" t="s">
        <x:v>103</x:v>
      </x:c>
      <x:c r="K469" s="3" t="s">
        <x:v>104</x:v>
      </x:c>
      <x:c r="L469" s="3" t="s">
        <x:v>171</x:v>
      </x:c>
      <x:c r="M469" s="3" t="s">
        <x:v>172</x:v>
      </x:c>
      <x:c r="N469" s="3" t="s">
        <x:v>173</x:v>
      </x:c>
      <x:c r="O469" s="3" t="s">
        <x:v>174</x:v>
      </x:c>
      <x:c r="P469" s="3" t="s">
        <x:v>175</x:v>
      </x:c>
      <x:c r="Q469" s="3" t="s">
        <x:v>271</x:v>
      </x:c>
      <x:c r="R469" s="3" t="s">
        <x:v>373</x:v>
      </x:c>
      <x:c r="S469" s="3" t="s">
        <x:v>135</x:v>
      </x:c>
      <x:c r="T469" s="3" t="s">
        <x:v>111</x:v>
      </x:c>
      <x:c r="U469" s="3" t="s">
        <x:v>374</x:v>
      </x:c>
      <x:c r="V469" s="3" t="s">
        <x:v>178</x:v>
      </x:c>
      <x:c r="W469" s="3" t="s">
        <x:v>355</x:v>
      </x:c>
      <x:c r="X469" s="3" t="s">
        <x:v>180</x:v>
      </x:c>
      <x:c r="Y469" s="3" t="s">
        <x:v>356</x:v>
      </x:c>
      <x:c r="Z469" s="3" t="s">
        <x:v>375</x:v>
      </x:c>
      <x:c r="AA469" s="3" t="s">
        <x:v>118</x:v>
      </x:c>
      <x:c r="AB469" s="7" t="n">
        <x:v>46281.6986111111</x:v>
      </x:c>
      <x:c r="AC469" s="7" t="n">
        <x:v>46281.7</x:v>
      </x:c>
      <x:c r="AD469" s="7" t="n">
        <x:v>46281.7055555556</x:v>
      </x:c>
      <x:c r="AE469" s="7" t="n">
        <x:v>46281.7263888889</x:v>
      </x:c>
      <x:c r="AF469" s="7" t="n">
        <x:v>46281.7756944444</x:v>
      </x:c>
      <x:c r="AG469" s="3" t="n">
        <x:v>40</x:v>
      </x:c>
      <x:c r="AH469" s="3" t="n">
        <x:v>67</x:v>
      </x:c>
      <x:c r="AI469" s="3" t="s">
        <x:v>135</x:v>
      </x:c>
      <x:c r="AJ469" s="3" t="s">
        <x:v>135</x:v>
      </x:c>
      <x:c r="AK469" s="3" t="n">
        <x:v>150</x:v>
      </x:c>
      <x:c r="AL469" s="3" t="n">
        <x:v>0</x:v>
      </x:c>
      <x:c r="AM469" s="8" t="n">
        <x:v>0.7133</x:v>
      </x:c>
      <x:c r="AN469" s="3" t="n">
        <x:v>0</x:v>
      </x:c>
      <x:c r="AO469" s="3" t="s">
        <x:v>14</x:v>
      </x:c>
      <x:c r="AP469" s="3" t="s">
        <x:v>347</x:v>
      </x:c>
      <x:c r="AQ469" s="3" t="s">
        <x:v>340</x:v>
      </x:c>
      <x:c r="AR469" s="9" t="n">
        <x:v>1302.4</x:v>
      </x:c>
      <x:c r="AS469" s="3" t="s">
        <x:v>185</x:v>
      </x:c>
      <x:c r="AT469" s="7" t="n">
        <x:v>46301.9166666667</x:v>
      </x:c>
    </x:row>
    <x:row r="470" ht="31.299999237060547" hidden="0">
      <x:c r="A470" s="3" t="s">
        <x:v>998</x:v>
      </x:c>
      <x:c r="B470" s="3" t="s">
        <x:v>233</x:v>
      </x:c>
      <x:c r="C470" s="3" t="s">
        <x:v>234</x:v>
      </x:c>
      <x:c r="D470" s="3" t="s">
        <x:v>235</x:v>
      </x:c>
      <x:c r="E470" s="3" t="s">
        <x:v>249</x:v>
      </x:c>
      <x:c r="F470" s="3" t="s">
        <x:v>169</x:v>
      </x:c>
      <x:c r="G470" s="3" t="s">
        <x:v>349</x:v>
      </x:c>
      <x:c r="H470" s="3" t="s">
        <x:v>343</x:v>
      </x:c>
      <x:c r="I470" s="3" t="s">
        <x:v>102</x:v>
      </x:c>
      <x:c r="J470" s="3" t="s">
        <x:v>103</x:v>
      </x:c>
      <x:c r="K470" s="3" t="s">
        <x:v>104</x:v>
      </x:c>
      <x:c r="L470" s="3" t="s">
        <x:v>237</x:v>
      </x:c>
      <x:c r="M470" s="3" t="s">
        <x:v>172</x:v>
      </x:c>
      <x:c r="N470" s="3" t="s">
        <x:v>238</x:v>
      </x:c>
      <x:c r="O470" s="3" t="s">
        <x:v>239</x:v>
      </x:c>
      <x:c r="P470" s="3" t="s">
        <x:v>240</x:v>
      </x:c>
      <x:c r="Q470" s="3" t="s">
        <x:v>276</x:v>
      </x:c>
      <x:c r="R470" s="3" t="s">
        <x:v>344</x:v>
      </x:c>
      <x:c r="S470" s="3" t="s">
        <x:v>111</x:v>
      </x:c>
      <x:c r="T470" s="3" t="s">
        <x:v>111</x:v>
      </x:c>
      <x:c r="U470" s="3" t="s">
        <x:v>345</x:v>
      </x:c>
      <x:c r="V470" s="3" t="s">
        <x:v>178</x:v>
      </x:c>
      <x:c r="W470" s="3" t="s">
        <x:v>332</x:v>
      </x:c>
      <x:c r="X470" s="3" t="s">
        <x:v>180</x:v>
      </x:c>
      <x:c r="Y470" s="3" t="s">
        <x:v>333</x:v>
      </x:c>
      <x:c r="Z470" s="3" t="s">
        <x:v>346</x:v>
      </x:c>
      <x:c r="AA470" s="3" t="s">
        <x:v>118</x:v>
      </x:c>
      <x:c r="AB470" s="7" t="n">
        <x:v>46281.7097222222</x:v>
      </x:c>
      <x:c r="AC470" s="7" t="n">
        <x:v>46281.7145833333</x:v>
      </x:c>
      <x:c r="AD470" s="7" t="n">
        <x:v>46281.7208333333</x:v>
      </x:c>
      <x:c r="AE470" s="7" t="n">
        <x:v>46281.7298611111</x:v>
      </x:c>
      <x:c r="AF470" s="7" t="n">
        <x:v>46281.7881944444</x:v>
      </x:c>
      <x:c r="AG470" s="3" t="n">
        <x:v>29</x:v>
      </x:c>
      <x:c r="AH470" s="3" t="n">
        <x:v>76</x:v>
      </x:c>
      <x:c r="AI470" s="3" t="s">
        <x:v>135</x:v>
      </x:c>
      <x:c r="AJ470" s="3" t="s">
        <x:v>111</x:v>
      </x:c>
      <x:c r="AK470" s="3" t="n">
        <x:v>120</x:v>
      </x:c>
      <x:c r="AL470" s="3" t="n">
        <x:v>0</x:v>
      </x:c>
      <x:c r="AM470" s="8" t="n">
        <x:v>0.875</x:v>
      </x:c>
      <x:c r="AN470" s="3" t="n">
        <x:v>1</x:v>
      </x:c>
      <x:c r="AO470" s="3" t="s">
        <x:v>19</x:v>
      </x:c>
      <x:c r="AP470" s="3" t="s">
        <x:v>515</x:v>
      </x:c>
      <x:c r="AQ470" s="3" t="s">
        <x:v>501</x:v>
      </x:c>
      <x:c r="AR470" s="9" t="n">
        <x:v>937.7</x:v>
      </x:c>
      <x:c r="AS470" s="3" t="s">
        <x:v>185</x:v>
      </x:c>
      <x:c r="AT470" s="7" t="n">
        <x:v>46301.9166666667</x:v>
      </x:c>
    </x:row>
    <x:row r="471" ht="31.299999237060547" hidden="0">
      <x:c r="A471" s="3" t="s">
        <x:v>999</x:v>
      </x:c>
      <x:c r="B471" s="3" t="s">
        <x:v>321</x:v>
      </x:c>
      <x:c r="C471" s="3" t="s">
        <x:v>322</x:v>
      </x:c>
      <x:c r="D471" s="3" t="s">
        <x:v>323</x:v>
      </x:c>
      <x:c r="E471" s="3" t="s">
        <x:v>249</x:v>
      </x:c>
      <x:c r="F471" s="3" t="s">
        <x:v>169</x:v>
      </x:c>
      <x:c r="G471" s="3" t="s">
        <x:v>581</x:v>
      </x:c>
      <x:c r="H471" s="3" t="s">
        <x:v>301</x:v>
      </x:c>
      <x:c r="I471" s="3" t="s">
        <x:v>302</x:v>
      </x:c>
      <x:c r="J471" s="3" t="s">
        <x:v>303</x:v>
      </x:c>
      <x:c r="K471" s="3" t="s">
        <x:v>104</x:v>
      </x:c>
      <x:c r="L471" s="3" t="s">
        <x:v>325</x:v>
      </x:c>
      <x:c r="M471" s="3" t="s">
        <x:v>326</x:v>
      </x:c>
      <x:c r="N471" s="3" t="s">
        <x:v>131</x:v>
      </x:c>
      <x:c r="O471" s="3" t="s">
        <x:v>327</x:v>
      </x:c>
      <x:c r="P471" s="3" t="s">
        <x:v>328</x:v>
      </x:c>
      <x:c r="Q471" s="3" t="s">
        <x:v>329</x:v>
      </x:c>
      <x:c r="R471" s="3" t="s">
        <x:v>380</x:v>
      </x:c>
      <x:c r="S471" s="3" t="s">
        <x:v>111</x:v>
      </x:c>
      <x:c r="T471" s="3" t="s">
        <x:v>111</x:v>
      </x:c>
      <x:c r="U471" s="3" t="s">
        <x:v>381</x:v>
      </x:c>
      <x:c r="V471" s="3" t="s">
        <x:v>312</x:v>
      </x:c>
      <x:c r="W471" s="3" t="s">
        <x:v>351</x:v>
      </x:c>
      <x:c r="X471" s="3" t="s">
        <x:v>314</x:v>
      </x:c>
      <x:c r="Y471" s="3" t="s">
        <x:v>352</x:v>
      </x:c>
      <x:c r="Z471" s="3" t="s">
        <x:v>384</x:v>
      </x:c>
      <x:c r="AA471" s="3" t="s">
        <x:v>385</x:v>
      </x:c>
      <x:c r="AB471" s="7" t="n">
        <x:v>46281.7597222222</x:v>
      </x:c>
      <x:c r="AC471" s="7" t="n">
        <x:v>46281.7631944444</x:v>
      </x:c>
      <x:c r="AD471" s="7" t="n">
        <x:v>46281.7673611111</x:v>
      </x:c>
      <x:c r="AE471" s="7" t="n">
        <x:v>46281.7881944444</x:v>
      </x:c>
      <x:c r="AF471" s="7" t="n">
        <x:v>46281.8145833333</x:v>
      </x:c>
      <x:c r="AG471" s="3" t="n">
        <x:v>41</x:v>
      </x:c>
      <x:c r="AH471" s="3" t="n">
        <x:v>34</x:v>
      </x:c>
      <x:c r="AI471" s="3" t="s">
        <x:v>135</x:v>
      </x:c>
      <x:c r="AJ471" s="3" t="s">
        <x:v>111</x:v>
      </x:c>
      <x:c r="AK471" s="3" t="n">
        <x:v>120</x:v>
      </x:c>
      <x:c r="AL471" s="3" t="n">
        <x:v>0</x:v>
      </x:c>
      <x:c r="AM471" s="8" t="n">
        <x:v>0.625</x:v>
      </x:c>
      <x:c r="AN471" s="3" t="n">
        <x:v>1</x:v>
      </x:c>
      <x:c r="AO471" s="3" t="s">
        <x:v>14</x:v>
      </x:c>
      <x:c r="AP471" s="3" t="s">
        <x:v>664</x:v>
      </x:c>
      <x:c r="AQ471" s="3" t="s">
        <x:v>516</x:v>
      </x:c>
      <x:c r="AR471" s="9" t="n">
        <x:v>689.3</x:v>
      </x:c>
      <x:c r="AS471" s="3" t="s">
        <x:v>121</x:v>
      </x:c>
      <x:c r="AT471" s="7" t="n">
        <x:v>46301.9166666667</x:v>
      </x:c>
    </x:row>
    <x:row r="472" ht="31.299999237060547" hidden="0">
      <x:c r="A472" s="3" t="s">
        <x:v>1000</x:v>
      </x:c>
      <x:c r="B472" s="3" t="s">
        <x:v>321</x:v>
      </x:c>
      <x:c r="C472" s="3" t="s">
        <x:v>322</x:v>
      </x:c>
      <x:c r="D472" s="3" t="s">
        <x:v>323</x:v>
      </x:c>
      <x:c r="E472" s="3" t="s">
        <x:v>249</x:v>
      </x:c>
      <x:c r="F472" s="3" t="s">
        <x:v>99</x:v>
      </x:c>
      <x:c r="G472" s="3" t="s">
        <x:v>390</x:v>
      </x:c>
      <x:c r="H472" s="3" t="s">
        <x:v>301</x:v>
      </x:c>
      <x:c r="I472" s="3" t="s">
        <x:v>302</x:v>
      </x:c>
      <x:c r="J472" s="3" t="s">
        <x:v>303</x:v>
      </x:c>
      <x:c r="K472" s="3" t="s">
        <x:v>104</x:v>
      </x:c>
      <x:c r="L472" s="3" t="s">
        <x:v>325</x:v>
      </x:c>
      <x:c r="M472" s="3" t="s">
        <x:v>326</x:v>
      </x:c>
      <x:c r="N472" s="3" t="s">
        <x:v>131</x:v>
      </x:c>
      <x:c r="O472" s="3" t="s">
        <x:v>327</x:v>
      </x:c>
      <x:c r="P472" s="3" t="s">
        <x:v>328</x:v>
      </x:c>
      <x:c r="Q472" s="3" t="s">
        <x:v>329</x:v>
      </x:c>
      <x:c r="R472" s="3" t="s">
        <x:v>391</x:v>
      </x:c>
      <x:c r="S472" s="3" t="s">
        <x:v>135</x:v>
      </x:c>
      <x:c r="T472" s="3" t="s">
        <x:v>135</x:v>
      </x:c>
      <x:c r="U472" s="3" t="s">
        <x:v>392</x:v>
      </x:c>
      <x:c r="V472" s="3" t="s">
        <x:v>312</x:v>
      </x:c>
      <x:c r="W472" s="3" t="s">
        <x:v>351</x:v>
      </x:c>
      <x:c r="X472" s="3" t="s">
        <x:v>314</x:v>
      </x:c>
      <x:c r="Y472" s="3" t="s">
        <x:v>352</x:v>
      </x:c>
      <x:c r="Z472" s="3" t="s">
        <x:v>393</x:v>
      </x:c>
      <x:c r="AA472" s="3" t="s">
        <x:v>394</x:v>
      </x:c>
      <x:c r="AB472" s="7" t="n">
        <x:v>46281.8256944444</x:v>
      </x:c>
      <x:c r="AC472" s="7" t="n">
        <x:v>46281.8284722222</x:v>
      </x:c>
      <x:c r="AD472" s="7" t="n">
        <x:v>46281.8347222222</x:v>
      </x:c>
      <x:c r="AE472" s="7" t="n">
        <x:v>46281.8673611111</x:v>
      </x:c>
      <x:c r="AF472" s="7" t="n">
        <x:v>46281.9138888889</x:v>
      </x:c>
      <x:c r="AG472" s="3" t="n">
        <x:v>60</x:v>
      </x:c>
      <x:c r="AH472" s="3" t="n">
        <x:v>60</x:v>
      </x:c>
      <x:c r="AI472" s="3" t="s">
        <x:v>135</x:v>
      </x:c>
      <x:c r="AJ472" s="3" t="s">
        <x:v>111</x:v>
      </x:c>
      <x:c r="AK472" s="3" t="n">
        <x:v>180</x:v>
      </x:c>
      <x:c r="AL472" s="3" t="n">
        <x:v>0</x:v>
      </x:c>
      <x:c r="AM472" s="8" t="n">
        <x:v>0.6667</x:v>
      </x:c>
      <x:c r="AN472" s="3" t="n">
        <x:v>2</x:v>
      </x:c>
      <x:c r="AO472" s="3" t="s">
        <x:v>14</x:v>
      </x:c>
      <x:c r="AP472" s="3" t="s">
        <x:v>605</x:v>
      </x:c>
      <x:c r="AQ472" s="3" t="s">
        <x:v>516</x:v>
      </x:c>
      <x:c r="AR472" s="9" t="n">
        <x:v>962</x:v>
      </x:c>
      <x:c r="AS472" s="3" t="s">
        <x:v>185</x:v>
      </x:c>
      <x:c r="AT472" s="7" t="n">
        <x:v>46301.9166666667</x:v>
      </x:c>
    </x:row>
    <x:row r="473" ht="31.299999237060547" hidden="0">
      <x:c r="A473" s="3" t="s">
        <x:v>1001</x:v>
      </x:c>
      <x:c r="B473" s="3" t="s">
        <x:v>166</x:v>
      </x:c>
      <x:c r="C473" s="3" t="s">
        <x:v>167</x:v>
      </x:c>
      <x:c r="D473" s="3" t="s">
        <x:v>168</x:v>
      </x:c>
      <x:c r="E473" s="3" t="s">
        <x:v>249</x:v>
      </x:c>
      <x:c r="F473" s="3" t="s">
        <x:v>99</x:v>
      </x:c>
      <x:c r="G473" s="3" t="s">
        <x:v>416</x:v>
      </x:c>
      <x:c r="H473" s="3" t="s">
        <x:v>339</x:v>
      </x:c>
      <x:c r="I473" s="3" t="s">
        <x:v>102</x:v>
      </x:c>
      <x:c r="J473" s="3" t="s">
        <x:v>103</x:v>
      </x:c>
      <x:c r="K473" s="3" t="s">
        <x:v>104</x:v>
      </x:c>
      <x:c r="L473" s="3" t="s">
        <x:v>171</x:v>
      </x:c>
      <x:c r="M473" s="3" t="s">
        <x:v>172</x:v>
      </x:c>
      <x:c r="N473" s="3" t="s">
        <x:v>173</x:v>
      </x:c>
      <x:c r="O473" s="3" t="s">
        <x:v>174</x:v>
      </x:c>
      <x:c r="P473" s="3" t="s">
        <x:v>175</x:v>
      </x:c>
      <x:c r="Q473" s="3" t="s">
        <x:v>271</x:v>
      </x:c>
      <x:c r="R473" s="3" t="s">
        <x:v>373</x:v>
      </x:c>
      <x:c r="S473" s="3" t="s">
        <x:v>135</x:v>
      </x:c>
      <x:c r="T473" s="3" t="s">
        <x:v>111</x:v>
      </x:c>
      <x:c r="U473" s="3" t="s">
        <x:v>374</x:v>
      </x:c>
      <x:c r="V473" s="3" t="s">
        <x:v>178</x:v>
      </x:c>
      <x:c r="W473" s="3" t="s">
        <x:v>179</x:v>
      </x:c>
      <x:c r="X473" s="3" t="s">
        <x:v>180</x:v>
      </x:c>
      <x:c r="Y473" s="3" t="s">
        <x:v>414</x:v>
      </x:c>
      <x:c r="Z473" s="3" t="s">
        <x:v>375</x:v>
      </x:c>
      <x:c r="AA473" s="3" t="s">
        <x:v>118</x:v>
      </x:c>
      <x:c r="AB473" s="7" t="n">
        <x:v>46282.3534722222</x:v>
      </x:c>
      <x:c r="AC473" s="7" t="n">
        <x:v>46282.3555555556</x:v>
      </x:c>
      <x:c r="AD473" s="7" t="n">
        <x:v>46282.3590277778</x:v>
      </x:c>
      <x:c r="AE473" s="7" t="n">
        <x:v>46282.3861111111</x:v>
      </x:c>
      <x:c r="AF473" s="7" t="n">
        <x:v>46282.4159722222</x:v>
      </x:c>
      <x:c r="AG473" s="3" t="n">
        <x:v>47</x:v>
      </x:c>
      <x:c r="AH473" s="3" t="n">
        <x:v>39</x:v>
      </x:c>
      <x:c r="AI473" s="3" t="s">
        <x:v>135</x:v>
      </x:c>
      <x:c r="AJ473" s="3" t="s">
        <x:v>135</x:v>
      </x:c>
      <x:c r="AK473" s="3" t="n">
        <x:v>150</x:v>
      </x:c>
      <x:c r="AL473" s="3" t="n">
        <x:v>0</x:v>
      </x:c>
      <x:c r="AM473" s="8" t="n">
        <x:v>0.5733</x:v>
      </x:c>
      <x:c r="AN473" s="3" t="n">
        <x:v>3</x:v>
      </x:c>
      <x:c r="AO473" s="3" t="s">
        <x:v>14</x:v>
      </x:c>
      <x:c r="AP473" s="3" t="s">
        <x:v>183</x:v>
      </x:c>
      <x:c r="AQ473" s="3" t="s">
        <x:v>1002</x:v>
      </x:c>
      <x:c r="AR473" s="9" t="n">
        <x:v>1382.3</x:v>
      </x:c>
      <x:c r="AS473" s="3" t="s">
        <x:v>185</x:v>
      </x:c>
      <x:c r="AT473" s="7" t="n">
        <x:v>46301.9166666667</x:v>
      </x:c>
    </x:row>
    <x:row r="474" ht="31.299999237060547" hidden="0">
      <x:c r="A474" s="3" t="s">
        <x:v>1003</x:v>
      </x:c>
      <x:c r="B474" s="3" t="s">
        <x:v>222</x:v>
      </x:c>
      <x:c r="C474" s="3" t="s">
        <x:v>223</x:v>
      </x:c>
      <x:c r="D474" s="3" t="s">
        <x:v>224</x:v>
      </x:c>
      <x:c r="E474" s="3" t="s">
        <x:v>249</x:v>
      </x:c>
      <x:c r="F474" s="3" t="s">
        <x:v>149</x:v>
      </x:c>
      <x:c r="G474" s="3" t="s">
        <x:v>504</x:v>
      </x:c>
      <x:c r="H474" s="3" t="s">
        <x:v>343</x:v>
      </x:c>
      <x:c r="I474" s="3" t="s">
        <x:v>102</x:v>
      </x:c>
      <x:c r="J474" s="3" t="s">
        <x:v>103</x:v>
      </x:c>
      <x:c r="K474" s="3" t="s">
        <x:v>104</x:v>
      </x:c>
      <x:c r="L474" s="3" t="s">
        <x:v>226</x:v>
      </x:c>
      <x:c r="M474" s="3" t="s">
        <x:v>227</x:v>
      </x:c>
      <x:c r="N474" s="3" t="s">
        <x:v>228</x:v>
      </x:c>
      <x:c r="O474" s="3" t="s">
        <x:v>229</x:v>
      </x:c>
      <x:c r="P474" s="3" t="s">
        <x:v>230</x:v>
      </x:c>
      <x:c r="Q474" s="3" t="s">
        <x:v>274</x:v>
      </x:c>
      <x:c r="R474" s="3" t="s">
        <x:v>344</x:v>
      </x:c>
      <x:c r="S474" s="3" t="s">
        <x:v>111</x:v>
      </x:c>
      <x:c r="T474" s="3" t="s">
        <x:v>111</x:v>
      </x:c>
      <x:c r="U474" s="3" t="s">
        <x:v>345</x:v>
      </x:c>
      <x:c r="V474" s="3" t="s">
        <x:v>178</x:v>
      </x:c>
      <x:c r="W474" s="3" t="s">
        <x:v>332</x:v>
      </x:c>
      <x:c r="X474" s="3" t="s">
        <x:v>180</x:v>
      </x:c>
      <x:c r="Y474" s="3" t="s">
        <x:v>333</x:v>
      </x:c>
      <x:c r="Z474" s="3" t="s">
        <x:v>346</x:v>
      </x:c>
      <x:c r="AA474" s="3" t="s">
        <x:v>118</x:v>
      </x:c>
      <x:c r="AB474" s="7" t="n">
        <x:v>46282.3763888889</x:v>
      </x:c>
      <x:c r="AC474" s="7" t="n">
        <x:v>46282.3777777778</x:v>
      </x:c>
      <x:c r="AD474" s="7" t="n">
        <x:v>46282.3826388889</x:v>
      </x:c>
      <x:c r="AE474" s="7" t="n">
        <x:v>46282.3986111111</x:v>
      </x:c>
      <x:c r="AF474" s="7" t="n">
        <x:v>46282.4402777778</x:v>
      </x:c>
      <x:c r="AG474" s="3" t="n">
        <x:v>32</x:v>
      </x:c>
      <x:c r="AH474" s="3" t="n">
        <x:v>53</x:v>
      </x:c>
      <x:c r="AI474" s="3" t="s">
        <x:v>135</x:v>
      </x:c>
      <x:c r="AJ474" s="3" t="s">
        <x:v>135</x:v>
      </x:c>
      <x:c r="AK474" s="3" t="n">
        <x:v>120</x:v>
      </x:c>
      <x:c r="AL474" s="3" t="n">
        <x:v>0</x:v>
      </x:c>
      <x:c r="AM474" s="8" t="n">
        <x:v>0.7083</x:v>
      </x:c>
      <x:c r="AN474" s="3" t="n">
        <x:v>0</x:v>
      </x:c>
      <x:c r="AO474" s="3" t="s">
        <x:v>14</x:v>
      </x:c>
      <x:c r="AP474" s="3" t="s">
        <x:v>347</x:v>
      </x:c>
      <x:c r="AQ474" s="3" t="s">
        <x:v>370</x:v>
      </x:c>
      <x:c r="AR474" s="9" t="n">
        <x:v>785.6</x:v>
      </x:c>
      <x:c r="AS474" s="3" t="s">
        <x:v>121</x:v>
      </x:c>
      <x:c r="AT474" s="7" t="n">
        <x:v>46301.9166666667</x:v>
      </x:c>
    </x:row>
    <x:row r="475" ht="31.299999237060547" hidden="0">
      <x:c r="A475" s="3" t="s">
        <x:v>1004</x:v>
      </x:c>
      <x:c r="B475" s="3" t="s">
        <x:v>187</x:v>
      </x:c>
      <x:c r="C475" s="3" t="s">
        <x:v>188</x:v>
      </x:c>
      <x:c r="D475" s="3" t="s">
        <x:v>189</x:v>
      </x:c>
      <x:c r="E475" s="3" t="s">
        <x:v>249</x:v>
      </x:c>
      <x:c r="F475" s="3" t="s">
        <x:v>169</x:v>
      </x:c>
      <x:c r="G475" s="3" t="s">
        <x:v>522</x:v>
      </x:c>
      <x:c r="H475" s="3" t="s">
        <x:v>343</x:v>
      </x:c>
      <x:c r="I475" s="3" t="s">
        <x:v>102</x:v>
      </x:c>
      <x:c r="J475" s="3" t="s">
        <x:v>103</x:v>
      </x:c>
      <x:c r="K475" s="3" t="s">
        <x:v>104</x:v>
      </x:c>
      <x:c r="L475" s="3" t="s">
        <x:v>191</x:v>
      </x:c>
      <x:c r="M475" s="3" t="s">
        <x:v>192</x:v>
      </x:c>
      <x:c r="N475" s="3" t="s">
        <x:v>193</x:v>
      </x:c>
      <x:c r="O475" s="3" t="s">
        <x:v>194</x:v>
      </x:c>
      <x:c r="P475" s="3" t="s">
        <x:v>195</x:v>
      </x:c>
      <x:c r="Q475" s="3" t="s">
        <x:v>273</x:v>
      </x:c>
      <x:c r="R475" s="3" t="s">
        <x:v>380</x:v>
      </x:c>
      <x:c r="S475" s="3" t="s">
        <x:v>111</x:v>
      </x:c>
      <x:c r="T475" s="3" t="s">
        <x:v>111</x:v>
      </x:c>
      <x:c r="U475" s="3" t="s">
        <x:v>381</x:v>
      </x:c>
      <x:c r="V475" s="3" t="s">
        <x:v>312</x:v>
      </x:c>
      <x:c r="W475" s="3" t="s">
        <x:v>382</x:v>
      </x:c>
      <x:c r="X475" s="3" t="s">
        <x:v>314</x:v>
      </x:c>
      <x:c r="Y475" s="3" t="s">
        <x:v>383</x:v>
      </x:c>
      <x:c r="Z475" s="3" t="s">
        <x:v>384</x:v>
      </x:c>
      <x:c r="AA475" s="3" t="s">
        <x:v>385</x:v>
      </x:c>
      <x:c r="AB475" s="7" t="n">
        <x:v>46282.40625</x:v>
      </x:c>
      <x:c r="AC475" s="7" t="n">
        <x:v>46282.4104166667</x:v>
      </x:c>
      <x:c r="AD475" s="7" t="n">
        <x:v>46282.4145833333</x:v>
      </x:c>
      <x:c r="AE475" s="7" t="n">
        <x:v>46282.4354166667</x:v>
      </x:c>
      <x:c r="AF475" s="7" t="n">
        <x:v>46282.4972222222</x:v>
      </x:c>
      <x:c r="AG475" s="3" t="n">
        <x:v>42</x:v>
      </x:c>
      <x:c r="AH475" s="3" t="n">
        <x:v>83</x:v>
      </x:c>
      <x:c r="AI475" s="3" t="s">
        <x:v>135</x:v>
      </x:c>
      <x:c r="AJ475" s="3" t="s">
        <x:v>111</x:v>
      </x:c>
      <x:c r="AK475" s="3" t="n">
        <x:v>120</x:v>
      </x:c>
      <x:c r="AL475" s="3" t="n">
        <x:v>0</x:v>
      </x:c>
      <x:c r="AM475" s="8" t="n">
        <x:v>1.0417</x:v>
      </x:c>
      <x:c r="AN475" s="3" t="n">
        <x:v>0</x:v>
      </x:c>
      <x:c r="AO475" s="3" t="s">
        <x:v>19</x:v>
      </x:c>
      <x:c r="AP475" s="3" t="s">
        <x:v>528</x:v>
      </x:c>
      <x:c r="AQ475" s="3" t="s">
        <x:v>386</x:v>
      </x:c>
      <x:c r="AR475" s="9" t="n">
        <x:v>1426.6</x:v>
      </x:c>
      <x:c r="AS475" s="3" t="s">
        <x:v>185</x:v>
      </x:c>
      <x:c r="AT475" s="7" t="n">
        <x:v>46301.9166666667</x:v>
      </x:c>
    </x:row>
    <x:row r="476" ht="31.299999237060547" hidden="0">
      <x:c r="A476" s="3" t="s">
        <x:v>1005</x:v>
      </x:c>
      <x:c r="B476" s="3" t="s">
        <x:v>83</x:v>
      </x:c>
      <x:c r="C476" s="3" t="s">
        <x:v>96</x:v>
      </x:c>
      <x:c r="D476" s="3" t="s">
        <x:v>97</x:v>
      </x:c>
      <x:c r="E476" s="3" t="s">
        <x:v>249</x:v>
      </x:c>
      <x:c r="F476" s="3" t="s">
        <x:v>149</x:v>
      </x:c>
      <x:c r="G476" s="3" t="s">
        <x:v>447</x:v>
      </x:c>
      <x:c r="H476" s="3" t="s">
        <x:v>343</x:v>
      </x:c>
      <x:c r="I476" s="3" t="s">
        <x:v>102</x:v>
      </x:c>
      <x:c r="J476" s="3" t="s">
        <x:v>103</x:v>
      </x:c>
      <x:c r="K476" s="3" t="s">
        <x:v>104</x:v>
      </x:c>
      <x:c r="L476" s="3" t="s">
        <x:v>105</x:v>
      </x:c>
      <x:c r="M476" s="3" t="s">
        <x:v>106</x:v>
      </x:c>
      <x:c r="N476" s="3" t="s">
        <x:v>107</x:v>
      </x:c>
      <x:c r="O476" s="3" t="s">
        <x:v>108</x:v>
      </x:c>
      <x:c r="P476" s="3" t="s">
        <x:v>109</x:v>
      </x:c>
      <x:c r="Q476" s="3" t="s">
        <x:v>250</x:v>
      </x:c>
      <x:c r="R476" s="3" t="s">
        <x:v>344</x:v>
      </x:c>
      <x:c r="S476" s="3" t="s">
        <x:v>111</x:v>
      </x:c>
      <x:c r="T476" s="3" t="s">
        <x:v>111</x:v>
      </x:c>
      <x:c r="U476" s="3" t="s">
        <x:v>345</x:v>
      </x:c>
      <x:c r="V476" s="3" t="s">
        <x:v>178</x:v>
      </x:c>
      <x:c r="W476" s="3" t="s">
        <x:v>355</x:v>
      </x:c>
      <x:c r="X476" s="3" t="s">
        <x:v>180</x:v>
      </x:c>
      <x:c r="Y476" s="3" t="s">
        <x:v>356</x:v>
      </x:c>
      <x:c r="Z476" s="3" t="s">
        <x:v>346</x:v>
      </x:c>
      <x:c r="AA476" s="3" t="s">
        <x:v>118</x:v>
      </x:c>
      <x:c r="AB476" s="7" t="n">
        <x:v>46282.4215277778</x:v>
      </x:c>
      <x:c r="AC476" s="7" t="n">
        <x:v>46282.4236111111</x:v>
      </x:c>
      <x:c r="AD476" s="7" t="n">
        <x:v>46282.4298611111</x:v>
      </x:c>
      <x:c r="AE476" s="7" t="n">
        <x:v>46282.4583333333</x:v>
      </x:c>
      <x:c r="AF476" s="7" t="n">
        <x:v>46282.4881944444</x:v>
      </x:c>
      <x:c r="AG476" s="3" t="n">
        <x:v>53</x:v>
      </x:c>
      <x:c r="AH476" s="3" t="n">
        <x:v>35</x:v>
      </x:c>
      <x:c r="AI476" s="3" t="s">
        <x:v>111</x:v>
      </x:c>
      <x:c r="AJ476" s="3" t="s">
        <x:v>111</x:v>
      </x:c>
      <x:c r="AK476" s="3" t="n">
        <x:v>60</x:v>
      </x:c>
      <x:c r="AL476" s="3" t="n">
        <x:v>0</x:v>
      </x:c>
      <x:c r="AM476" s="8" t="n">
        <x:v>1.4667</x:v>
      </x:c>
      <x:c r="AN476" s="3" t="n">
        <x:v>0</x:v>
      </x:c>
      <x:c r="AO476" s="3" t="s">
        <x:v>24</x:v>
      </x:c>
      <x:c r="AP476" s="3" t="s">
        <x:v>421</x:v>
      </x:c>
      <x:c r="AQ476" s="3" t="s">
        <x:v>422</x:v>
      </x:c>
      <x:c r="AR476" s="9" t="n">
        <x:v>1070.5</x:v>
      </x:c>
      <x:c r="AS476" s="3" t="s">
        <x:v>185</x:v>
      </x:c>
      <x:c r="AT476" s="7" t="n">
        <x:v>46301.9166666667</x:v>
      </x:c>
    </x:row>
    <x:row r="477" ht="31.299999237060547" hidden="0">
      <x:c r="A477" s="3" t="s">
        <x:v>1006</x:v>
      </x:c>
      <x:c r="B477" s="3" t="s">
        <x:v>83</x:v>
      </x:c>
      <x:c r="C477" s="3" t="s">
        <x:v>96</x:v>
      </x:c>
      <x:c r="D477" s="3" t="s">
        <x:v>97</x:v>
      </x:c>
      <x:c r="E477" s="3" t="s">
        <x:v>249</x:v>
      </x:c>
      <x:c r="F477" s="3" t="s">
        <x:v>99</x:v>
      </x:c>
      <x:c r="G477" s="3" t="s">
        <x:v>447</x:v>
      </x:c>
      <x:c r="H477" s="3" t="s">
        <x:v>343</x:v>
      </x:c>
      <x:c r="I477" s="3" t="s">
        <x:v>102</x:v>
      </x:c>
      <x:c r="J477" s="3" t="s">
        <x:v>103</x:v>
      </x:c>
      <x:c r="K477" s="3" t="s">
        <x:v>104</x:v>
      </x:c>
      <x:c r="L477" s="3" t="s">
        <x:v>105</x:v>
      </x:c>
      <x:c r="M477" s="3" t="s">
        <x:v>106</x:v>
      </x:c>
      <x:c r="N477" s="3" t="s">
        <x:v>107</x:v>
      </x:c>
      <x:c r="O477" s="3" t="s">
        <x:v>108</x:v>
      </x:c>
      <x:c r="P477" s="3" t="s">
        <x:v>109</x:v>
      </x:c>
      <x:c r="Q477" s="3" t="s">
        <x:v>250</x:v>
      </x:c>
      <x:c r="R477" s="3" t="s">
        <x:v>344</x:v>
      </x:c>
      <x:c r="S477" s="3" t="s">
        <x:v>111</x:v>
      </x:c>
      <x:c r="T477" s="3" t="s">
        <x:v>111</x:v>
      </x:c>
      <x:c r="U477" s="3" t="s">
        <x:v>345</x:v>
      </x:c>
      <x:c r="V477" s="3" t="s">
        <x:v>178</x:v>
      </x:c>
      <x:c r="W477" s="3" t="s">
        <x:v>332</x:v>
      </x:c>
      <x:c r="X477" s="3" t="s">
        <x:v>180</x:v>
      </x:c>
      <x:c r="Y477" s="3" t="s">
        <x:v>333</x:v>
      </x:c>
      <x:c r="Z477" s="3" t="s">
        <x:v>346</x:v>
      </x:c>
      <x:c r="AA477" s="3" t="s">
        <x:v>118</x:v>
      </x:c>
      <x:c r="AB477" s="7" t="n">
        <x:v>46282.4229166667</x:v>
      </x:c>
      <x:c r="AC477" s="7" t="n">
        <x:v>46282.4270833333</x:v>
      </x:c>
      <x:c r="AD477" s="7" t="n">
        <x:v>46282.4305555556</x:v>
      </x:c>
      <x:c r="AE477" s="7" t="n">
        <x:v>46282.44375</x:v>
      </x:c>
      <x:c r="AF477" s="7" t="n">
        <x:v>46282.4756944444</x:v>
      </x:c>
      <x:c r="AG477" s="3" t="n">
        <x:v>30</x:v>
      </x:c>
      <x:c r="AH477" s="3" t="n">
        <x:v>39</x:v>
      </x:c>
      <x:c r="AI477" s="3" t="s">
        <x:v>111</x:v>
      </x:c>
      <x:c r="AJ477" s="3" t="s">
        <x:v>111</x:v>
      </x:c>
      <x:c r="AK477" s="3" t="n">
        <x:v>60</x:v>
      </x:c>
      <x:c r="AL477" s="3" t="n">
        <x:v>0</x:v>
      </x:c>
      <x:c r="AM477" s="8" t="n">
        <x:v>1.15</x:v>
      </x:c>
      <x:c r="AN477" s="3" t="n">
        <x:v>1</x:v>
      </x:c>
      <x:c r="AO477" s="3" t="s">
        <x:v>24</x:v>
      </x:c>
      <x:c r="AP477" s="3" t="s">
        <x:v>561</x:v>
      </x:c>
      <x:c r="AQ477" s="3" t="s">
        <x:v>562</x:v>
      </x:c>
      <x:c r="AR477" s="9" t="n">
        <x:v>995.8</x:v>
      </x:c>
      <x:c r="AS477" s="3" t="s">
        <x:v>185</x:v>
      </x:c>
      <x:c r="AT477" s="7" t="n">
        <x:v>46301.9166666667</x:v>
      </x:c>
    </x:row>
    <x:row r="478" ht="31.299999237060547" hidden="0">
      <x:c r="A478" s="3" t="s">
        <x:v>1007</x:v>
      </x:c>
      <x:c r="B478" s="3" t="s">
        <x:v>321</x:v>
      </x:c>
      <x:c r="C478" s="3" t="s">
        <x:v>322</x:v>
      </x:c>
      <x:c r="D478" s="3" t="s">
        <x:v>323</x:v>
      </x:c>
      <x:c r="E478" s="3" t="s">
        <x:v>249</x:v>
      </x:c>
      <x:c r="F478" s="3" t="s">
        <x:v>99</x:v>
      </x:c>
      <x:c r="G478" s="3" t="s">
        <x:v>469</x:v>
      </x:c>
      <x:c r="H478" s="3" t="s">
        <x:v>301</x:v>
      </x:c>
      <x:c r="I478" s="3" t="s">
        <x:v>302</x:v>
      </x:c>
      <x:c r="J478" s="3" t="s">
        <x:v>303</x:v>
      </x:c>
      <x:c r="K478" s="3" t="s">
        <x:v>104</x:v>
      </x:c>
      <x:c r="L478" s="3" t="s">
        <x:v>325</x:v>
      </x:c>
      <x:c r="M478" s="3" t="s">
        <x:v>326</x:v>
      </x:c>
      <x:c r="N478" s="3" t="s">
        <x:v>131</x:v>
      </x:c>
      <x:c r="O478" s="3" t="s">
        <x:v>327</x:v>
      </x:c>
      <x:c r="P478" s="3" t="s">
        <x:v>328</x:v>
      </x:c>
      <x:c r="Q478" s="3" t="s">
        <x:v>329</x:v>
      </x:c>
      <x:c r="R478" s="3" t="s">
        <x:v>110</x:v>
      </x:c>
      <x:c r="S478" s="3" t="s">
        <x:v>111</x:v>
      </x:c>
      <x:c r="T478" s="3" t="s">
        <x:v>111</x:v>
      </x:c>
      <x:c r="U478" s="3" t="s">
        <x:v>112</x:v>
      </x:c>
      <x:c r="V478" s="3" t="s">
        <x:v>113</x:v>
      </x:c>
      <x:c r="W478" s="3" t="s">
        <x:v>419</x:v>
      </x:c>
      <x:c r="X478" s="3" t="s">
        <x:v>115</x:v>
      </x:c>
      <x:c r="Y478" s="3" t="s">
        <x:v>420</x:v>
      </x:c>
      <x:c r="Z478" s="3" t="s">
        <x:v>117</x:v>
      </x:c>
      <x:c r="AA478" s="3" t="s">
        <x:v>118</x:v>
      </x:c>
      <x:c r="AB478" s="7" t="n">
        <x:v>46282.4243055556</x:v>
      </x:c>
      <x:c r="AC478" s="7" t="n">
        <x:v>46282.4270833333</x:v>
      </x:c>
      <x:c r="AD478" s="7" t="n">
        <x:v>46282.4305555556</x:v>
      </x:c>
      <x:c r="AE478" s="7" t="n">
        <x:v>46282.45</x:v>
      </x:c>
      <x:c r="AF478" s="7" t="n">
        <x:v>46282.4861111111</x:v>
      </x:c>
      <x:c r="AG478" s="3" t="n">
        <x:v>37</x:v>
      </x:c>
      <x:c r="AH478" s="3" t="n">
        <x:v>46</x:v>
      </x:c>
      <x:c r="AI478" s="3" t="s">
        <x:v>135</x:v>
      </x:c>
      <x:c r="AJ478" s="3" t="s">
        <x:v>111</x:v>
      </x:c>
      <x:c r="AK478" s="3" t="n">
        <x:v>120</x:v>
      </x:c>
      <x:c r="AL478" s="3" t="n">
        <x:v>0</x:v>
      </x:c>
      <x:c r="AM478" s="8" t="n">
        <x:v>0.6917</x:v>
      </x:c>
      <x:c r="AN478" s="3" t="n">
        <x:v>1</x:v>
      </x:c>
      <x:c r="AO478" s="3" t="s">
        <x:v>14</x:v>
      </x:c>
      <x:c r="AP478" s="3" t="s">
        <x:v>664</x:v>
      </x:c>
      <x:c r="AQ478" s="3" t="s">
        <x:v>516</x:v>
      </x:c>
      <x:c r="AR478" s="9" t="n">
        <x:v>757.7</x:v>
      </x:c>
      <x:c r="AS478" s="3" t="s">
        <x:v>121</x:v>
      </x:c>
      <x:c r="AT478" s="7" t="n">
        <x:v>46301.9166666667</x:v>
      </x:c>
    </x:row>
    <x:row r="479" ht="31.299999237060547" hidden="0">
      <x:c r="A479" s="3" t="s">
        <x:v>1008</x:v>
      </x:c>
      <x:c r="B479" s="3" t="s">
        <x:v>205</x:v>
      </x:c>
      <x:c r="C479" s="3" t="s">
        <x:v>206</x:v>
      </x:c>
      <x:c r="D479" s="3" t="s">
        <x:v>207</x:v>
      </x:c>
      <x:c r="E479" s="3" t="s">
        <x:v>249</x:v>
      </x:c>
      <x:c r="F479" s="3" t="s">
        <x:v>169</x:v>
      </x:c>
      <x:c r="G479" s="3" t="s">
        <x:v>388</x:v>
      </x:c>
      <x:c r="H479" s="3" t="s">
        <x:v>339</x:v>
      </x:c>
      <x:c r="I479" s="3" t="s">
        <x:v>102</x:v>
      </x:c>
      <x:c r="J479" s="3" t="s">
        <x:v>103</x:v>
      </x:c>
      <x:c r="K479" s="3" t="s">
        <x:v>104</x:v>
      </x:c>
      <x:c r="L479" s="3" t="s">
        <x:v>209</x:v>
      </x:c>
      <x:c r="M479" s="3" t="s">
        <x:v>210</x:v>
      </x:c>
      <x:c r="N479" s="3" t="s">
        <x:v>211</x:v>
      </x:c>
      <x:c r="O479" s="3" t="s">
        <x:v>212</x:v>
      </x:c>
      <x:c r="P479" s="3" t="s">
        <x:v>213</x:v>
      </x:c>
      <x:c r="Q479" s="3" t="s">
        <x:v>254</x:v>
      </x:c>
      <x:c r="R479" s="3" t="s">
        <x:v>110</x:v>
      </x:c>
      <x:c r="S479" s="3" t="s">
        <x:v>111</x:v>
      </x:c>
      <x:c r="T479" s="3" t="s">
        <x:v>111</x:v>
      </x:c>
      <x:c r="U479" s="3" t="s">
        <x:v>112</x:v>
      </x:c>
      <x:c r="V479" s="3" t="s">
        <x:v>113</x:v>
      </x:c>
      <x:c r="W479" s="3" t="s">
        <x:v>419</x:v>
      </x:c>
      <x:c r="X479" s="3" t="s">
        <x:v>115</x:v>
      </x:c>
      <x:c r="Y479" s="3" t="s">
        <x:v>420</x:v>
      </x:c>
      <x:c r="Z479" s="3" t="s">
        <x:v>117</x:v>
      </x:c>
      <x:c r="AA479" s="3" t="s">
        <x:v>118</x:v>
      </x:c>
      <x:c r="AB479" s="7" t="n">
        <x:v>46282.4430555556</x:v>
      </x:c>
      <x:c r="AC479" s="7" t="n">
        <x:v>46282.4458333333</x:v>
      </x:c>
      <x:c r="AD479" s="7" t="n">
        <x:v>46282.4520833333</x:v>
      </x:c>
      <x:c r="AE479" s="7" t="n">
        <x:v>46282.4604166667</x:v>
      </x:c>
      <x:c r="AF479" s="7" t="n">
        <x:v>46282.5118055556</x:v>
      </x:c>
      <x:c r="AG479" s="3" t="n">
        <x:v>25</x:v>
      </x:c>
      <x:c r="AH479" s="3" t="n">
        <x:v>67</x:v>
      </x:c>
      <x:c r="AI479" s="3" t="s">
        <x:v>135</x:v>
      </x:c>
      <x:c r="AJ479" s="3" t="s">
        <x:v>135</x:v>
      </x:c>
      <x:c r="AK479" s="3" t="n">
        <x:v>120</x:v>
      </x:c>
      <x:c r="AL479" s="3" t="n">
        <x:v>0</x:v>
      </x:c>
      <x:c r="AM479" s="8" t="n">
        <x:v>0.7667</x:v>
      </x:c>
      <x:c r="AN479" s="3" t="n">
        <x:v>0</x:v>
      </x:c>
      <x:c r="AO479" s="3" t="s">
        <x:v>14</x:v>
      </x:c>
      <x:c r="AP479" s="3" t="s">
        <x:v>347</x:v>
      </x:c>
      <x:c r="AQ479" s="3" t="s">
        <x:v>478</x:v>
      </x:c>
      <x:c r="AR479" s="9" t="n">
        <x:v>854.9</x:v>
      </x:c>
      <x:c r="AS479" s="3" t="s">
        <x:v>185</x:v>
      </x:c>
      <x:c r="AT479" s="7" t="n">
        <x:v>46301.9166666667</x:v>
      </x:c>
    </x:row>
    <x:row r="480" ht="31.299999237060547" hidden="0">
      <x:c r="A480" s="3" t="s">
        <x:v>1009</x:v>
      </x:c>
      <x:c r="B480" s="3" t="s">
        <x:v>146</x:v>
      </x:c>
      <x:c r="C480" s="3" t="s">
        <x:v>147</x:v>
      </x:c>
      <x:c r="D480" s="3" t="s">
        <x:v>148</x:v>
      </x:c>
      <x:c r="E480" s="3" t="s">
        <x:v>249</x:v>
      </x:c>
      <x:c r="F480" s="3" t="s">
        <x:v>99</x:v>
      </x:c>
      <x:c r="G480" s="3" t="s">
        <x:v>498</x:v>
      </x:c>
      <x:c r="H480" s="3" t="s">
        <x:v>101</x:v>
      </x:c>
      <x:c r="I480" s="3" t="s">
        <x:v>102</x:v>
      </x:c>
      <x:c r="J480" s="3" t="s">
        <x:v>103</x:v>
      </x:c>
      <x:c r="K480" s="3" t="s">
        <x:v>104</x:v>
      </x:c>
      <x:c r="L480" s="3" t="s">
        <x:v>151</x:v>
      </x:c>
      <x:c r="M480" s="3" t="s">
        <x:v>152</x:v>
      </x:c>
      <x:c r="N480" s="3" t="s">
        <x:v>153</x:v>
      </x:c>
      <x:c r="O480" s="3" t="s">
        <x:v>154</x:v>
      </x:c>
      <x:c r="P480" s="3" t="s">
        <x:v>155</x:v>
      </x:c>
      <x:c r="Q480" s="3" t="s">
        <x:v>270</x:v>
      </x:c>
      <x:c r="R480" s="3" t="s">
        <x:v>310</x:v>
      </x:c>
      <x:c r="S480" s="3" t="s">
        <x:v>135</x:v>
      </x:c>
      <x:c r="T480" s="3" t="s">
        <x:v>111</x:v>
      </x:c>
      <x:c r="U480" s="3" t="s">
        <x:v>311</x:v>
      </x:c>
      <x:c r="V480" s="3" t="s">
        <x:v>312</x:v>
      </x:c>
      <x:c r="W480" s="3" t="s">
        <x:v>351</x:v>
      </x:c>
      <x:c r="X480" s="3" t="s">
        <x:v>314</x:v>
      </x:c>
      <x:c r="Y480" s="3" t="s">
        <x:v>352</x:v>
      </x:c>
      <x:c r="Z480" s="3" t="s">
        <x:v>316</x:v>
      </x:c>
      <x:c r="AA480" s="3" t="s">
        <x:v>317</x:v>
      </x:c>
      <x:c r="AB480" s="7" t="n">
        <x:v>46282.5847222222</x:v>
      </x:c>
      <x:c r="AC480" s="7" t="n">
        <x:v>46282.5861111111</x:v>
      </x:c>
      <x:c r="AD480" s="7" t="n">
        <x:v>46282.5875</x:v>
      </x:c>
      <x:c r="AE480" s="7" t="n">
        <x:v>46282.6076388889</x:v>
      </x:c>
      <x:c r="AF480" s="7" t="n">
        <x:v>46282.6604166667</x:v>
      </x:c>
      <x:c r="AG480" s="3" t="n">
        <x:v>33</x:v>
      </x:c>
      <x:c r="AH480" s="3" t="n">
        <x:v>68</x:v>
      </x:c>
      <x:c r="AI480" s="3" t="s">
        <x:v>135</x:v>
      </x:c>
      <x:c r="AJ480" s="3" t="s">
        <x:v>135</x:v>
      </x:c>
      <x:c r="AK480" s="3" t="n">
        <x:v>180</x:v>
      </x:c>
      <x:c r="AL480" s="3" t="n">
        <x:v>0</x:v>
      </x:c>
      <x:c r="AM480" s="8" t="n">
        <x:v>0.5611</x:v>
      </x:c>
      <x:c r="AN480" s="3" t="n">
        <x:v>3</x:v>
      </x:c>
      <x:c r="AO480" s="3" t="s">
        <x:v>14</x:v>
      </x:c>
      <x:c r="AP480" s="3" t="s">
        <x:v>183</x:v>
      </x:c>
      <x:c r="AQ480" s="3" t="s">
        <x:v>1010</x:v>
      </x:c>
      <x:c r="AR480" s="9" t="n">
        <x:v>1148.1</x:v>
      </x:c>
      <x:c r="AS480" s="3" t="s">
        <x:v>185</x:v>
      </x:c>
      <x:c r="AT480" s="7" t="n">
        <x:v>46301.9166666667</x:v>
      </x:c>
    </x:row>
    <x:row r="481" ht="31.299999237060547" hidden="0">
      <x:c r="A481" s="3" t="s">
        <x:v>1011</x:v>
      </x:c>
      <x:c r="B481" s="3" t="s">
        <x:v>205</x:v>
      </x:c>
      <x:c r="C481" s="3" t="s">
        <x:v>206</x:v>
      </x:c>
      <x:c r="D481" s="3" t="s">
        <x:v>207</x:v>
      </x:c>
      <x:c r="E481" s="3" t="s">
        <x:v>249</x:v>
      </x:c>
      <x:c r="F481" s="3" t="s">
        <x:v>169</x:v>
      </x:c>
      <x:c r="G481" s="3" t="s">
        <x:v>522</x:v>
      </x:c>
      <x:c r="H481" s="3" t="s">
        <x:v>343</x:v>
      </x:c>
      <x:c r="I481" s="3" t="s">
        <x:v>102</x:v>
      </x:c>
      <x:c r="J481" s="3" t="s">
        <x:v>103</x:v>
      </x:c>
      <x:c r="K481" s="3" t="s">
        <x:v>104</x:v>
      </x:c>
      <x:c r="L481" s="3" t="s">
        <x:v>209</x:v>
      </x:c>
      <x:c r="M481" s="3" t="s">
        <x:v>210</x:v>
      </x:c>
      <x:c r="N481" s="3" t="s">
        <x:v>211</x:v>
      </x:c>
      <x:c r="O481" s="3" t="s">
        <x:v>212</x:v>
      </x:c>
      <x:c r="P481" s="3" t="s">
        <x:v>213</x:v>
      </x:c>
      <x:c r="Q481" s="3" t="s">
        <x:v>254</x:v>
      </x:c>
      <x:c r="R481" s="3" t="s">
        <x:v>380</x:v>
      </x:c>
      <x:c r="S481" s="3" t="s">
        <x:v>111</x:v>
      </x:c>
      <x:c r="T481" s="3" t="s">
        <x:v>111</x:v>
      </x:c>
      <x:c r="U481" s="3" t="s">
        <x:v>381</x:v>
      </x:c>
      <x:c r="V481" s="3" t="s">
        <x:v>312</x:v>
      </x:c>
      <x:c r="W481" s="3" t="s">
        <x:v>313</x:v>
      </x:c>
      <x:c r="X481" s="3" t="s">
        <x:v>314</x:v>
      </x:c>
      <x:c r="Y481" s="3" t="s">
        <x:v>315</x:v>
      </x:c>
      <x:c r="Z481" s="3" t="s">
        <x:v>384</x:v>
      </x:c>
      <x:c r="AA481" s="3" t="s">
        <x:v>385</x:v>
      </x:c>
      <x:c r="AB481" s="7" t="n">
        <x:v>46282.6534722222</x:v>
      </x:c>
      <x:c r="AC481" s="7" t="n">
        <x:v>46282.6576388889</x:v>
      </x:c>
      <x:c r="AD481" s="7" t="n">
        <x:v>46282.6604166667</x:v>
      </x:c>
      <x:c r="AE481" s="7" t="n">
        <x:v>46282.6715277778</x:v>
      </x:c>
      <x:c r="AF481" s="7" t="n">
        <x:v>46282.7138888889</x:v>
      </x:c>
      <x:c r="AG481" s="3" t="n">
        <x:v>26</x:v>
      </x:c>
      <x:c r="AH481" s="3" t="n">
        <x:v>58</x:v>
      </x:c>
      <x:c r="AI481" s="3" t="s">
        <x:v>135</x:v>
      </x:c>
      <x:c r="AJ481" s="3" t="s">
        <x:v>135</x:v>
      </x:c>
      <x:c r="AK481" s="3" t="n">
        <x:v>120</x:v>
      </x:c>
      <x:c r="AL481" s="3" t="n">
        <x:v>0</x:v>
      </x:c>
      <x:c r="AM481" s="8" t="n">
        <x:v>0.7</x:v>
      </x:c>
      <x:c r="AN481" s="3" t="n">
        <x:v>2</x:v>
      </x:c>
      <x:c r="AO481" s="3" t="s">
        <x:v>14</x:v>
      </x:c>
      <x:c r="AP481" s="3" t="s">
        <x:v>717</x:v>
      </x:c>
      <x:c r="AQ481" s="3" t="s">
        <x:v>697</x:v>
      </x:c>
      <x:c r="AR481" s="9" t="n">
        <x:v>794.6</x:v>
      </x:c>
      <x:c r="AS481" s="3" t="s">
        <x:v>121</x:v>
      </x:c>
      <x:c r="AT481" s="7" t="n">
        <x:v>46301.9166666667</x:v>
      </x:c>
    </x:row>
    <x:row r="482" ht="31.299999237060547" hidden="0">
      <x:c r="A482" s="3" t="s">
        <x:v>1012</x:v>
      </x:c>
      <x:c r="B482" s="3" t="s">
        <x:v>187</x:v>
      </x:c>
      <x:c r="C482" s="3" t="s">
        <x:v>188</x:v>
      </x:c>
      <x:c r="D482" s="3" t="s">
        <x:v>189</x:v>
      </x:c>
      <x:c r="E482" s="3" t="s">
        <x:v>249</x:v>
      </x:c>
      <x:c r="F482" s="3" t="s">
        <x:v>149</x:v>
      </x:c>
      <x:c r="G482" s="3" t="s">
        <x:v>498</x:v>
      </x:c>
      <x:c r="H482" s="3" t="s">
        <x:v>101</x:v>
      </x:c>
      <x:c r="I482" s="3" t="s">
        <x:v>102</x:v>
      </x:c>
      <x:c r="J482" s="3" t="s">
        <x:v>103</x:v>
      </x:c>
      <x:c r="K482" s="3" t="s">
        <x:v>104</x:v>
      </x:c>
      <x:c r="L482" s="3" t="s">
        <x:v>191</x:v>
      </x:c>
      <x:c r="M482" s="3" t="s">
        <x:v>192</x:v>
      </x:c>
      <x:c r="N482" s="3" t="s">
        <x:v>193</x:v>
      </x:c>
      <x:c r="O482" s="3" t="s">
        <x:v>194</x:v>
      </x:c>
      <x:c r="P482" s="3" t="s">
        <x:v>195</x:v>
      </x:c>
      <x:c r="Q482" s="3" t="s">
        <x:v>273</x:v>
      </x:c>
      <x:c r="R482" s="3" t="s">
        <x:v>310</x:v>
      </x:c>
      <x:c r="S482" s="3" t="s">
        <x:v>135</x:v>
      </x:c>
      <x:c r="T482" s="3" t="s">
        <x:v>111</x:v>
      </x:c>
      <x:c r="U482" s="3" t="s">
        <x:v>311</x:v>
      </x:c>
      <x:c r="V482" s="3" t="s">
        <x:v>312</x:v>
      </x:c>
      <x:c r="W482" s="3" t="s">
        <x:v>351</x:v>
      </x:c>
      <x:c r="X482" s="3" t="s">
        <x:v>314</x:v>
      </x:c>
      <x:c r="Y482" s="3" t="s">
        <x:v>352</x:v>
      </x:c>
      <x:c r="Z482" s="3" t="s">
        <x:v>316</x:v>
      </x:c>
      <x:c r="AA482" s="3" t="s">
        <x:v>317</x:v>
      </x:c>
      <x:c r="AB482" s="7" t="n">
        <x:v>46282.6944444444</x:v>
      </x:c>
      <x:c r="AC482" s="7" t="n">
        <x:v>46282.6979166667</x:v>
      </x:c>
      <x:c r="AD482" s="7" t="n">
        <x:v>46282.7027777778</x:v>
      </x:c>
      <x:c r="AE482" s="7" t="n">
        <x:v>46282.7381944444</x:v>
      </x:c>
      <x:c r="AF482" s="7" t="n">
        <x:v>46282.7951388889</x:v>
      </x:c>
      <x:c r="AG482" s="3" t="n">
        <x:v>63</x:v>
      </x:c>
      <x:c r="AH482" s="3" t="n">
        <x:v>76</x:v>
      </x:c>
      <x:c r="AI482" s="3" t="s">
        <x:v>135</x:v>
      </x:c>
      <x:c r="AJ482" s="3" t="s">
        <x:v>111</x:v>
      </x:c>
      <x:c r="AK482" s="3" t="n">
        <x:v>150</x:v>
      </x:c>
      <x:c r="AL482" s="3" t="n">
        <x:v>0</x:v>
      </x:c>
      <x:c r="AM482" s="8" t="n">
        <x:v>0.9267</x:v>
      </x:c>
      <x:c r="AN482" s="3" t="n">
        <x:v>1</x:v>
      </x:c>
      <x:c r="AO482" s="3" t="s">
        <x:v>19</x:v>
      </x:c>
      <x:c r="AP482" s="3" t="s">
        <x:v>515</x:v>
      </x:c>
      <x:c r="AQ482" s="3" t="s">
        <x:v>689</x:v>
      </x:c>
      <x:c r="AR482" s="9" t="n">
        <x:v>1470.7</x:v>
      </x:c>
      <x:c r="AS482" s="3" t="s">
        <x:v>121</x:v>
      </x:c>
      <x:c r="AT482" s="7" t="n">
        <x:v>46301.9166666667</x:v>
      </x:c>
    </x:row>
    <x:row r="483" ht="31.299999237060547" hidden="0">
      <x:c r="A483" s="3" t="s">
        <x:v>1013</x:v>
      </x:c>
      <x:c r="B483" s="3" t="s">
        <x:v>123</x:v>
      </x:c>
      <x:c r="C483" s="3" t="s">
        <x:v>124</x:v>
      </x:c>
      <x:c r="D483" s="3" t="s">
        <x:v>125</x:v>
      </x:c>
      <x:c r="E483" s="3" t="s">
        <x:v>249</x:v>
      </x:c>
      <x:c r="F483" s="3" t="s">
        <x:v>149</x:v>
      </x:c>
      <x:c r="G483" s="3" t="s">
        <x:v>364</x:v>
      </x:c>
      <x:c r="H483" s="3" t="s">
        <x:v>339</x:v>
      </x:c>
      <x:c r="I483" s="3" t="s">
        <x:v>102</x:v>
      </x:c>
      <x:c r="J483" s="3" t="s">
        <x:v>103</x:v>
      </x:c>
      <x:c r="K483" s="3" t="s">
        <x:v>104</x:v>
      </x:c>
      <x:c r="L483" s="3" t="s">
        <x:v>129</x:v>
      </x:c>
      <x:c r="M483" s="3" t="s">
        <x:v>130</x:v>
      </x:c>
      <x:c r="N483" s="3" t="s">
        <x:v>131</x:v>
      </x:c>
      <x:c r="O483" s="3" t="s">
        <x:v>132</x:v>
      </x:c>
      <x:c r="P483" s="3" t="s">
        <x:v>133</x:v>
      </x:c>
      <x:c r="Q483" s="3" t="s">
        <x:v>268</x:v>
      </x:c>
      <x:c r="R483" s="3" t="s">
        <x:v>196</x:v>
      </x:c>
      <x:c r="S483" s="3" t="s">
        <x:v>111</x:v>
      </x:c>
      <x:c r="T483" s="3" t="s">
        <x:v>111</x:v>
      </x:c>
      <x:c r="U483" s="3" t="s">
        <x:v>197</x:v>
      </x:c>
      <x:c r="V483" s="3" t="s">
        <x:v>198</x:v>
      </x:c>
      <x:c r="W483" s="3" t="s">
        <x:v>199</x:v>
      </x:c>
      <x:c r="X483" s="3" t="s">
        <x:v>366</x:v>
      </x:c>
      <x:c r="Y483" s="3" t="s">
        <x:v>527</x:v>
      </x:c>
      <x:c r="Z483" s="3" t="s">
        <x:v>201</x:v>
      </x:c>
      <x:c r="AA483" s="3" t="s">
        <x:v>368</x:v>
      </x:c>
      <x:c r="AB483" s="7" t="n">
        <x:v>46282.7375</x:v>
      </x:c>
      <x:c r="AC483" s="7" t="n">
        <x:v>46282.7416666667</x:v>
      </x:c>
      <x:c r="AD483" s="7" t="n">
        <x:v>46282.7458333333</x:v>
      </x:c>
      <x:c r="AE483" s="7" t="n">
        <x:v>46282.7583333333</x:v>
      </x:c>
      <x:c r="AF483" s="7" t="n">
        <x:v>46282.7958333333</x:v>
      </x:c>
      <x:c r="AG483" s="3" t="n">
        <x:v>30</x:v>
      </x:c>
      <x:c r="AH483" s="3" t="n">
        <x:v>49</x:v>
      </x:c>
      <x:c r="AI483" s="3" t="s">
        <x:v>135</x:v>
      </x:c>
      <x:c r="AJ483" s="3" t="s">
        <x:v>135</x:v>
      </x:c>
      <x:c r="AK483" s="3" t="n">
        <x:v>120</x:v>
      </x:c>
      <x:c r="AL483" s="3" t="n">
        <x:v>0</x:v>
      </x:c>
      <x:c r="AM483" s="8" t="n">
        <x:v>0.6583</x:v>
      </x:c>
      <x:c r="AN483" s="3" t="n">
        <x:v>1</x:v>
      </x:c>
      <x:c r="AO483" s="3" t="s">
        <x:v>14</x:v>
      </x:c>
      <x:c r="AP483" s="3" t="s">
        <x:v>471</x:v>
      </x:c>
      <x:c r="AQ483" s="3" t="s">
        <x:v>472</x:v>
      </x:c>
      <x:c r="AR483" s="9" t="n">
        <x:v>747.8</x:v>
      </x:c>
      <x:c r="AS483" s="3" t="s">
        <x:v>121</x:v>
      </x:c>
      <x:c r="AT483" s="7" t="n">
        <x:v>46301.9166666667</x:v>
      </x:c>
    </x:row>
    <x:row r="484" ht="31.299999237060547" hidden="0">
      <x:c r="A484" s="3" t="s">
        <x:v>1014</x:v>
      </x:c>
      <x:c r="B484" s="3" t="s">
        <x:v>433</x:v>
      </x:c>
      <x:c r="C484" s="3" t="s">
        <x:v>434</x:v>
      </x:c>
      <x:c r="D484" s="3" t="s">
        <x:v>435</x:v>
      </x:c>
      <x:c r="E484" s="3" t="s">
        <x:v>249</x:v>
      </x:c>
      <x:c r="F484" s="3" t="s">
        <x:v>99</x:v>
      </x:c>
      <x:c r="G484" s="3" t="s">
        <x:v>390</x:v>
      </x:c>
      <x:c r="H484" s="3" t="s">
        <x:v>301</x:v>
      </x:c>
      <x:c r="I484" s="3" t="s">
        <x:v>302</x:v>
      </x:c>
      <x:c r="J484" s="3" t="s">
        <x:v>303</x:v>
      </x:c>
      <x:c r="K484" s="3" t="s">
        <x:v>104</x:v>
      </x:c>
      <x:c r="L484" s="3" t="s">
        <x:v>437</x:v>
      </x:c>
      <x:c r="M484" s="3" t="s">
        <x:v>106</x:v>
      </x:c>
      <x:c r="N484" s="3" t="s">
        <x:v>438</x:v>
      </x:c>
      <x:c r="O484" s="3" t="s">
        <x:v>439</x:v>
      </x:c>
      <x:c r="P484" s="3" t="s">
        <x:v>440</x:v>
      </x:c>
      <x:c r="Q484" s="3" t="s">
        <x:v>441</x:v>
      </x:c>
      <x:c r="R484" s="3" t="s">
        <x:v>391</x:v>
      </x:c>
      <x:c r="S484" s="3" t="s">
        <x:v>135</x:v>
      </x:c>
      <x:c r="T484" s="3" t="s">
        <x:v>135</x:v>
      </x:c>
      <x:c r="U484" s="3" t="s">
        <x:v>392</x:v>
      </x:c>
      <x:c r="V484" s="3" t="s">
        <x:v>312</x:v>
      </x:c>
      <x:c r="W484" s="3" t="s">
        <x:v>351</x:v>
      </x:c>
      <x:c r="X484" s="3" t="s">
        <x:v>314</x:v>
      </x:c>
      <x:c r="Y484" s="3" t="s">
        <x:v>352</x:v>
      </x:c>
      <x:c r="Z484" s="3" t="s">
        <x:v>393</x:v>
      </x:c>
      <x:c r="AA484" s="3" t="s">
        <x:v>394</x:v>
      </x:c>
      <x:c r="AB484" s="7" t="n">
        <x:v>46282.8354166667</x:v>
      </x:c>
      <x:c r="AC484" s="7" t="n">
        <x:v>46282.8381944444</x:v>
      </x:c>
      <x:c r="AD484" s="7" t="n">
        <x:v>46282.8402777778</x:v>
      </x:c>
      <x:c r="AE484" s="7" t="n">
        <x:v>46282.8534722222</x:v>
      </x:c>
      <x:c r="AF484" s="7" t="n">
        <x:v>46282.8979166667</x:v>
      </x:c>
      <x:c r="AG484" s="3" t="n">
        <x:v>26</x:v>
      </x:c>
      <x:c r="AH484" s="3" t="n">
        <x:v>54</x:v>
      </x:c>
      <x:c r="AI484" s="3" t="s">
        <x:v>135</x:v>
      </x:c>
      <x:c r="AJ484" s="3" t="s">
        <x:v>135</x:v>
      </x:c>
      <x:c r="AK484" s="3" t="n">
        <x:v>180</x:v>
      </x:c>
      <x:c r="AL484" s="3" t="n">
        <x:v>0</x:v>
      </x:c>
      <x:c r="AM484" s="8" t="n">
        <x:v>0.4444</x:v>
      </x:c>
      <x:c r="AN484" s="3" t="n">
        <x:v>5</x:v>
      </x:c>
      <x:c r="AO484" s="3" t="s">
        <x:v>14</x:v>
      </x:c>
      <x:c r="AP484" s="3" t="s">
        <x:v>1015</x:v>
      </x:c>
      <x:c r="AQ484" s="3" t="s">
        <x:v>820</x:v>
      </x:c>
      <x:c r="AR484" s="9" t="n">
        <x:v>1015.8</x:v>
      </x:c>
      <x:c r="AS484" s="3" t="s">
        <x:v>185</x:v>
      </x:c>
      <x:c r="AT484" s="7" t="n">
        <x:v>46301.9166666667</x:v>
      </x:c>
    </x:row>
    <x:row r="485" ht="31.299999237060547" hidden="0">
      <x:c r="A485" s="3" t="s">
        <x:v>1016</x:v>
      </x:c>
      <x:c r="B485" s="3" t="s">
        <x:v>166</x:v>
      </x:c>
      <x:c r="C485" s="3" t="s">
        <x:v>167</x:v>
      </x:c>
      <x:c r="D485" s="3" t="s">
        <x:v>168</x:v>
      </x:c>
      <x:c r="E485" s="3" t="s">
        <x:v>249</x:v>
      </x:c>
      <x:c r="F485" s="3" t="s">
        <x:v>99</x:v>
      </x:c>
      <x:c r="G485" s="3" t="s">
        <x:v>486</x:v>
      </x:c>
      <x:c r="H485" s="3" t="s">
        <x:v>101</x:v>
      </x:c>
      <x:c r="I485" s="3" t="s">
        <x:v>102</x:v>
      </x:c>
      <x:c r="J485" s="3" t="s">
        <x:v>103</x:v>
      </x:c>
      <x:c r="K485" s="3" t="s">
        <x:v>104</x:v>
      </x:c>
      <x:c r="L485" s="3" t="s">
        <x:v>171</x:v>
      </x:c>
      <x:c r="M485" s="3" t="s">
        <x:v>172</x:v>
      </x:c>
      <x:c r="N485" s="3" t="s">
        <x:v>173</x:v>
      </x:c>
      <x:c r="O485" s="3" t="s">
        <x:v>174</x:v>
      </x:c>
      <x:c r="P485" s="3" t="s">
        <x:v>175</x:v>
      </x:c>
      <x:c r="Q485" s="3" t="s">
        <x:v>271</x:v>
      </x:c>
      <x:c r="R485" s="3" t="s">
        <x:v>176</x:v>
      </x:c>
      <x:c r="S485" s="3" t="s">
        <x:v>135</x:v>
      </x:c>
      <x:c r="T485" s="3" t="s">
        <x:v>135</x:v>
      </x:c>
      <x:c r="U485" s="3" t="s">
        <x:v>177</x:v>
      </x:c>
      <x:c r="V485" s="3" t="s">
        <x:v>178</x:v>
      </x:c>
      <x:c r="W485" s="3" t="s">
        <x:v>332</x:v>
      </x:c>
      <x:c r="X485" s="3" t="s">
        <x:v>180</x:v>
      </x:c>
      <x:c r="Y485" s="3" t="s">
        <x:v>333</x:v>
      </x:c>
      <x:c r="Z485" s="3" t="s">
        <x:v>182</x:v>
      </x:c>
      <x:c r="AA485" s="3" t="s">
        <x:v>118</x:v>
      </x:c>
      <x:c r="AB485" s="7" t="n">
        <x:v>46283.3145833333</x:v>
      </x:c>
      <x:c r="AC485" s="7" t="n">
        <x:v>46283.31875</x:v>
      </x:c>
      <x:c r="AD485" s="7" t="n">
        <x:v>46283.3236111111</x:v>
      </x:c>
      <x:c r="AE485" s="7" t="n">
        <x:v>46283.3395833333</x:v>
      </x:c>
      <x:c r="AF485" s="7" t="n">
        <x:v>46283.3944444444</x:v>
      </x:c>
      <x:c r="AG485" s="3" t="n">
        <x:v>36</x:v>
      </x:c>
      <x:c r="AH485" s="3" t="n">
        <x:v>72</x:v>
      </x:c>
      <x:c r="AI485" s="3" t="s">
        <x:v>135</x:v>
      </x:c>
      <x:c r="AJ485" s="3" t="s">
        <x:v>135</x:v>
      </x:c>
      <x:c r="AK485" s="3" t="n">
        <x:v>150</x:v>
      </x:c>
      <x:c r="AL485" s="3" t="n">
        <x:v>0</x:v>
      </x:c>
      <x:c r="AM485" s="8" t="n">
        <x:v>0.72</x:v>
      </x:c>
      <x:c r="AN485" s="3" t="n">
        <x:v>0</x:v>
      </x:c>
      <x:c r="AO485" s="3" t="s">
        <x:v>14</x:v>
      </x:c>
      <x:c r="AP485" s="3" t="s">
        <x:v>347</x:v>
      </x:c>
      <x:c r="AQ485" s="3" t="s">
        <x:v>361</x:v>
      </x:c>
      <x:c r="AR485" s="9" t="n">
        <x:v>1320.4</x:v>
      </x:c>
      <x:c r="AS485" s="3" t="s">
        <x:v>121</x:v>
      </x:c>
      <x:c r="AT485" s="7" t="n">
        <x:v>46301.9166666667</x:v>
      </x:c>
    </x:row>
    <x:row r="486" ht="31.299999237060547" hidden="0">
      <x:c r="A486" s="3" t="s">
        <x:v>1017</x:v>
      </x:c>
      <x:c r="B486" s="3" t="s">
        <x:v>321</x:v>
      </x:c>
      <x:c r="C486" s="3" t="s">
        <x:v>322</x:v>
      </x:c>
      <x:c r="D486" s="3" t="s">
        <x:v>323</x:v>
      </x:c>
      <x:c r="E486" s="3" t="s">
        <x:v>249</x:v>
      </x:c>
      <x:c r="F486" s="3" t="s">
        <x:v>99</x:v>
      </x:c>
      <x:c r="G486" s="3" t="s">
        <x:v>469</x:v>
      </x:c>
      <x:c r="H486" s="3" t="s">
        <x:v>301</x:v>
      </x:c>
      <x:c r="I486" s="3" t="s">
        <x:v>302</x:v>
      </x:c>
      <x:c r="J486" s="3" t="s">
        <x:v>303</x:v>
      </x:c>
      <x:c r="K486" s="3" t="s">
        <x:v>104</x:v>
      </x:c>
      <x:c r="L486" s="3" t="s">
        <x:v>325</x:v>
      </x:c>
      <x:c r="M486" s="3" t="s">
        <x:v>326</x:v>
      </x:c>
      <x:c r="N486" s="3" t="s">
        <x:v>131</x:v>
      </x:c>
      <x:c r="O486" s="3" t="s">
        <x:v>327</x:v>
      </x:c>
      <x:c r="P486" s="3" t="s">
        <x:v>328</x:v>
      </x:c>
      <x:c r="Q486" s="3" t="s">
        <x:v>329</x:v>
      </x:c>
      <x:c r="R486" s="3" t="s">
        <x:v>110</x:v>
      </x:c>
      <x:c r="S486" s="3" t="s">
        <x:v>111</x:v>
      </x:c>
      <x:c r="T486" s="3" t="s">
        <x:v>111</x:v>
      </x:c>
      <x:c r="U486" s="3" t="s">
        <x:v>112</x:v>
      </x:c>
      <x:c r="V486" s="3" t="s">
        <x:v>113</x:v>
      </x:c>
      <x:c r="W486" s="3" t="s">
        <x:v>419</x:v>
      </x:c>
      <x:c r="X486" s="3" t="s">
        <x:v>115</x:v>
      </x:c>
      <x:c r="Y486" s="3" t="s">
        <x:v>420</x:v>
      </x:c>
      <x:c r="Z486" s="3" t="s">
        <x:v>117</x:v>
      </x:c>
      <x:c r="AA486" s="3" t="s">
        <x:v>118</x:v>
      </x:c>
      <x:c r="AB486" s="7" t="n">
        <x:v>46283.4097222222</x:v>
      </x:c>
      <x:c r="AC486" s="7" t="n">
        <x:v>46283.4111111111</x:v>
      </x:c>
      <x:c r="AD486" s="7" t="n">
        <x:v>46283.4159722222</x:v>
      </x:c>
      <x:c r="AE486" s="7" t="n">
        <x:v>46283.43125</x:v>
      </x:c>
      <x:c r="AF486" s="7" t="n">
        <x:v>46283.4694444445</x:v>
      </x:c>
      <x:c r="AG486" s="3" t="n">
        <x:v>31</x:v>
      </x:c>
      <x:c r="AH486" s="3" t="n">
        <x:v>52</x:v>
      </x:c>
      <x:c r="AI486" s="3" t="s">
        <x:v>135</x:v>
      </x:c>
      <x:c r="AJ486" s="3" t="s">
        <x:v>111</x:v>
      </x:c>
      <x:c r="AK486" s="3" t="n">
        <x:v>120</x:v>
      </x:c>
      <x:c r="AL486" s="3" t="n">
        <x:v>0</x:v>
      </x:c>
      <x:c r="AM486" s="8" t="n">
        <x:v>0.6917</x:v>
      </x:c>
      <x:c r="AN486" s="3" t="n">
        <x:v>2</x:v>
      </x:c>
      <x:c r="AO486" s="3" t="s">
        <x:v>14</x:v>
      </x:c>
      <x:c r="AP486" s="3" t="s">
        <x:v>605</x:v>
      </x:c>
      <x:c r="AQ486" s="3" t="s">
        <x:v>516</x:v>
      </x:c>
      <x:c r="AR486" s="9" t="n">
        <x:v>773.9</x:v>
      </x:c>
      <x:c r="AS486" s="3" t="s">
        <x:v>185</x:v>
      </x:c>
      <x:c r="AT486" s="7" t="n">
        <x:v>46301.9166666667</x:v>
      </x:c>
    </x:row>
    <x:row r="487" ht="31.299999237060547" hidden="0">
      <x:c r="A487" s="3" t="s">
        <x:v>1018</x:v>
      </x:c>
      <x:c r="B487" s="3" t="s">
        <x:v>397</x:v>
      </x:c>
      <x:c r="C487" s="3" t="s">
        <x:v>398</x:v>
      </x:c>
      <x:c r="D487" s="3" t="s">
        <x:v>399</x:v>
      </x:c>
      <x:c r="E487" s="3" t="s">
        <x:v>249</x:v>
      </x:c>
      <x:c r="F487" s="3" t="s">
        <x:v>99</x:v>
      </x:c>
      <x:c r="G487" s="3" t="s">
        <x:v>400</x:v>
      </x:c>
      <x:c r="H487" s="3" t="s">
        <x:v>301</x:v>
      </x:c>
      <x:c r="I487" s="3" t="s">
        <x:v>302</x:v>
      </x:c>
      <x:c r="J487" s="3" t="s">
        <x:v>303</x:v>
      </x:c>
      <x:c r="K487" s="3" t="s">
        <x:v>104</x:v>
      </x:c>
      <x:c r="L487" s="3" t="s">
        <x:v>401</x:v>
      </x:c>
      <x:c r="M487" s="3" t="s">
        <x:v>402</x:v>
      </x:c>
      <x:c r="N487" s="3" t="s">
        <x:v>403</x:v>
      </x:c>
      <x:c r="O487" s="3" t="s">
        <x:v>404</x:v>
      </x:c>
      <x:c r="P487" s="3" t="s">
        <x:v>405</x:v>
      </x:c>
      <x:c r="Q487" s="3" t="s">
        <x:v>406</x:v>
      </x:c>
      <x:c r="R487" s="3" t="s">
        <x:v>134</x:v>
      </x:c>
      <x:c r="S487" s="3" t="s">
        <x:v>135</x:v>
      </x:c>
      <x:c r="T487" s="3" t="s">
        <x:v>111</x:v>
      </x:c>
      <x:c r="U487" s="3" t="s">
        <x:v>136</x:v>
      </x:c>
      <x:c r="V487" s="3" t="s">
        <x:v>137</x:v>
      </x:c>
      <x:c r="W487" s="3" t="s">
        <x:v>138</x:v>
      </x:c>
      <x:c r="X487" s="3" t="s">
        <x:v>139</x:v>
      </x:c>
      <x:c r="Y487" s="3" t="s">
        <x:v>454</x:v>
      </x:c>
      <x:c r="Z487" s="3" t="s">
        <x:v>141</x:v>
      </x:c>
      <x:c r="AA487" s="3" t="s">
        <x:v>118</x:v>
      </x:c>
      <x:c r="AB487" s="7" t="n">
        <x:v>46283.4215277778</x:v>
      </x:c>
      <x:c r="AC487" s="7" t="n">
        <x:v>46283.4256944444</x:v>
      </x:c>
      <x:c r="AD487" s="7" t="n">
        <x:v>46283.4298611111</x:v>
      </x:c>
      <x:c r="AE487" s="7" t="n">
        <x:v>46283.4451388889</x:v>
      </x:c>
      <x:c r="AF487" s="7" t="n">
        <x:v>46283.4770833333</x:v>
      </x:c>
      <x:c r="AG487" s="3" t="n">
        <x:v>34</x:v>
      </x:c>
      <x:c r="AH487" s="3" t="n">
        <x:v>37</x:v>
      </x:c>
      <x:c r="AI487" s="3" t="s">
        <x:v>135</x:v>
      </x:c>
      <x:c r="AJ487" s="3" t="s">
        <x:v>135</x:v>
      </x:c>
      <x:c r="AK487" s="3" t="n">
        <x:v>180</x:v>
      </x:c>
      <x:c r="AL487" s="3" t="n">
        <x:v>0</x:v>
      </x:c>
      <x:c r="AM487" s="8" t="n">
        <x:v>0.3944</x:v>
      </x:c>
      <x:c r="AN487" s="3" t="n">
        <x:v>3</x:v>
      </x:c>
      <x:c r="AO487" s="3" t="s">
        <x:v>14</x:v>
      </x:c>
      <x:c r="AP487" s="3" t="s">
        <x:v>183</x:v>
      </x:c>
      <x:c r="AQ487" s="3" t="s">
        <x:v>593</x:v>
      </x:c>
      <x:c r="AR487" s="9" t="n">
        <x:v>929.4</x:v>
      </x:c>
      <x:c r="AS487" s="3" t="s">
        <x:v>185</x:v>
      </x:c>
      <x:c r="AT487" s="7" t="n">
        <x:v>46301.9166666667</x:v>
      </x:c>
    </x:row>
    <x:row r="488" ht="31.299999237060547" hidden="0">
      <x:c r="A488" s="3" t="s">
        <x:v>1019</x:v>
      </x:c>
      <x:c r="B488" s="3" t="s">
        <x:v>222</x:v>
      </x:c>
      <x:c r="C488" s="3" t="s">
        <x:v>223</x:v>
      </x:c>
      <x:c r="D488" s="3" t="s">
        <x:v>224</x:v>
      </x:c>
      <x:c r="E488" s="3" t="s">
        <x:v>249</x:v>
      </x:c>
      <x:c r="F488" s="3" t="s">
        <x:v>149</x:v>
      </x:c>
      <x:c r="G488" s="3" t="s">
        <x:v>498</x:v>
      </x:c>
      <x:c r="H488" s="3" t="s">
        <x:v>101</x:v>
      </x:c>
      <x:c r="I488" s="3" t="s">
        <x:v>102</x:v>
      </x:c>
      <x:c r="J488" s="3" t="s">
        <x:v>103</x:v>
      </x:c>
      <x:c r="K488" s="3" t="s">
        <x:v>104</x:v>
      </x:c>
      <x:c r="L488" s="3" t="s">
        <x:v>226</x:v>
      </x:c>
      <x:c r="M488" s="3" t="s">
        <x:v>227</x:v>
      </x:c>
      <x:c r="N488" s="3" t="s">
        <x:v>228</x:v>
      </x:c>
      <x:c r="O488" s="3" t="s">
        <x:v>229</x:v>
      </x:c>
      <x:c r="P488" s="3" t="s">
        <x:v>230</x:v>
      </x:c>
      <x:c r="Q488" s="3" t="s">
        <x:v>274</x:v>
      </x:c>
      <x:c r="R488" s="3" t="s">
        <x:v>310</x:v>
      </x:c>
      <x:c r="S488" s="3" t="s">
        <x:v>135</x:v>
      </x:c>
      <x:c r="T488" s="3" t="s">
        <x:v>111</x:v>
      </x:c>
      <x:c r="U488" s="3" t="s">
        <x:v>311</x:v>
      </x:c>
      <x:c r="V488" s="3" t="s">
        <x:v>312</x:v>
      </x:c>
      <x:c r="W488" s="3" t="s">
        <x:v>382</x:v>
      </x:c>
      <x:c r="X488" s="3" t="s">
        <x:v>314</x:v>
      </x:c>
      <x:c r="Y488" s="3" t="s">
        <x:v>383</x:v>
      </x:c>
      <x:c r="Z488" s="3" t="s">
        <x:v>316</x:v>
      </x:c>
      <x:c r="AA488" s="3" t="s">
        <x:v>317</x:v>
      </x:c>
      <x:c r="AB488" s="7" t="n">
        <x:v>46283.425</x:v>
      </x:c>
      <x:c r="AC488" s="7" t="n">
        <x:v>46283.4277777778</x:v>
      </x:c>
      <x:c r="AD488" s="7" t="n">
        <x:v>46283.4298611111</x:v>
      </x:c>
      <x:c r="AE488" s="7" t="n">
        <x:v>46283.4451388889</x:v>
      </x:c>
      <x:c r="AF488" s="7" t="n">
        <x:v>46283.4805555556</x:v>
      </x:c>
      <x:c r="AG488" s="3" t="n">
        <x:v>29</x:v>
      </x:c>
      <x:c r="AH488" s="3" t="n">
        <x:v>43</x:v>
      </x:c>
      <x:c r="AI488" s="3" t="s">
        <x:v>135</x:v>
      </x:c>
      <x:c r="AJ488" s="3" t="s">
        <x:v>135</x:v>
      </x:c>
      <x:c r="AK488" s="3" t="n">
        <x:v>180</x:v>
      </x:c>
      <x:c r="AL488" s="3" t="n">
        <x:v>0</x:v>
      </x:c>
      <x:c r="AM488" s="8" t="n">
        <x:v>0.4</x:v>
      </x:c>
      <x:c r="AN488" s="3" t="n">
        <x:v>1</x:v>
      </x:c>
      <x:c r="AO488" s="3" t="s">
        <x:v>9</x:v>
      </x:c>
      <x:c r="AP488" s="3" t="s">
        <x:v>500</x:v>
      </x:c>
      <x:c r="AQ488" s="3" t="s">
        <x:v>546</x:v>
      </x:c>
      <x:c r="AR488" s="9" t="n">
        <x:v>700.1</x:v>
      </x:c>
      <x:c r="AS488" s="3" t="s">
        <x:v>144</x:v>
      </x:c>
      <x:c r="AT488" s="7" t="n">
        <x:v>46301.9166666667</x:v>
      </x:c>
    </x:row>
    <x:row r="489" ht="31.299999237060547" hidden="0">
      <x:c r="A489" s="3" t="s">
        <x:v>1020</x:v>
      </x:c>
      <x:c r="B489" s="3" t="s">
        <x:v>321</x:v>
      </x:c>
      <x:c r="C489" s="3" t="s">
        <x:v>322</x:v>
      </x:c>
      <x:c r="D489" s="3" t="s">
        <x:v>323</x:v>
      </x:c>
      <x:c r="E489" s="3" t="s">
        <x:v>249</x:v>
      </x:c>
      <x:c r="F489" s="3" t="s">
        <x:v>127</x:v>
      </x:c>
      <x:c r="G489" s="3" t="s">
        <x:v>489</x:v>
      </x:c>
      <x:c r="H489" s="3" t="s">
        <x:v>301</x:v>
      </x:c>
      <x:c r="I489" s="3" t="s">
        <x:v>302</x:v>
      </x:c>
      <x:c r="J489" s="3" t="s">
        <x:v>303</x:v>
      </x:c>
      <x:c r="K489" s="3" t="s">
        <x:v>104</x:v>
      </x:c>
      <x:c r="L489" s="3" t="s">
        <x:v>325</x:v>
      </x:c>
      <x:c r="M489" s="3" t="s">
        <x:v>326</x:v>
      </x:c>
      <x:c r="N489" s="3" t="s">
        <x:v>131</x:v>
      </x:c>
      <x:c r="O489" s="3" t="s">
        <x:v>327</x:v>
      </x:c>
      <x:c r="P489" s="3" t="s">
        <x:v>328</x:v>
      </x:c>
      <x:c r="Q489" s="3" t="s">
        <x:v>329</x:v>
      </x:c>
      <x:c r="R489" s="3" t="s">
        <x:v>134</x:v>
      </x:c>
      <x:c r="S489" s="3" t="s">
        <x:v>135</x:v>
      </x:c>
      <x:c r="T489" s="3" t="s">
        <x:v>111</x:v>
      </x:c>
      <x:c r="U489" s="3" t="s">
        <x:v>136</x:v>
      </x:c>
      <x:c r="V489" s="3" t="s">
        <x:v>137</x:v>
      </x:c>
      <x:c r="W489" s="3" t="s">
        <x:v>138</x:v>
      </x:c>
      <x:c r="X489" s="3" t="s">
        <x:v>139</x:v>
      </x:c>
      <x:c r="Y489" s="3" t="s">
        <x:v>454</x:v>
      </x:c>
      <x:c r="Z489" s="3" t="s">
        <x:v>141</x:v>
      </x:c>
      <x:c r="AA489" s="3" t="s">
        <x:v>118</x:v>
      </x:c>
      <x:c r="AB489" s="7" t="n">
        <x:v>46283.4409722222</x:v>
      </x:c>
      <x:c r="AC489" s="7" t="n">
        <x:v>46283.44375</x:v>
      </x:c>
      <x:c r="AD489" s="7" t="n">
        <x:v>46283.4458333333</x:v>
      </x:c>
      <x:c r="AE489" s="7" t="n">
        <x:v>46283.4798611111</x:v>
      </x:c>
      <x:c r="AF489" s="7" t="n">
        <x:v>46283.5215277778</x:v>
      </x:c>
      <x:c r="AG489" s="3" t="n">
        <x:v>56</x:v>
      </x:c>
      <x:c r="AH489" s="3" t="n">
        <x:v>53</x:v>
      </x:c>
      <x:c r="AI489" s="3" t="s">
        <x:v>135</x:v>
      </x:c>
      <x:c r="AJ489" s="3" t="s">
        <x:v>111</x:v>
      </x:c>
      <x:c r="AK489" s="3" t="n">
        <x:v>180</x:v>
      </x:c>
      <x:c r="AL489" s="3" t="n">
        <x:v>0</x:v>
      </x:c>
      <x:c r="AM489" s="8" t="n">
        <x:v>0.6056</x:v>
      </x:c>
      <x:c r="AN489" s="3" t="n">
        <x:v>1</x:v>
      </x:c>
      <x:c r="AO489" s="3" t="s">
        <x:v>14</x:v>
      </x:c>
      <x:c r="AP489" s="3" t="s">
        <x:v>664</x:v>
      </x:c>
      <x:c r="AQ489" s="3" t="s">
        <x:v>516</x:v>
      </x:c>
      <x:c r="AR489" s="9" t="n">
        <x:v>893.6</x:v>
      </x:c>
      <x:c r="AS489" s="3" t="s">
        <x:v>121</x:v>
      </x:c>
      <x:c r="AT489" s="7" t="n">
        <x:v>46301.9166666667</x:v>
      </x:c>
    </x:row>
    <x:row r="490" ht="31.299999237060547" hidden="0">
      <x:c r="A490" s="3" t="s">
        <x:v>1021</x:v>
      </x:c>
      <x:c r="B490" s="3" t="s">
        <x:v>166</x:v>
      </x:c>
      <x:c r="C490" s="3" t="s">
        <x:v>167</x:v>
      </x:c>
      <x:c r="D490" s="3" t="s">
        <x:v>168</x:v>
      </x:c>
      <x:c r="E490" s="3" t="s">
        <x:v>249</x:v>
      </x:c>
      <x:c r="F490" s="3" t="s">
        <x:v>99</x:v>
      </x:c>
      <x:c r="G490" s="3" t="s">
        <x:v>338</x:v>
      </x:c>
      <x:c r="H490" s="3" t="s">
        <x:v>339</x:v>
      </x:c>
      <x:c r="I490" s="3" t="s">
        <x:v>102</x:v>
      </x:c>
      <x:c r="J490" s="3" t="s">
        <x:v>103</x:v>
      </x:c>
      <x:c r="K490" s="3" t="s">
        <x:v>104</x:v>
      </x:c>
      <x:c r="L490" s="3" t="s">
        <x:v>171</x:v>
      </x:c>
      <x:c r="M490" s="3" t="s">
        <x:v>172</x:v>
      </x:c>
      <x:c r="N490" s="3" t="s">
        <x:v>173</x:v>
      </x:c>
      <x:c r="O490" s="3" t="s">
        <x:v>174</x:v>
      </x:c>
      <x:c r="P490" s="3" t="s">
        <x:v>175</x:v>
      </x:c>
      <x:c r="Q490" s="3" t="s">
        <x:v>271</x:v>
      </x:c>
      <x:c r="R490" s="3" t="s">
        <x:v>310</x:v>
      </x:c>
      <x:c r="S490" s="3" t="s">
        <x:v>135</x:v>
      </x:c>
      <x:c r="T490" s="3" t="s">
        <x:v>111</x:v>
      </x:c>
      <x:c r="U490" s="3" t="s">
        <x:v>311</x:v>
      </x:c>
      <x:c r="V490" s="3" t="s">
        <x:v>312</x:v>
      </x:c>
      <x:c r="W490" s="3" t="s">
        <x:v>382</x:v>
      </x:c>
      <x:c r="X490" s="3" t="s">
        <x:v>314</x:v>
      </x:c>
      <x:c r="Y490" s="3" t="s">
        <x:v>383</x:v>
      </x:c>
      <x:c r="Z490" s="3" t="s">
        <x:v>316</x:v>
      </x:c>
      <x:c r="AA490" s="3" t="s">
        <x:v>317</x:v>
      </x:c>
      <x:c r="AB490" s="7" t="n">
        <x:v>46283.4708333333</x:v>
      </x:c>
      <x:c r="AC490" s="7" t="n">
        <x:v>46283.4756944444</x:v>
      </x:c>
      <x:c r="AD490" s="7" t="n">
        <x:v>46283.48125</x:v>
      </x:c>
      <x:c r="AE490" s="7" t="n">
        <x:v>46283.5118055556</x:v>
      </x:c>
      <x:c r="AF490" s="7" t="n">
        <x:v>46283.5458333333</x:v>
      </x:c>
      <x:c r="AG490" s="3" t="n">
        <x:v>59</x:v>
      </x:c>
      <x:c r="AH490" s="3" t="n">
        <x:v>39</x:v>
      </x:c>
      <x:c r="AI490" s="3" t="s">
        <x:v>135</x:v>
      </x:c>
      <x:c r="AJ490" s="3" t="s">
        <x:v>135</x:v>
      </x:c>
      <x:c r="AK490" s="3" t="n">
        <x:v>150</x:v>
      </x:c>
      <x:c r="AL490" s="3" t="n">
        <x:v>0</x:v>
      </x:c>
      <x:c r="AM490" s="8" t="n">
        <x:v>0.6533</x:v>
      </x:c>
      <x:c r="AN490" s="3" t="n">
        <x:v>0</x:v>
      </x:c>
      <x:c r="AO490" s="3" t="s">
        <x:v>14</x:v>
      </x:c>
      <x:c r="AP490" s="3" t="s">
        <x:v>347</x:v>
      </x:c>
      <x:c r="AQ490" s="3" t="s">
        <x:v>340</x:v>
      </x:c>
      <x:c r="AR490" s="9" t="n">
        <x:v>1186.3</x:v>
      </x:c>
      <x:c r="AS490" s="3" t="s">
        <x:v>185</x:v>
      </x:c>
      <x:c r="AT490" s="7" t="n">
        <x:v>46301.9166666667</x:v>
      </x:c>
    </x:row>
    <x:row r="491" ht="31.299999237060547" hidden="0">
      <x:c r="A491" s="3" t="s">
        <x:v>1022</x:v>
      </x:c>
      <x:c r="B491" s="3" t="s">
        <x:v>83</x:v>
      </x:c>
      <x:c r="C491" s="3" t="s">
        <x:v>96</x:v>
      </x:c>
      <x:c r="D491" s="3" t="s">
        <x:v>97</x:v>
      </x:c>
      <x:c r="E491" s="3" t="s">
        <x:v>249</x:v>
      </x:c>
      <x:c r="F491" s="3" t="s">
        <x:v>99</x:v>
      </x:c>
      <x:c r="G491" s="3" t="s">
        <x:v>486</x:v>
      </x:c>
      <x:c r="H491" s="3" t="s">
        <x:v>101</x:v>
      </x:c>
      <x:c r="I491" s="3" t="s">
        <x:v>102</x:v>
      </x:c>
      <x:c r="J491" s="3" t="s">
        <x:v>103</x:v>
      </x:c>
      <x:c r="K491" s="3" t="s">
        <x:v>104</x:v>
      </x:c>
      <x:c r="L491" s="3" t="s">
        <x:v>105</x:v>
      </x:c>
      <x:c r="M491" s="3" t="s">
        <x:v>106</x:v>
      </x:c>
      <x:c r="N491" s="3" t="s">
        <x:v>107</x:v>
      </x:c>
      <x:c r="O491" s="3" t="s">
        <x:v>108</x:v>
      </x:c>
      <x:c r="P491" s="3" t="s">
        <x:v>109</x:v>
      </x:c>
      <x:c r="Q491" s="3" t="s">
        <x:v>250</x:v>
      </x:c>
      <x:c r="R491" s="3" t="s">
        <x:v>176</x:v>
      </x:c>
      <x:c r="S491" s="3" t="s">
        <x:v>135</x:v>
      </x:c>
      <x:c r="T491" s="3" t="s">
        <x:v>135</x:v>
      </x:c>
      <x:c r="U491" s="3" t="s">
        <x:v>177</x:v>
      </x:c>
      <x:c r="V491" s="3" t="s">
        <x:v>178</x:v>
      </x:c>
      <x:c r="W491" s="3" t="s">
        <x:v>179</x:v>
      </x:c>
      <x:c r="X491" s="3" t="s">
        <x:v>180</x:v>
      </x:c>
      <x:c r="Y491" s="3" t="s">
        <x:v>414</x:v>
      </x:c>
      <x:c r="Z491" s="3" t="s">
        <x:v>182</x:v>
      </x:c>
      <x:c r="AA491" s="3" t="s">
        <x:v>118</x:v>
      </x:c>
      <x:c r="AB491" s="7" t="n">
        <x:v>46283.525</x:v>
      </x:c>
      <x:c r="AC491" s="7" t="n">
        <x:v>46283.5291666667</x:v>
      </x:c>
      <x:c r="AD491" s="7" t="n">
        <x:v>46283.5326388889</x:v>
      </x:c>
      <x:c r="AE491" s="7" t="n">
        <x:v>46283.5423611111</x:v>
      </x:c>
      <x:c r="AF491" s="7" t="n">
        <x:v>46283.5604166667</x:v>
      </x:c>
      <x:c r="AG491" s="3" t="n">
        <x:v>25</x:v>
      </x:c>
      <x:c r="AH491" s="3" t="n">
        <x:v>18</x:v>
      </x:c>
      <x:c r="AI491" s="3" t="s">
        <x:v>111</x:v>
      </x:c>
      <x:c r="AJ491" s="3" t="s">
        <x:v>111</x:v>
      </x:c>
      <x:c r="AK491" s="3" t="n">
        <x:v>60</x:v>
      </x:c>
      <x:c r="AL491" s="3" t="n">
        <x:v>0</x:v>
      </x:c>
      <x:c r="AM491" s="8" t="n">
        <x:v>0.7167</x:v>
      </x:c>
      <x:c r="AN491" s="3" t="n">
        <x:v>1</x:v>
      </x:c>
      <x:c r="AO491" s="3" t="s">
        <x:v>14</x:v>
      </x:c>
      <x:c r="AP491" s="3" t="s">
        <x:v>1023</x:v>
      </x:c>
      <x:c r="AQ491" s="3" t="s">
        <x:v>562</x:v>
      </x:c>
      <x:c r="AR491" s="9" t="n">
        <x:v>822.1</x:v>
      </x:c>
      <x:c r="AS491" s="3" t="s">
        <x:v>121</x:v>
      </x:c>
      <x:c r="AT491" s="7" t="n">
        <x:v>46301.9166666667</x:v>
      </x:c>
    </x:row>
    <x:row r="492" ht="31.299999237060547" hidden="0">
      <x:c r="A492" s="3" t="s">
        <x:v>1024</x:v>
      </x:c>
      <x:c r="B492" s="3" t="s">
        <x:v>83</x:v>
      </x:c>
      <x:c r="C492" s="3" t="s">
        <x:v>96</x:v>
      </x:c>
      <x:c r="D492" s="3" t="s">
        <x:v>97</x:v>
      </x:c>
      <x:c r="E492" s="3" t="s">
        <x:v>249</x:v>
      </x:c>
      <x:c r="F492" s="3" t="s">
        <x:v>99</x:v>
      </x:c>
      <x:c r="G492" s="3" t="s">
        <x:v>354</x:v>
      </x:c>
      <x:c r="H492" s="3" t="s">
        <x:v>101</x:v>
      </x:c>
      <x:c r="I492" s="3" t="s">
        <x:v>102</x:v>
      </x:c>
      <x:c r="J492" s="3" t="s">
        <x:v>103</x:v>
      </x:c>
      <x:c r="K492" s="3" t="s">
        <x:v>104</x:v>
      </x:c>
      <x:c r="L492" s="3" t="s">
        <x:v>105</x:v>
      </x:c>
      <x:c r="M492" s="3" t="s">
        <x:v>106</x:v>
      </x:c>
      <x:c r="N492" s="3" t="s">
        <x:v>107</x:v>
      </x:c>
      <x:c r="O492" s="3" t="s">
        <x:v>108</x:v>
      </x:c>
      <x:c r="P492" s="3" t="s">
        <x:v>109</x:v>
      </x:c>
      <x:c r="Q492" s="3" t="s">
        <x:v>250</x:v>
      </x:c>
      <x:c r="R492" s="3" t="s">
        <x:v>176</x:v>
      </x:c>
      <x:c r="S492" s="3" t="s">
        <x:v>135</x:v>
      </x:c>
      <x:c r="T492" s="3" t="s">
        <x:v>135</x:v>
      </x:c>
      <x:c r="U492" s="3" t="s">
        <x:v>177</x:v>
      </x:c>
      <x:c r="V492" s="3" t="s">
        <x:v>178</x:v>
      </x:c>
      <x:c r="W492" s="3" t="s">
        <x:v>179</x:v>
      </x:c>
      <x:c r="X492" s="3" t="s">
        <x:v>180</x:v>
      </x:c>
      <x:c r="Y492" s="3" t="s">
        <x:v>414</x:v>
      </x:c>
      <x:c r="Z492" s="3" t="s">
        <x:v>182</x:v>
      </x:c>
      <x:c r="AA492" s="3" t="s">
        <x:v>118</x:v>
      </x:c>
      <x:c r="AB492" s="7" t="n">
        <x:v>46283.55</x:v>
      </x:c>
      <x:c r="AC492" s="7" t="n">
        <x:v>46283.5527777778</x:v>
      </x:c>
      <x:c r="AD492" s="7" t="n">
        <x:v>46283.5555555556</x:v>
      </x:c>
      <x:c r="AE492" s="7" t="n">
        <x:v>46283.5708333333</x:v>
      </x:c>
      <x:c r="AF492" s="7" t="n">
        <x:v>46283.6041666667</x:v>
      </x:c>
      <x:c r="AG492" s="3" t="n">
        <x:v>30</x:v>
      </x:c>
      <x:c r="AH492" s="3" t="n">
        <x:v>42</x:v>
      </x:c>
      <x:c r="AI492" s="3" t="s">
        <x:v>111</x:v>
      </x:c>
      <x:c r="AJ492" s="3" t="s">
        <x:v>111</x:v>
      </x:c>
      <x:c r="AK492" s="3" t="n">
        <x:v>60</x:v>
      </x:c>
      <x:c r="AL492" s="3" t="n">
        <x:v>0</x:v>
      </x:c>
      <x:c r="AM492" s="8" t="n">
        <x:v>1.2</x:v>
      </x:c>
      <x:c r="AN492" s="3" t="n">
        <x:v>2</x:v>
      </x:c>
      <x:c r="AO492" s="3" t="s">
        <x:v>24</x:v>
      </x:c>
      <x:c r="AP492" s="3" t="s">
        <x:v>729</x:v>
      </x:c>
      <x:c r="AQ492" s="3" t="s">
        <x:v>562</x:v>
      </x:c>
      <x:c r="AR492" s="9" t="n">
        <x:v>1017.4</x:v>
      </x:c>
      <x:c r="AS492" s="3" t="s">
        <x:v>185</x:v>
      </x:c>
      <x:c r="AT492" s="7" t="n">
        <x:v>46301.9166666667</x:v>
      </x:c>
    </x:row>
    <x:row r="493" ht="31.299999237060547" hidden="0">
      <x:c r="A493" s="3" t="s">
        <x:v>1025</x:v>
      </x:c>
      <x:c r="B493" s="3" t="s">
        <x:v>83</x:v>
      </x:c>
      <x:c r="C493" s="3" t="s">
        <x:v>96</x:v>
      </x:c>
      <x:c r="D493" s="3" t="s">
        <x:v>97</x:v>
      </x:c>
      <x:c r="E493" s="3" t="s">
        <x:v>249</x:v>
      </x:c>
      <x:c r="F493" s="3" t="s">
        <x:v>169</x:v>
      </x:c>
      <x:c r="G493" s="3" t="s">
        <x:v>388</x:v>
      </x:c>
      <x:c r="H493" s="3" t="s">
        <x:v>339</x:v>
      </x:c>
      <x:c r="I493" s="3" t="s">
        <x:v>102</x:v>
      </x:c>
      <x:c r="J493" s="3" t="s">
        <x:v>103</x:v>
      </x:c>
      <x:c r="K493" s="3" t="s">
        <x:v>104</x:v>
      </x:c>
      <x:c r="L493" s="3" t="s">
        <x:v>105</x:v>
      </x:c>
      <x:c r="M493" s="3" t="s">
        <x:v>106</x:v>
      </x:c>
      <x:c r="N493" s="3" t="s">
        <x:v>107</x:v>
      </x:c>
      <x:c r="O493" s="3" t="s">
        <x:v>108</x:v>
      </x:c>
      <x:c r="P493" s="3" t="s">
        <x:v>109</x:v>
      </x:c>
      <x:c r="Q493" s="3" t="s">
        <x:v>250</x:v>
      </x:c>
      <x:c r="R493" s="3" t="s">
        <x:v>110</x:v>
      </x:c>
      <x:c r="S493" s="3" t="s">
        <x:v>111</x:v>
      </x:c>
      <x:c r="T493" s="3" t="s">
        <x:v>111</x:v>
      </x:c>
      <x:c r="U493" s="3" t="s">
        <x:v>112</x:v>
      </x:c>
      <x:c r="V493" s="3" t="s">
        <x:v>113</x:v>
      </x:c>
      <x:c r="W493" s="3" t="s">
        <x:v>114</x:v>
      </x:c>
      <x:c r="X493" s="3" t="s">
        <x:v>115</x:v>
      </x:c>
      <x:c r="Y493" s="3" t="s">
        <x:v>116</x:v>
      </x:c>
      <x:c r="Z493" s="3" t="s">
        <x:v>117</x:v>
      </x:c>
      <x:c r="AA493" s="3" t="s">
        <x:v>118</x:v>
      </x:c>
      <x:c r="AB493" s="7" t="n">
        <x:v>46283.5631944445</x:v>
      </x:c>
      <x:c r="AC493" s="7" t="n">
        <x:v>46283.5673611111</x:v>
      </x:c>
      <x:c r="AD493" s="7" t="n">
        <x:v>46283.5701388889</x:v>
      </x:c>
      <x:c r="AE493" s="7" t="n">
        <x:v>46283.5923611111</x:v>
      </x:c>
      <x:c r="AF493" s="7" t="n">
        <x:v>46283.6118055556</x:v>
      </x:c>
      <x:c r="AG493" s="3" t="n">
        <x:v>42</x:v>
      </x:c>
      <x:c r="AH493" s="3" t="n">
        <x:v>18</x:v>
      </x:c>
      <x:c r="AI493" s="3" t="s">
        <x:v>111</x:v>
      </x:c>
      <x:c r="AJ493" s="3" t="s">
        <x:v>111</x:v>
      </x:c>
      <x:c r="AK493" s="3" t="n">
        <x:v>60</x:v>
      </x:c>
      <x:c r="AL493" s="3" t="n">
        <x:v>0</x:v>
      </x:c>
      <x:c r="AM493" s="8" t="n">
        <x:v>1</x:v>
      </x:c>
      <x:c r="AN493" s="3" t="n">
        <x:v>1</x:v>
      </x:c>
      <x:c r="AO493" s="3" t="s">
        <x:v>24</x:v>
      </x:c>
      <x:c r="AP493" s="3" t="s">
        <x:v>561</x:v>
      </x:c>
      <x:c r="AQ493" s="3" t="s">
        <x:v>562</x:v>
      </x:c>
      <x:c r="AR493" s="9" t="n">
        <x:v>898.6</x:v>
      </x:c>
      <x:c r="AS493" s="3" t="s">
        <x:v>185</x:v>
      </x:c>
      <x:c r="AT493" s="7" t="n">
        <x:v>46301.9166666667</x:v>
      </x:c>
    </x:row>
    <x:row r="494" ht="31.299999237060547" hidden="0">
      <x:c r="A494" s="3" t="s">
        <x:v>1026</x:v>
      </x:c>
      <x:c r="B494" s="3" t="s">
        <x:v>205</x:v>
      </x:c>
      <x:c r="C494" s="3" t="s">
        <x:v>206</x:v>
      </x:c>
      <x:c r="D494" s="3" t="s">
        <x:v>207</x:v>
      </x:c>
      <x:c r="E494" s="3" t="s">
        <x:v>249</x:v>
      </x:c>
      <x:c r="F494" s="3" t="s">
        <x:v>99</x:v>
      </x:c>
      <x:c r="G494" s="3" t="s">
        <x:v>477</x:v>
      </x:c>
      <x:c r="H494" s="3" t="s">
        <x:v>343</x:v>
      </x:c>
      <x:c r="I494" s="3" t="s">
        <x:v>102</x:v>
      </x:c>
      <x:c r="J494" s="3" t="s">
        <x:v>103</x:v>
      </x:c>
      <x:c r="K494" s="3" t="s">
        <x:v>104</x:v>
      </x:c>
      <x:c r="L494" s="3" t="s">
        <x:v>209</x:v>
      </x:c>
      <x:c r="M494" s="3" t="s">
        <x:v>210</x:v>
      </x:c>
      <x:c r="N494" s="3" t="s">
        <x:v>211</x:v>
      </x:c>
      <x:c r="O494" s="3" t="s">
        <x:v>212</x:v>
      </x:c>
      <x:c r="P494" s="3" t="s">
        <x:v>213</x:v>
      </x:c>
      <x:c r="Q494" s="3" t="s">
        <x:v>254</x:v>
      </x:c>
      <x:c r="R494" s="3" t="s">
        <x:v>214</x:v>
      </x:c>
      <x:c r="S494" s="3" t="s">
        <x:v>135</x:v>
      </x:c>
      <x:c r="T494" s="3" t="s">
        <x:v>111</x:v>
      </x:c>
      <x:c r="U494" s="3" t="s">
        <x:v>215</x:v>
      </x:c>
      <x:c r="V494" s="3" t="s">
        <x:v>216</x:v>
      </x:c>
      <x:c r="W494" s="3" t="s">
        <x:v>429</x:v>
      </x:c>
      <x:c r="X494" s="3" t="s">
        <x:v>430</x:v>
      </x:c>
      <x:c r="Y494" s="3" t="s">
        <x:v>431</x:v>
      </x:c>
      <x:c r="Z494" s="3" t="s">
        <x:v>219</x:v>
      </x:c>
      <x:c r="AA494" s="3" t="s">
        <x:v>118</x:v>
      </x:c>
      <x:c r="AB494" s="7" t="n">
        <x:v>46283.5951388889</x:v>
      </x:c>
      <x:c r="AC494" s="7" t="n">
        <x:v>46283.6</x:v>
      </x:c>
      <x:c r="AD494" s="7" t="n">
        <x:v>46283.6027777778</x:v>
      </x:c>
      <x:c r="AE494" s="7" t="n">
        <x:v>46283.6222222222</x:v>
      </x:c>
      <x:c r="AF494" s="7" t="n">
        <x:v>46283.6673611111</x:v>
      </x:c>
      <x:c r="AG494" s="3" t="n">
        <x:v>39</x:v>
      </x:c>
      <x:c r="AH494" s="3" t="n">
        <x:v>57</x:v>
      </x:c>
      <x:c r="AI494" s="3" t="s">
        <x:v>135</x:v>
      </x:c>
      <x:c r="AJ494" s="3" t="s">
        <x:v>135</x:v>
      </x:c>
      <x:c r="AK494" s="3" t="n">
        <x:v>180</x:v>
      </x:c>
      <x:c r="AL494" s="3" t="n">
        <x:v>0</x:v>
      </x:c>
      <x:c r="AM494" s="8" t="n">
        <x:v>0.5333</x:v>
      </x:c>
      <x:c r="AN494" s="3" t="n">
        <x:v>2</x:v>
      </x:c>
      <x:c r="AO494" s="3" t="s">
        <x:v>14</x:v>
      </x:c>
      <x:c r="AP494" s="3" t="s">
        <x:v>573</x:v>
      </x:c>
      <x:c r="AQ494" s="3" t="s">
        <x:v>697</x:v>
      </x:c>
      <x:c r="AR494" s="9" t="n">
        <x:v>845.9</x:v>
      </x:c>
      <x:c r="AS494" s="3" t="s">
        <x:v>121</x:v>
      </x:c>
      <x:c r="AT494" s="7" t="n">
        <x:v>46301.9166666667</x:v>
      </x:c>
    </x:row>
    <x:row r="495" ht="31.299999237060547" hidden="0">
      <x:c r="A495" s="3" t="s">
        <x:v>1027</x:v>
      </x:c>
      <x:c r="B495" s="3" t="s">
        <x:v>233</x:v>
      </x:c>
      <x:c r="C495" s="3" t="s">
        <x:v>234</x:v>
      </x:c>
      <x:c r="D495" s="3" t="s">
        <x:v>235</x:v>
      </x:c>
      <x:c r="E495" s="3" t="s">
        <x:v>249</x:v>
      </x:c>
      <x:c r="F495" s="3" t="s">
        <x:v>99</x:v>
      </x:c>
      <x:c r="G495" s="3" t="s">
        <x:v>338</x:v>
      </x:c>
      <x:c r="H495" s="3" t="s">
        <x:v>339</x:v>
      </x:c>
      <x:c r="I495" s="3" t="s">
        <x:v>102</x:v>
      </x:c>
      <x:c r="J495" s="3" t="s">
        <x:v>103</x:v>
      </x:c>
      <x:c r="K495" s="3" t="s">
        <x:v>104</x:v>
      </x:c>
      <x:c r="L495" s="3" t="s">
        <x:v>237</x:v>
      </x:c>
      <x:c r="M495" s="3" t="s">
        <x:v>172</x:v>
      </x:c>
      <x:c r="N495" s="3" t="s">
        <x:v>238</x:v>
      </x:c>
      <x:c r="O495" s="3" t="s">
        <x:v>239</x:v>
      </x:c>
      <x:c r="P495" s="3" t="s">
        <x:v>240</x:v>
      </x:c>
      <x:c r="Q495" s="3" t="s">
        <x:v>276</x:v>
      </x:c>
      <x:c r="R495" s="3" t="s">
        <x:v>310</x:v>
      </x:c>
      <x:c r="S495" s="3" t="s">
        <x:v>135</x:v>
      </x:c>
      <x:c r="T495" s="3" t="s">
        <x:v>111</x:v>
      </x:c>
      <x:c r="U495" s="3" t="s">
        <x:v>311</x:v>
      </x:c>
      <x:c r="V495" s="3" t="s">
        <x:v>312</x:v>
      </x:c>
      <x:c r="W495" s="3" t="s">
        <x:v>382</x:v>
      </x:c>
      <x:c r="X495" s="3" t="s">
        <x:v>314</x:v>
      </x:c>
      <x:c r="Y495" s="3" t="s">
        <x:v>383</x:v>
      </x:c>
      <x:c r="Z495" s="3" t="s">
        <x:v>316</x:v>
      </x:c>
      <x:c r="AA495" s="3" t="s">
        <x:v>317</x:v>
      </x:c>
      <x:c r="AB495" s="7" t="n">
        <x:v>46283.6</x:v>
      </x:c>
      <x:c r="AC495" s="7" t="n">
        <x:v>46283.6048611111</x:v>
      </x:c>
      <x:c r="AD495" s="7" t="n">
        <x:v>46283.6069444444</x:v>
      </x:c>
      <x:c r="AE495" s="7" t="n">
        <x:v>46283.6347222222</x:v>
      </x:c>
      <x:c r="AF495" s="7" t="n">
        <x:v>46283.6826388889</x:v>
      </x:c>
      <x:c r="AG495" s="3" t="n">
        <x:v>50</x:v>
      </x:c>
      <x:c r="AH495" s="3" t="n">
        <x:v>65</x:v>
      </x:c>
      <x:c r="AI495" s="3" t="s">
        <x:v>135</x:v>
      </x:c>
      <x:c r="AJ495" s="3" t="s">
        <x:v>111</x:v>
      </x:c>
      <x:c r="AK495" s="3" t="n">
        <x:v>150</x:v>
      </x:c>
      <x:c r="AL495" s="3" t="n">
        <x:v>0</x:v>
      </x:c>
      <x:c r="AM495" s="8" t="n">
        <x:v>0.7667</x:v>
      </x:c>
      <x:c r="AN495" s="3" t="n">
        <x:v>0</x:v>
      </x:c>
      <x:c r="AO495" s="3" t="s">
        <x:v>14</x:v>
      </x:c>
      <x:c r="AP495" s="3" t="s">
        <x:v>318</x:v>
      </x:c>
      <x:c r="AQ495" s="3" t="s">
        <x:v>361</x:v>
      </x:c>
      <x:c r="AR495" s="9" t="n">
        <x:v>953</x:v>
      </x:c>
      <x:c r="AS495" s="3" t="s">
        <x:v>121</x:v>
      </x:c>
      <x:c r="AT495" s="7" t="n">
        <x:v>46301.9166666667</x:v>
      </x:c>
    </x:row>
    <x:row r="496" ht="31.299999237060547" hidden="0">
      <x:c r="A496" s="3" t="s">
        <x:v>1028</x:v>
      </x:c>
      <x:c r="B496" s="3" t="s">
        <x:v>205</x:v>
      </x:c>
      <x:c r="C496" s="3" t="s">
        <x:v>206</x:v>
      </x:c>
      <x:c r="D496" s="3" t="s">
        <x:v>207</x:v>
      </x:c>
      <x:c r="E496" s="3" t="s">
        <x:v>249</x:v>
      </x:c>
      <x:c r="F496" s="3" t="s">
        <x:v>127</x:v>
      </x:c>
      <x:c r="G496" s="3" t="s">
        <x:v>354</x:v>
      </x:c>
      <x:c r="H496" s="3" t="s">
        <x:v>101</x:v>
      </x:c>
      <x:c r="I496" s="3" t="s">
        <x:v>102</x:v>
      </x:c>
      <x:c r="J496" s="3" t="s">
        <x:v>103</x:v>
      </x:c>
      <x:c r="K496" s="3" t="s">
        <x:v>104</x:v>
      </x:c>
      <x:c r="L496" s="3" t="s">
        <x:v>209</x:v>
      </x:c>
      <x:c r="M496" s="3" t="s">
        <x:v>210</x:v>
      </x:c>
      <x:c r="N496" s="3" t="s">
        <x:v>211</x:v>
      </x:c>
      <x:c r="O496" s="3" t="s">
        <x:v>212</x:v>
      </x:c>
      <x:c r="P496" s="3" t="s">
        <x:v>213</x:v>
      </x:c>
      <x:c r="Q496" s="3" t="s">
        <x:v>254</x:v>
      </x:c>
      <x:c r="R496" s="3" t="s">
        <x:v>176</x:v>
      </x:c>
      <x:c r="S496" s="3" t="s">
        <x:v>135</x:v>
      </x:c>
      <x:c r="T496" s="3" t="s">
        <x:v>135</x:v>
      </x:c>
      <x:c r="U496" s="3" t="s">
        <x:v>177</x:v>
      </x:c>
      <x:c r="V496" s="3" t="s">
        <x:v>178</x:v>
      </x:c>
      <x:c r="W496" s="3" t="s">
        <x:v>179</x:v>
      </x:c>
      <x:c r="X496" s="3" t="s">
        <x:v>180</x:v>
      </x:c>
      <x:c r="Y496" s="3" t="s">
        <x:v>414</x:v>
      </x:c>
      <x:c r="Z496" s="3" t="s">
        <x:v>182</x:v>
      </x:c>
      <x:c r="AA496" s="3" t="s">
        <x:v>118</x:v>
      </x:c>
      <x:c r="AB496" s="7" t="n">
        <x:v>46283.6826388889</x:v>
      </x:c>
      <x:c r="AC496" s="7" t="n">
        <x:v>46283.6861111111</x:v>
      </x:c>
      <x:c r="AD496" s="7" t="n">
        <x:v>46283.6888888889</x:v>
      </x:c>
      <x:c r="AE496" s="7" t="n">
        <x:v>46283.7076388889</x:v>
      </x:c>
      <x:c r="AF496" s="7" t="n">
        <x:v>46283.7326388889</x:v>
      </x:c>
      <x:c r="AG496" s="3" t="n">
        <x:v>36</x:v>
      </x:c>
      <x:c r="AH496" s="3" t="n">
        <x:v>32</x:v>
      </x:c>
      <x:c r="AI496" s="3" t="s">
        <x:v>135</x:v>
      </x:c>
      <x:c r="AJ496" s="3" t="s">
        <x:v>135</x:v>
      </x:c>
      <x:c r="AK496" s="3" t="n">
        <x:v>180</x:v>
      </x:c>
      <x:c r="AL496" s="3" t="n">
        <x:v>0</x:v>
      </x:c>
      <x:c r="AM496" s="8" t="n">
        <x:v>0.3778</x:v>
      </x:c>
      <x:c r="AN496" s="3" t="n">
        <x:v>1</x:v>
      </x:c>
      <x:c r="AO496" s="3" t="s">
        <x:v>9</x:v>
      </x:c>
      <x:c r="AP496" s="3" t="s">
        <x:v>500</x:v>
      </x:c>
      <x:c r="AQ496" s="3" t="s">
        <x:v>697</x:v>
      </x:c>
      <x:c r="AR496" s="9" t="n">
        <x:v>652.4</x:v>
      </x:c>
      <x:c r="AS496" s="3" t="s">
        <x:v>121</x:v>
      </x:c>
      <x:c r="AT496" s="7" t="n">
        <x:v>46301.9166666667</x:v>
      </x:c>
    </x:row>
    <x:row r="497" ht="31.299999237060547" hidden="0">
      <x:c r="A497" s="3" t="s">
        <x:v>1029</x:v>
      </x:c>
      <x:c r="B497" s="3" t="s">
        <x:v>297</x:v>
      </x:c>
      <x:c r="C497" s="3" t="s">
        <x:v>298</x:v>
      </x:c>
      <x:c r="D497" s="3" t="s">
        <x:v>299</x:v>
      </x:c>
      <x:c r="E497" s="3" t="s">
        <x:v>249</x:v>
      </x:c>
      <x:c r="F497" s="3" t="s">
        <x:v>169</x:v>
      </x:c>
      <x:c r="G497" s="3" t="s">
        <x:v>425</x:v>
      </x:c>
      <x:c r="H497" s="3" t="s">
        <x:v>301</x:v>
      </x:c>
      <x:c r="I497" s="3" t="s">
        <x:v>302</x:v>
      </x:c>
      <x:c r="J497" s="3" t="s">
        <x:v>303</x:v>
      </x:c>
      <x:c r="K497" s="3" t="s">
        <x:v>104</x:v>
      </x:c>
      <x:c r="L497" s="3" t="s">
        <x:v>304</x:v>
      </x:c>
      <x:c r="M497" s="3" t="s">
        <x:v>305</x:v>
      </x:c>
      <x:c r="N497" s="3" t="s">
        <x:v>306</x:v>
      </x:c>
      <x:c r="O497" s="3" t="s">
        <x:v>307</x:v>
      </x:c>
      <x:c r="P497" s="3" t="s">
        <x:v>308</x:v>
      </x:c>
      <x:c r="Q497" s="3" t="s">
        <x:v>309</x:v>
      </x:c>
      <x:c r="R497" s="3" t="s">
        <x:v>134</x:v>
      </x:c>
      <x:c r="S497" s="3" t="s">
        <x:v>135</x:v>
      </x:c>
      <x:c r="T497" s="3" t="s">
        <x:v>111</x:v>
      </x:c>
      <x:c r="U497" s="3" t="s">
        <x:v>136</x:v>
      </x:c>
      <x:c r="V497" s="3" t="s">
        <x:v>137</x:v>
      </x:c>
      <x:c r="W497" s="3" t="s">
        <x:v>138</x:v>
      </x:c>
      <x:c r="X497" s="3" t="s">
        <x:v>139</x:v>
      </x:c>
      <x:c r="Y497" s="3" t="s">
        <x:v>454</x:v>
      </x:c>
      <x:c r="Z497" s="3" t="s">
        <x:v>141</x:v>
      </x:c>
      <x:c r="AA497" s="3" t="s">
        <x:v>118</x:v>
      </x:c>
      <x:c r="AB497" s="7" t="n">
        <x:v>46283.6861111111</x:v>
      </x:c>
      <x:c r="AC497" s="7" t="n">
        <x:v>46283.6875</x:v>
      </x:c>
      <x:c r="AD497" s="7" t="n">
        <x:v>46283.6888888889</x:v>
      </x:c>
      <x:c r="AE497" s="7" t="n">
        <x:v>46283.7145833333</x:v>
      </x:c>
      <x:c r="AF497" s="7" t="n">
        <x:v>46283.7604166667</x:v>
      </x:c>
      <x:c r="AG497" s="3" t="n">
        <x:v>41</x:v>
      </x:c>
      <x:c r="AH497" s="3" t="n">
        <x:v>58</x:v>
      </x:c>
      <x:c r="AI497" s="3" t="s">
        <x:v>135</x:v>
      </x:c>
      <x:c r="AJ497" s="3" t="s">
        <x:v>111</x:v>
      </x:c>
      <x:c r="AK497" s="3" t="n">
        <x:v>180</x:v>
      </x:c>
      <x:c r="AL497" s="3" t="n">
        <x:v>0</x:v>
      </x:c>
      <x:c r="AM497" s="8" t="n">
        <x:v>0.55</x:v>
      </x:c>
      <x:c r="AN497" s="3" t="n">
        <x:v>1</x:v>
      </x:c>
      <x:c r="AO497" s="3" t="s">
        <x:v>9</x:v>
      </x:c>
      <x:c r="AP497" s="3" t="s">
        <x:v>584</x:v>
      </x:c>
      <x:c r="AQ497" s="3" t="s">
        <x:v>603</x:v>
      </x:c>
      <x:c r="AR497" s="9" t="n">
        <x:v>1242.1</x:v>
      </x:c>
      <x:c r="AS497" s="3" t="s">
        <x:v>121</x:v>
      </x:c>
      <x:c r="AT497" s="7" t="n">
        <x:v>46301.9166666667</x:v>
      </x:c>
    </x:row>
    <x:row r="498" ht="31.299999237060547" hidden="0">
      <x:c r="A498" s="3" t="s">
        <x:v>1030</x:v>
      </x:c>
      <x:c r="B498" s="3" t="s">
        <x:v>187</x:v>
      </x:c>
      <x:c r="C498" s="3" t="s">
        <x:v>188</x:v>
      </x:c>
      <x:c r="D498" s="3" t="s">
        <x:v>189</x:v>
      </x:c>
      <x:c r="E498" s="3" t="s">
        <x:v>249</x:v>
      </x:c>
      <x:c r="F498" s="3" t="s">
        <x:v>149</x:v>
      </x:c>
      <x:c r="G498" s="3" t="s">
        <x:v>535</x:v>
      </x:c>
      <x:c r="H498" s="3" t="s">
        <x:v>101</x:v>
      </x:c>
      <x:c r="I498" s="3" t="s">
        <x:v>102</x:v>
      </x:c>
      <x:c r="J498" s="3" t="s">
        <x:v>103</x:v>
      </x:c>
      <x:c r="K498" s="3" t="s">
        <x:v>104</x:v>
      </x:c>
      <x:c r="L498" s="3" t="s">
        <x:v>191</x:v>
      </x:c>
      <x:c r="M498" s="3" t="s">
        <x:v>192</x:v>
      </x:c>
      <x:c r="N498" s="3" t="s">
        <x:v>193</x:v>
      </x:c>
      <x:c r="O498" s="3" t="s">
        <x:v>194</x:v>
      </x:c>
      <x:c r="P498" s="3" t="s">
        <x:v>195</x:v>
      </x:c>
      <x:c r="Q498" s="3" t="s">
        <x:v>273</x:v>
      </x:c>
      <x:c r="R498" s="3" t="s">
        <x:v>176</x:v>
      </x:c>
      <x:c r="S498" s="3" t="s">
        <x:v>135</x:v>
      </x:c>
      <x:c r="T498" s="3" t="s">
        <x:v>135</x:v>
      </x:c>
      <x:c r="U498" s="3" t="s">
        <x:v>177</x:v>
      </x:c>
      <x:c r="V498" s="3" t="s">
        <x:v>178</x:v>
      </x:c>
      <x:c r="W498" s="3" t="s">
        <x:v>179</x:v>
      </x:c>
      <x:c r="X498" s="3" t="s">
        <x:v>180</x:v>
      </x:c>
      <x:c r="Y498" s="3" t="s">
        <x:v>414</x:v>
      </x:c>
      <x:c r="Z498" s="3" t="s">
        <x:v>182</x:v>
      </x:c>
      <x:c r="AA498" s="3" t="s">
        <x:v>118</x:v>
      </x:c>
      <x:c r="AB498" s="7" t="n">
        <x:v>46283.7736111111</x:v>
      </x:c>
      <x:c r="AC498" s="7" t="n">
        <x:v>46283.775</x:v>
      </x:c>
      <x:c r="AD498" s="7" t="n">
        <x:v>46283.7798611111</x:v>
      </x:c>
      <x:c r="AE498" s="7" t="n">
        <x:v>46283.8041666667</x:v>
      </x:c>
      <x:c r="AF498" s="7" t="n">
        <x:v>46283.8590277778</x:v>
      </x:c>
      <x:c r="AG498" s="3" t="n">
        <x:v>44</x:v>
      </x:c>
      <x:c r="AH498" s="3" t="n">
        <x:v>74</x:v>
      </x:c>
      <x:c r="AI498" s="3" t="s">
        <x:v>135</x:v>
      </x:c>
      <x:c r="AJ498" s="3" t="s">
        <x:v>111</x:v>
      </x:c>
      <x:c r="AK498" s="3" t="n">
        <x:v>150</x:v>
      </x:c>
      <x:c r="AL498" s="3" t="n">
        <x:v>0</x:v>
      </x:c>
      <x:c r="AM498" s="8" t="n">
        <x:v>0.7867</x:v>
      </x:c>
      <x:c r="AN498" s="3" t="n">
        <x:v>0</x:v>
      </x:c>
      <x:c r="AO498" s="3" t="s">
        <x:v>14</x:v>
      </x:c>
      <x:c r="AP498" s="3" t="s">
        <x:v>318</x:v>
      </x:c>
      <x:c r="AQ498" s="3" t="s">
        <x:v>386</x:v>
      </x:c>
      <x:c r="AR498" s="9" t="n">
        <x:v>1370.8</x:v>
      </x:c>
      <x:c r="AS498" s="3" t="s">
        <x:v>121</x:v>
      </x:c>
      <x:c r="AT498" s="7" t="n">
        <x:v>46301.9166666667</x:v>
      </x:c>
    </x:row>
    <x:row r="499" ht="31.299999237060547" hidden="0">
      <x:c r="A499" s="3" t="s">
        <x:v>1031</x:v>
      </x:c>
      <x:c r="B499" s="3" t="s">
        <x:v>166</x:v>
      </x:c>
      <x:c r="C499" s="3" t="s">
        <x:v>167</x:v>
      </x:c>
      <x:c r="D499" s="3" t="s">
        <x:v>168</x:v>
      </x:c>
      <x:c r="E499" s="3" t="s">
        <x:v>249</x:v>
      </x:c>
      <x:c r="F499" s="3" t="s">
        <x:v>169</x:v>
      </x:c>
      <x:c r="G499" s="3" t="s">
        <x:v>541</x:v>
      </x:c>
      <x:c r="H499" s="3" t="s">
        <x:v>301</x:v>
      </x:c>
      <x:c r="I499" s="3" t="s">
        <x:v>302</x:v>
      </x:c>
      <x:c r="J499" s="3" t="s">
        <x:v>303</x:v>
      </x:c>
      <x:c r="K499" s="3" t="s">
        <x:v>104</x:v>
      </x:c>
      <x:c r="L499" s="3" t="s">
        <x:v>171</x:v>
      </x:c>
      <x:c r="M499" s="3" t="s">
        <x:v>172</x:v>
      </x:c>
      <x:c r="N499" s="3" t="s">
        <x:v>173</x:v>
      </x:c>
      <x:c r="O499" s="3" t="s">
        <x:v>174</x:v>
      </x:c>
      <x:c r="P499" s="3" t="s">
        <x:v>175</x:v>
      </x:c>
      <x:c r="Q499" s="3" t="s">
        <x:v>271</x:v>
      </x:c>
      <x:c r="R499" s="3" t="s">
        <x:v>196</x:v>
      </x:c>
      <x:c r="S499" s="3" t="s">
        <x:v>111</x:v>
      </x:c>
      <x:c r="T499" s="3" t="s">
        <x:v>111</x:v>
      </x:c>
      <x:c r="U499" s="3" t="s">
        <x:v>197</x:v>
      </x:c>
      <x:c r="V499" s="3" t="s">
        <x:v>198</x:v>
      </x:c>
      <x:c r="W499" s="3" t="s">
        <x:v>365</x:v>
      </x:c>
      <x:c r="X499" s="3" t="s">
        <x:v>366</x:v>
      </x:c>
      <x:c r="Y499" s="3" t="s">
        <x:v>367</x:v>
      </x:c>
      <x:c r="Z499" s="3" t="s">
        <x:v>201</x:v>
      </x:c>
      <x:c r="AA499" s="3" t="s">
        <x:v>368</x:v>
      </x:c>
      <x:c r="AB499" s="7" t="n">
        <x:v>46283.8701388889</x:v>
      </x:c>
      <x:c r="AC499" s="7" t="n">
        <x:v>46283.8715277778</x:v>
      </x:c>
      <x:c r="AD499" s="7" t="n">
        <x:v>46283.8763888889</x:v>
      </x:c>
      <x:c r="AE499" s="7" t="n">
        <x:v>46283.8965277778</x:v>
      </x:c>
      <x:c r="AF499" s="7" t="n">
        <x:v>46283.9506944444</x:v>
      </x:c>
      <x:c r="AG499" s="3" t="n">
        <x:v>38</x:v>
      </x:c>
      <x:c r="AH499" s="3" t="n">
        <x:v>73</x:v>
      </x:c>
      <x:c r="AI499" s="3" t="s">
        <x:v>135</x:v>
      </x:c>
      <x:c r="AJ499" s="3" t="s">
        <x:v>135</x:v>
      </x:c>
      <x:c r="AK499" s="3" t="n">
        <x:v>120</x:v>
      </x:c>
      <x:c r="AL499" s="3" t="n">
        <x:v>0</x:v>
      </x:c>
      <x:c r="AM499" s="8" t="n">
        <x:v>0.925</x:v>
      </x:c>
      <x:c r="AN499" s="3" t="n">
        <x:v>1</x:v>
      </x:c>
      <x:c r="AO499" s="3" t="s">
        <x:v>19</x:v>
      </x:c>
      <x:c r="AP499" s="3" t="s">
        <x:v>660</x:v>
      </x:c>
      <x:c r="AQ499" s="3" t="s">
        <x:v>501</x:v>
      </x:c>
      <x:c r="AR499" s="9" t="n">
        <x:v>1336.6</x:v>
      </x:c>
      <x:c r="AS499" s="3" t="s">
        <x:v>185</x:v>
      </x:c>
      <x:c r="AT499" s="7" t="n">
        <x:v>46301.9166666667</x:v>
      </x:c>
    </x:row>
    <x:row r="500" ht="31.299999237060547" hidden="0">
      <x:c r="A500" s="3" t="s">
        <x:v>1032</x:v>
      </x:c>
      <x:c r="B500" s="3" t="s">
        <x:v>83</x:v>
      </x:c>
      <x:c r="C500" s="3" t="s">
        <x:v>96</x:v>
      </x:c>
      <x:c r="D500" s="3" t="s">
        <x:v>97</x:v>
      </x:c>
      <x:c r="E500" s="3" t="s">
        <x:v>249</x:v>
      </x:c>
      <x:c r="F500" s="3" t="s">
        <x:v>99</x:v>
      </x:c>
      <x:c r="G500" s="3" t="s">
        <x:v>349</x:v>
      </x:c>
      <x:c r="H500" s="3" t="s">
        <x:v>343</x:v>
      </x:c>
      <x:c r="I500" s="3" t="s">
        <x:v>102</x:v>
      </x:c>
      <x:c r="J500" s="3" t="s">
        <x:v>103</x:v>
      </x:c>
      <x:c r="K500" s="3" t="s">
        <x:v>104</x:v>
      </x:c>
      <x:c r="L500" s="3" t="s">
        <x:v>105</x:v>
      </x:c>
      <x:c r="M500" s="3" t="s">
        <x:v>106</x:v>
      </x:c>
      <x:c r="N500" s="3" t="s">
        <x:v>107</x:v>
      </x:c>
      <x:c r="O500" s="3" t="s">
        <x:v>108</x:v>
      </x:c>
      <x:c r="P500" s="3" t="s">
        <x:v>109</x:v>
      </x:c>
      <x:c r="Q500" s="3" t="s">
        <x:v>250</x:v>
      </x:c>
      <x:c r="R500" s="3" t="s">
        <x:v>344</x:v>
      </x:c>
      <x:c r="S500" s="3" t="s">
        <x:v>111</x:v>
      </x:c>
      <x:c r="T500" s="3" t="s">
        <x:v>111</x:v>
      </x:c>
      <x:c r="U500" s="3" t="s">
        <x:v>345</x:v>
      </x:c>
      <x:c r="V500" s="3" t="s">
        <x:v>178</x:v>
      </x:c>
      <x:c r="W500" s="3" t="s">
        <x:v>332</x:v>
      </x:c>
      <x:c r="X500" s="3" t="s">
        <x:v>180</x:v>
      </x:c>
      <x:c r="Y500" s="3" t="s">
        <x:v>333</x:v>
      </x:c>
      <x:c r="Z500" s="3" t="s">
        <x:v>346</x:v>
      </x:c>
      <x:c r="AA500" s="3" t="s">
        <x:v>118</x:v>
      </x:c>
      <x:c r="AB500" s="7" t="n">
        <x:v>46284.3847222222</x:v>
      </x:c>
      <x:c r="AC500" s="7" t="n">
        <x:v>46284.3888888889</x:v>
      </x:c>
      <x:c r="AD500" s="7" t="n">
        <x:v>46284.3951388889</x:v>
      </x:c>
      <x:c r="AE500" s="7" t="n">
        <x:v>46284.4152777778</x:v>
      </x:c>
      <x:c r="AF500" s="7" t="n">
        <x:v>46284.4458333333</x:v>
      </x:c>
      <x:c r="AG500" s="3" t="n">
        <x:v>44</x:v>
      </x:c>
      <x:c r="AH500" s="3" t="n">
        <x:v>36</x:v>
      </x:c>
      <x:c r="AI500" s="3" t="s">
        <x:v>111</x:v>
      </x:c>
      <x:c r="AJ500" s="3" t="s">
        <x:v>111</x:v>
      </x:c>
      <x:c r="AK500" s="3" t="n">
        <x:v>60</x:v>
      </x:c>
      <x:c r="AL500" s="3" t="n">
        <x:v>0</x:v>
      </x:c>
      <x:c r="AM500" s="8" t="n">
        <x:v>1.3333</x:v>
      </x:c>
      <x:c r="AN500" s="3" t="n">
        <x:v>3</x:v>
      </x:c>
      <x:c r="AO500" s="3" t="s">
        <x:v>24</x:v>
      </x:c>
      <x:c r="AP500" s="3" t="s">
        <x:v>906</x:v>
      </x:c>
      <x:c r="AQ500" s="3" t="s">
        <x:v>1033</x:v>
      </x:c>
      <x:c r="AR500" s="9" t="n">
        <x:v>1287.2</x:v>
      </x:c>
      <x:c r="AS500" s="3" t="s">
        <x:v>185</x:v>
      </x:c>
      <x:c r="AT500" s="7" t="n">
        <x:v>46301.9166666667</x:v>
      </x:c>
    </x:row>
    <x:row r="501" ht="31.299999237060547" hidden="0">
      <x:c r="A501" s="3" t="s">
        <x:v>1034</x:v>
      </x:c>
      <x:c r="B501" s="3" t="s">
        <x:v>187</x:v>
      </x:c>
      <x:c r="C501" s="3" t="s">
        <x:v>188</x:v>
      </x:c>
      <x:c r="D501" s="3" t="s">
        <x:v>189</x:v>
      </x:c>
      <x:c r="E501" s="3" t="s">
        <x:v>249</x:v>
      </x:c>
      <x:c r="F501" s="3" t="s">
        <x:v>99</x:v>
      </x:c>
      <x:c r="G501" s="3" t="s">
        <x:v>342</x:v>
      </x:c>
      <x:c r="H501" s="3" t="s">
        <x:v>343</x:v>
      </x:c>
      <x:c r="I501" s="3" t="s">
        <x:v>102</x:v>
      </x:c>
      <x:c r="J501" s="3" t="s">
        <x:v>103</x:v>
      </x:c>
      <x:c r="K501" s="3" t="s">
        <x:v>104</x:v>
      </x:c>
      <x:c r="L501" s="3" t="s">
        <x:v>191</x:v>
      </x:c>
      <x:c r="M501" s="3" t="s">
        <x:v>192</x:v>
      </x:c>
      <x:c r="N501" s="3" t="s">
        <x:v>193</x:v>
      </x:c>
      <x:c r="O501" s="3" t="s">
        <x:v>194</x:v>
      </x:c>
      <x:c r="P501" s="3" t="s">
        <x:v>195</x:v>
      </x:c>
      <x:c r="Q501" s="3" t="s">
        <x:v>273</x:v>
      </x:c>
      <x:c r="R501" s="3" t="s">
        <x:v>344</x:v>
      </x:c>
      <x:c r="S501" s="3" t="s">
        <x:v>111</x:v>
      </x:c>
      <x:c r="T501" s="3" t="s">
        <x:v>111</x:v>
      </x:c>
      <x:c r="U501" s="3" t="s">
        <x:v>345</x:v>
      </x:c>
      <x:c r="V501" s="3" t="s">
        <x:v>178</x:v>
      </x:c>
      <x:c r="W501" s="3" t="s">
        <x:v>332</x:v>
      </x:c>
      <x:c r="X501" s="3" t="s">
        <x:v>180</x:v>
      </x:c>
      <x:c r="Y501" s="3" t="s">
        <x:v>333</x:v>
      </x:c>
      <x:c r="Z501" s="3" t="s">
        <x:v>346</x:v>
      </x:c>
      <x:c r="AA501" s="3" t="s">
        <x:v>118</x:v>
      </x:c>
      <x:c r="AB501" s="7" t="n">
        <x:v>46284.4145833333</x:v>
      </x:c>
      <x:c r="AC501" s="7" t="n">
        <x:v>46284.41875</x:v>
      </x:c>
      <x:c r="AD501" s="7" t="n">
        <x:v>46284.4236111111</x:v>
      </x:c>
      <x:c r="AE501" s="7" t="n">
        <x:v>46284.4340277778</x:v>
      </x:c>
      <x:c r="AF501" s="7" t="n">
        <x:v>46284.4659722222</x:v>
      </x:c>
      <x:c r="AG501" s="3" t="n">
        <x:v>28</x:v>
      </x:c>
      <x:c r="AH501" s="3" t="n">
        <x:v>41</x:v>
      </x:c>
      <x:c r="AI501" s="3" t="s">
        <x:v>135</x:v>
      </x:c>
      <x:c r="AJ501" s="3" t="s">
        <x:v>111</x:v>
      </x:c>
      <x:c r="AK501" s="3" t="n">
        <x:v>120</x:v>
      </x:c>
      <x:c r="AL501" s="3" t="n">
        <x:v>0</x:v>
      </x:c>
      <x:c r="AM501" s="8" t="n">
        <x:v>0.575</x:v>
      </x:c>
      <x:c r="AN501" s="3" t="n">
        <x:v>1</x:v>
      </x:c>
      <x:c r="AO501" s="3" t="s">
        <x:v>9</x:v>
      </x:c>
      <x:c r="AP501" s="3" t="s">
        <x:v>584</x:v>
      </x:c>
      <x:c r="AQ501" s="3" t="s">
        <x:v>689</x:v>
      </x:c>
      <x:c r="AR501" s="9" t="n">
        <x:v>1061.2</x:v>
      </x:c>
      <x:c r="AS501" s="3" t="s">
        <x:v>121</x:v>
      </x:c>
      <x:c r="AT501" s="7" t="n">
        <x:v>46301.9166666667</x:v>
      </x:c>
    </x:row>
    <x:row r="502" ht="31.299999237060547" hidden="0">
      <x:c r="A502" s="3" t="s">
        <x:v>1035</x:v>
      </x:c>
      <x:c r="B502" s="3" t="s">
        <x:v>123</x:v>
      </x:c>
      <x:c r="C502" s="3" t="s">
        <x:v>124</x:v>
      </x:c>
      <x:c r="D502" s="3" t="s">
        <x:v>125</x:v>
      </x:c>
      <x:c r="E502" s="3" t="s">
        <x:v>249</x:v>
      </x:c>
      <x:c r="F502" s="3" t="s">
        <x:v>127</x:v>
      </x:c>
      <x:c r="G502" s="3" t="s">
        <x:v>522</x:v>
      </x:c>
      <x:c r="H502" s="3" t="s">
        <x:v>343</x:v>
      </x:c>
      <x:c r="I502" s="3" t="s">
        <x:v>102</x:v>
      </x:c>
      <x:c r="J502" s="3" t="s">
        <x:v>103</x:v>
      </x:c>
      <x:c r="K502" s="3" t="s">
        <x:v>104</x:v>
      </x:c>
      <x:c r="L502" s="3" t="s">
        <x:v>129</x:v>
      </x:c>
      <x:c r="M502" s="3" t="s">
        <x:v>130</x:v>
      </x:c>
      <x:c r="N502" s="3" t="s">
        <x:v>131</x:v>
      </x:c>
      <x:c r="O502" s="3" t="s">
        <x:v>132</x:v>
      </x:c>
      <x:c r="P502" s="3" t="s">
        <x:v>133</x:v>
      </x:c>
      <x:c r="Q502" s="3" t="s">
        <x:v>268</x:v>
      </x:c>
      <x:c r="R502" s="3" t="s">
        <x:v>380</x:v>
      </x:c>
      <x:c r="S502" s="3" t="s">
        <x:v>111</x:v>
      </x:c>
      <x:c r="T502" s="3" t="s">
        <x:v>111</x:v>
      </x:c>
      <x:c r="U502" s="3" t="s">
        <x:v>381</x:v>
      </x:c>
      <x:c r="V502" s="3" t="s">
        <x:v>312</x:v>
      </x:c>
      <x:c r="W502" s="3" t="s">
        <x:v>313</x:v>
      </x:c>
      <x:c r="X502" s="3" t="s">
        <x:v>314</x:v>
      </x:c>
      <x:c r="Y502" s="3" t="s">
        <x:v>315</x:v>
      </x:c>
      <x:c r="Z502" s="3" t="s">
        <x:v>384</x:v>
      </x:c>
      <x:c r="AA502" s="3" t="s">
        <x:v>385</x:v>
      </x:c>
      <x:c r="AB502" s="7" t="n">
        <x:v>46284.4611111111</x:v>
      </x:c>
      <x:c r="AC502" s="7" t="n">
        <x:v>46284.4638888889</x:v>
      </x:c>
      <x:c r="AD502" s="7" t="n">
        <x:v>46284.4701388889</x:v>
      </x:c>
      <x:c r="AE502" s="7" t="n">
        <x:v>46284.4972222222</x:v>
      </x:c>
      <x:c r="AF502" s="7" t="n">
        <x:v>46284.5263888889</x:v>
      </x:c>
      <x:c r="AG502" s="3" t="n">
        <x:v>52</x:v>
      </x:c>
      <x:c r="AH502" s="3" t="n">
        <x:v>38</x:v>
      </x:c>
      <x:c r="AI502" s="3" t="s">
        <x:v>135</x:v>
      </x:c>
      <x:c r="AJ502" s="3" t="s">
        <x:v>135</x:v>
      </x:c>
      <x:c r="AK502" s="3" t="n">
        <x:v>120</x:v>
      </x:c>
      <x:c r="AL502" s="3" t="n">
        <x:v>0</x:v>
      </x:c>
      <x:c r="AM502" s="8" t="n">
        <x:v>0.75</x:v>
      </x:c>
      <x:c r="AN502" s="3" t="n">
        <x:v>1</x:v>
      </x:c>
      <x:c r="AO502" s="3" t="s">
        <x:v>14</x:v>
      </x:c>
      <x:c r="AP502" s="3" t="s">
        <x:v>471</x:v>
      </x:c>
      <x:c r="AQ502" s="3" t="s">
        <x:v>472</x:v>
      </x:c>
      <x:c r="AR502" s="9" t="n">
        <x:v>767.6</x:v>
      </x:c>
      <x:c r="AS502" s="3" t="s">
        <x:v>185</x:v>
      </x:c>
      <x:c r="AT502" s="7" t="n">
        <x:v>46301.9166666667</x:v>
      </x:c>
    </x:row>
    <x:row r="503" ht="31.299999237060547" hidden="0">
      <x:c r="A503" s="3" t="s">
        <x:v>1036</x:v>
      </x:c>
      <x:c r="B503" s="3" t="s">
        <x:v>233</x:v>
      </x:c>
      <x:c r="C503" s="3" t="s">
        <x:v>234</x:v>
      </x:c>
      <x:c r="D503" s="3" t="s">
        <x:v>235</x:v>
      </x:c>
      <x:c r="E503" s="3" t="s">
        <x:v>249</x:v>
      </x:c>
      <x:c r="F503" s="3" t="s">
        <x:v>99</x:v>
      </x:c>
      <x:c r="G503" s="3" t="s">
        <x:v>522</x:v>
      </x:c>
      <x:c r="H503" s="3" t="s">
        <x:v>343</x:v>
      </x:c>
      <x:c r="I503" s="3" t="s">
        <x:v>102</x:v>
      </x:c>
      <x:c r="J503" s="3" t="s">
        <x:v>103</x:v>
      </x:c>
      <x:c r="K503" s="3" t="s">
        <x:v>104</x:v>
      </x:c>
      <x:c r="L503" s="3" t="s">
        <x:v>237</x:v>
      </x:c>
      <x:c r="M503" s="3" t="s">
        <x:v>172</x:v>
      </x:c>
      <x:c r="N503" s="3" t="s">
        <x:v>238</x:v>
      </x:c>
      <x:c r="O503" s="3" t="s">
        <x:v>239</x:v>
      </x:c>
      <x:c r="P503" s="3" t="s">
        <x:v>240</x:v>
      </x:c>
      <x:c r="Q503" s="3" t="s">
        <x:v>276</x:v>
      </x:c>
      <x:c r="R503" s="3" t="s">
        <x:v>380</x:v>
      </x:c>
      <x:c r="S503" s="3" t="s">
        <x:v>111</x:v>
      </x:c>
      <x:c r="T503" s="3" t="s">
        <x:v>111</x:v>
      </x:c>
      <x:c r="U503" s="3" t="s">
        <x:v>381</x:v>
      </x:c>
      <x:c r="V503" s="3" t="s">
        <x:v>312</x:v>
      </x:c>
      <x:c r="W503" s="3" t="s">
        <x:v>313</x:v>
      </x:c>
      <x:c r="X503" s="3" t="s">
        <x:v>314</x:v>
      </x:c>
      <x:c r="Y503" s="3" t="s">
        <x:v>315</x:v>
      </x:c>
      <x:c r="Z503" s="3" t="s">
        <x:v>384</x:v>
      </x:c>
      <x:c r="AA503" s="3" t="s">
        <x:v>385</x:v>
      </x:c>
      <x:c r="AB503" s="7" t="n">
        <x:v>46284.4791666667</x:v>
      </x:c>
      <x:c r="AC503" s="7" t="n">
        <x:v>46284.4826388889</x:v>
      </x:c>
      <x:c r="AD503" s="7" t="n">
        <x:v>46284.4847222222</x:v>
      </x:c>
      <x:c r="AE503" s="7" t="n">
        <x:v>46284.50625</x:v>
      </x:c>
      <x:c r="AF503" s="7" t="n">
        <x:v>46284.5611111111</x:v>
      </x:c>
      <x:c r="AG503" s="3" t="n">
        <x:v>39</x:v>
      </x:c>
      <x:c r="AH503" s="3" t="n">
        <x:v>75</x:v>
      </x:c>
      <x:c r="AI503" s="3" t="s">
        <x:v>135</x:v>
      </x:c>
      <x:c r="AJ503" s="3" t="s">
        <x:v>111</x:v>
      </x:c>
      <x:c r="AK503" s="3" t="n">
        <x:v>120</x:v>
      </x:c>
      <x:c r="AL503" s="3" t="n">
        <x:v>0</x:v>
      </x:c>
      <x:c r="AM503" s="8" t="n">
        <x:v>0.95</x:v>
      </x:c>
      <x:c r="AN503" s="3" t="n">
        <x:v>1</x:v>
      </x:c>
      <x:c r="AO503" s="3" t="s">
        <x:v>19</x:v>
      </x:c>
      <x:c r="AP503" s="3" t="s">
        <x:v>515</x:v>
      </x:c>
      <x:c r="AQ503" s="3" t="s">
        <x:v>501</x:v>
      </x:c>
      <x:c r="AR503" s="9" t="n">
        <x:v>975.5</x:v>
      </x:c>
      <x:c r="AS503" s="3" t="s">
        <x:v>185</x:v>
      </x:c>
      <x:c r="AT503" s="7" t="n">
        <x:v>46301.9166666667</x:v>
      </x:c>
    </x:row>
    <x:row r="504" ht="31.299999237060547" hidden="0">
      <x:c r="A504" s="3" t="s">
        <x:v>1037</x:v>
      </x:c>
      <x:c r="B504" s="3" t="s">
        <x:v>222</x:v>
      </x:c>
      <x:c r="C504" s="3" t="s">
        <x:v>223</x:v>
      </x:c>
      <x:c r="D504" s="3" t="s">
        <x:v>224</x:v>
      </x:c>
      <x:c r="E504" s="3" t="s">
        <x:v>249</x:v>
      </x:c>
      <x:c r="F504" s="3" t="s">
        <x:v>99</x:v>
      </x:c>
      <x:c r="G504" s="3" t="s">
        <x:v>449</x:v>
      </x:c>
      <x:c r="H504" s="3" t="s">
        <x:v>343</x:v>
      </x:c>
      <x:c r="I504" s="3" t="s">
        <x:v>102</x:v>
      </x:c>
      <x:c r="J504" s="3" t="s">
        <x:v>103</x:v>
      </x:c>
      <x:c r="K504" s="3" t="s">
        <x:v>104</x:v>
      </x:c>
      <x:c r="L504" s="3" t="s">
        <x:v>226</x:v>
      </x:c>
      <x:c r="M504" s="3" t="s">
        <x:v>227</x:v>
      </x:c>
      <x:c r="N504" s="3" t="s">
        <x:v>228</x:v>
      </x:c>
      <x:c r="O504" s="3" t="s">
        <x:v>229</x:v>
      </x:c>
      <x:c r="P504" s="3" t="s">
        <x:v>230</x:v>
      </x:c>
      <x:c r="Q504" s="3" t="s">
        <x:v>274</x:v>
      </x:c>
      <x:c r="R504" s="3" t="s">
        <x:v>156</x:v>
      </x:c>
      <x:c r="S504" s="3" t="s">
        <x:v>135</x:v>
      </x:c>
      <x:c r="T504" s="3" t="s">
        <x:v>111</x:v>
      </x:c>
      <x:c r="U504" s="3" t="s">
        <x:v>157</x:v>
      </x:c>
      <x:c r="V504" s="3" t="s">
        <x:v>158</x:v>
      </x:c>
      <x:c r="W504" s="3" t="s">
        <x:v>450</x:v>
      </x:c>
      <x:c r="X504" s="3" t="s">
        <x:v>160</x:v>
      </x:c>
      <x:c r="Y504" s="3" t="s">
        <x:v>451</x:v>
      </x:c>
      <x:c r="Z504" s="3" t="s">
        <x:v>162</x:v>
      </x:c>
      <x:c r="AA504" s="3" t="s">
        <x:v>118</x:v>
      </x:c>
      <x:c r="AB504" s="7" t="n">
        <x:v>46284.4930555556</x:v>
      </x:c>
      <x:c r="AC504" s="7" t="n">
        <x:v>46284.4951388889</x:v>
      </x:c>
      <x:c r="AD504" s="7" t="n">
        <x:v>46284.5013888889</x:v>
      </x:c>
      <x:c r="AE504" s="7" t="n">
        <x:v>46284.5173611111</x:v>
      </x:c>
      <x:c r="AF504" s="7" t="n">
        <x:v>46284.5604166667</x:v>
      </x:c>
      <x:c r="AG504" s="3" t="n">
        <x:v>35</x:v>
      </x:c>
      <x:c r="AH504" s="3" t="n">
        <x:v>59</x:v>
      </x:c>
      <x:c r="AI504" s="3" t="s">
        <x:v>135</x:v>
      </x:c>
      <x:c r="AJ504" s="3" t="s">
        <x:v>135</x:v>
      </x:c>
      <x:c r="AK504" s="3" t="n">
        <x:v>180</x:v>
      </x:c>
      <x:c r="AL504" s="3" t="n">
        <x:v>0</x:v>
      </x:c>
      <x:c r="AM504" s="8" t="n">
        <x:v>0.5222</x:v>
      </x:c>
      <x:c r="AN504" s="3" t="n">
        <x:v>1</x:v>
      </x:c>
      <x:c r="AO504" s="3" t="s">
        <x:v>9</x:v>
      </x:c>
      <x:c r="AP504" s="3" t="s">
        <x:v>500</x:v>
      </x:c>
      <x:c r="AQ504" s="3" t="s">
        <x:v>546</x:v>
      </x:c>
      <x:c r="AR504" s="9" t="n">
        <x:v>842.3</x:v>
      </x:c>
      <x:c r="AS504" s="3" t="s">
        <x:v>144</x:v>
      </x:c>
      <x:c r="AT504" s="7" t="n">
        <x:v>46301.9166666667</x:v>
      </x:c>
    </x:row>
    <x:row r="505" ht="31.299999237060547" hidden="0">
      <x:c r="A505" s="3" t="s">
        <x:v>1038</x:v>
      </x:c>
      <x:c r="B505" s="3" t="s">
        <x:v>146</x:v>
      </x:c>
      <x:c r="C505" s="3" t="s">
        <x:v>147</x:v>
      </x:c>
      <x:c r="D505" s="3" t="s">
        <x:v>148</x:v>
      </x:c>
      <x:c r="E505" s="3" t="s">
        <x:v>249</x:v>
      </x:c>
      <x:c r="F505" s="3" t="s">
        <x:v>127</x:v>
      </x:c>
      <x:c r="G505" s="3" t="s">
        <x:v>726</x:v>
      </x:c>
      <x:c r="H505" s="3" t="s">
        <x:v>343</x:v>
      </x:c>
      <x:c r="I505" s="3" t="s">
        <x:v>102</x:v>
      </x:c>
      <x:c r="J505" s="3" t="s">
        <x:v>103</x:v>
      </x:c>
      <x:c r="K505" s="3" t="s">
        <x:v>104</x:v>
      </x:c>
      <x:c r="L505" s="3" t="s">
        <x:v>151</x:v>
      </x:c>
      <x:c r="M505" s="3" t="s">
        <x:v>152</x:v>
      </x:c>
      <x:c r="N505" s="3" t="s">
        <x:v>153</x:v>
      </x:c>
      <x:c r="O505" s="3" t="s">
        <x:v>154</x:v>
      </x:c>
      <x:c r="P505" s="3" t="s">
        <x:v>155</x:v>
      </x:c>
      <x:c r="Q505" s="3" t="s">
        <x:v>270</x:v>
      </x:c>
      <x:c r="R505" s="3" t="s">
        <x:v>110</x:v>
      </x:c>
      <x:c r="S505" s="3" t="s">
        <x:v>111</x:v>
      </x:c>
      <x:c r="T505" s="3" t="s">
        <x:v>111</x:v>
      </x:c>
      <x:c r="U505" s="3" t="s">
        <x:v>112</x:v>
      </x:c>
      <x:c r="V505" s="3" t="s">
        <x:v>113</x:v>
      </x:c>
      <x:c r="W505" s="3" t="s">
        <x:v>114</x:v>
      </x:c>
      <x:c r="X505" s="3" t="s">
        <x:v>115</x:v>
      </x:c>
      <x:c r="Y505" s="3" t="s">
        <x:v>116</x:v>
      </x:c>
      <x:c r="Z505" s="3" t="s">
        <x:v>117</x:v>
      </x:c>
      <x:c r="AA505" s="3" t="s">
        <x:v>118</x:v>
      </x:c>
      <x:c r="AB505" s="7" t="n">
        <x:v>46284.4944444444</x:v>
      </x:c>
      <x:c r="AC505" s="7" t="n">
        <x:v>46284.4986111111</x:v>
      </x:c>
      <x:c r="AD505" s="7" t="n">
        <x:v>46284.5013888889</x:v>
      </x:c>
      <x:c r="AE505" s="7" t="n">
        <x:v>46284.5090277778</x:v>
      </x:c>
      <x:c r="AF505" s="7" t="n">
        <x:v>46284.5409722222</x:v>
      </x:c>
      <x:c r="AG505" s="3" t="n">
        <x:v>21</x:v>
      </x:c>
      <x:c r="AH505" s="3" t="n">
        <x:v>37</x:v>
      </x:c>
      <x:c r="AI505" s="3" t="s">
        <x:v>135</x:v>
      </x:c>
      <x:c r="AJ505" s="3" t="s">
        <x:v>135</x:v>
      </x:c>
      <x:c r="AK505" s="3" t="n">
        <x:v>120</x:v>
      </x:c>
      <x:c r="AL505" s="3" t="n">
        <x:v>0</x:v>
      </x:c>
      <x:c r="AM505" s="8" t="n">
        <x:v>0.4833</x:v>
      </x:c>
      <x:c r="AN505" s="3" t="n">
        <x:v>0</x:v>
      </x:c>
      <x:c r="AO505" s="3" t="s">
        <x:v>9</x:v>
      </x:c>
      <x:c r="AP505" s="3" t="s">
        <x:v>142</x:v>
      </x:c>
      <x:c r="AQ505" s="3" t="s">
        <x:v>411</x:v>
      </x:c>
      <x:c r="AR505" s="9" t="n">
        <x:v>620.9</x:v>
      </x:c>
      <x:c r="AS505" s="3" t="s">
        <x:v>121</x:v>
      </x:c>
      <x:c r="AT505" s="7" t="n">
        <x:v>46301.9166666667</x:v>
      </x:c>
    </x:row>
    <x:row r="506" ht="31.299999237060547" hidden="0">
      <x:c r="A506" s="3" t="s">
        <x:v>1039</x:v>
      </x:c>
      <x:c r="B506" s="3" t="s">
        <x:v>397</x:v>
      </x:c>
      <x:c r="C506" s="3" t="s">
        <x:v>398</x:v>
      </x:c>
      <x:c r="D506" s="3" t="s">
        <x:v>399</x:v>
      </x:c>
      <x:c r="E506" s="3" t="s">
        <x:v>249</x:v>
      </x:c>
      <x:c r="F506" s="3" t="s">
        <x:v>99</x:v>
      </x:c>
      <x:c r="G506" s="3" t="s">
        <x:v>425</x:v>
      </x:c>
      <x:c r="H506" s="3" t="s">
        <x:v>301</x:v>
      </x:c>
      <x:c r="I506" s="3" t="s">
        <x:v>302</x:v>
      </x:c>
      <x:c r="J506" s="3" t="s">
        <x:v>303</x:v>
      </x:c>
      <x:c r="K506" s="3" t="s">
        <x:v>104</x:v>
      </x:c>
      <x:c r="L506" s="3" t="s">
        <x:v>401</x:v>
      </x:c>
      <x:c r="M506" s="3" t="s">
        <x:v>402</x:v>
      </x:c>
      <x:c r="N506" s="3" t="s">
        <x:v>403</x:v>
      </x:c>
      <x:c r="O506" s="3" t="s">
        <x:v>404</x:v>
      </x:c>
      <x:c r="P506" s="3" t="s">
        <x:v>405</x:v>
      </x:c>
      <x:c r="Q506" s="3" t="s">
        <x:v>406</x:v>
      </x:c>
      <x:c r="R506" s="3" t="s">
        <x:v>134</x:v>
      </x:c>
      <x:c r="S506" s="3" t="s">
        <x:v>135</x:v>
      </x:c>
      <x:c r="T506" s="3" t="s">
        <x:v>111</x:v>
      </x:c>
      <x:c r="U506" s="3" t="s">
        <x:v>136</x:v>
      </x:c>
      <x:c r="V506" s="3" t="s">
        <x:v>137</x:v>
      </x:c>
      <x:c r="W506" s="3" t="s">
        <x:v>138</x:v>
      </x:c>
      <x:c r="X506" s="3" t="s">
        <x:v>139</x:v>
      </x:c>
      <x:c r="Y506" s="3" t="s">
        <x:v>454</x:v>
      </x:c>
      <x:c r="Z506" s="3" t="s">
        <x:v>141</x:v>
      </x:c>
      <x:c r="AA506" s="3" t="s">
        <x:v>118</x:v>
      </x:c>
      <x:c r="AB506" s="7" t="n">
        <x:v>46284.5916666667</x:v>
      </x:c>
      <x:c r="AC506" s="7" t="n">
        <x:v>46284.59375</x:v>
      </x:c>
      <x:c r="AD506" s="7" t="n">
        <x:v>46284.5993055556</x:v>
      </x:c>
      <x:c r="AE506" s="7" t="n">
        <x:v>46284.6215277778</x:v>
      </x:c>
      <x:c r="AF506" s="7" t="n">
        <x:v>46284.64375</x:v>
      </x:c>
      <x:c r="AG506" s="3" t="n">
        <x:v>43</x:v>
      </x:c>
      <x:c r="AH506" s="3" t="n">
        <x:v>26</x:v>
      </x:c>
      <x:c r="AI506" s="3" t="s">
        <x:v>135</x:v>
      </x:c>
      <x:c r="AJ506" s="3" t="s">
        <x:v>135</x:v>
      </x:c>
      <x:c r="AK506" s="3" t="n">
        <x:v>180</x:v>
      </x:c>
      <x:c r="AL506" s="3" t="n">
        <x:v>0</x:v>
      </x:c>
      <x:c r="AM506" s="8" t="n">
        <x:v>0.3833</x:v>
      </x:c>
      <x:c r="AN506" s="3" t="n">
        <x:v>2</x:v>
      </x:c>
      <x:c r="AO506" s="3" t="s">
        <x:v>14</x:v>
      </x:c>
      <x:c r="AP506" s="3" t="s">
        <x:v>573</x:v>
      </x:c>
      <x:c r="AQ506" s="3" t="s">
        <x:v>539</x:v>
      </x:c>
      <x:c r="AR506" s="9" t="n">
        <x:v>640.7</x:v>
      </x:c>
      <x:c r="AS506" s="3" t="s">
        <x:v>121</x:v>
      </x:c>
      <x:c r="AT506" s="7" t="n">
        <x:v>46301.9166666667</x:v>
      </x:c>
    </x:row>
    <x:row r="507" ht="31.299999237060547" hidden="0">
      <x:c r="A507" s="3" t="s">
        <x:v>1040</x:v>
      </x:c>
      <x:c r="B507" s="3" t="s">
        <x:v>397</x:v>
      </x:c>
      <x:c r="C507" s="3" t="s">
        <x:v>398</x:v>
      </x:c>
      <x:c r="D507" s="3" t="s">
        <x:v>399</x:v>
      </x:c>
      <x:c r="E507" s="3" t="s">
        <x:v>249</x:v>
      </x:c>
      <x:c r="F507" s="3" t="s">
        <x:v>99</x:v>
      </x:c>
      <x:c r="G507" s="3" t="s">
        <x:v>400</x:v>
      </x:c>
      <x:c r="H507" s="3" t="s">
        <x:v>301</x:v>
      </x:c>
      <x:c r="I507" s="3" t="s">
        <x:v>302</x:v>
      </x:c>
      <x:c r="J507" s="3" t="s">
        <x:v>303</x:v>
      </x:c>
      <x:c r="K507" s="3" t="s">
        <x:v>104</x:v>
      </x:c>
      <x:c r="L507" s="3" t="s">
        <x:v>401</x:v>
      </x:c>
      <x:c r="M507" s="3" t="s">
        <x:v>402</x:v>
      </x:c>
      <x:c r="N507" s="3" t="s">
        <x:v>403</x:v>
      </x:c>
      <x:c r="O507" s="3" t="s">
        <x:v>404</x:v>
      </x:c>
      <x:c r="P507" s="3" t="s">
        <x:v>405</x:v>
      </x:c>
      <x:c r="Q507" s="3" t="s">
        <x:v>406</x:v>
      </x:c>
      <x:c r="R507" s="3" t="s">
        <x:v>134</x:v>
      </x:c>
      <x:c r="S507" s="3" t="s">
        <x:v>135</x:v>
      </x:c>
      <x:c r="T507" s="3" t="s">
        <x:v>111</x:v>
      </x:c>
      <x:c r="U507" s="3" t="s">
        <x:v>136</x:v>
      </x:c>
      <x:c r="V507" s="3" t="s">
        <x:v>137</x:v>
      </x:c>
      <x:c r="W507" s="3" t="s">
        <x:v>138</x:v>
      </x:c>
      <x:c r="X507" s="3" t="s">
        <x:v>139</x:v>
      </x:c>
      <x:c r="Y507" s="3" t="s">
        <x:v>454</x:v>
      </x:c>
      <x:c r="Z507" s="3" t="s">
        <x:v>141</x:v>
      </x:c>
      <x:c r="AA507" s="3" t="s">
        <x:v>118</x:v>
      </x:c>
      <x:c r="AB507" s="7" t="n">
        <x:v>46284.6118055556</x:v>
      </x:c>
      <x:c r="AC507" s="7" t="n">
        <x:v>46284.6166666667</x:v>
      </x:c>
      <x:c r="AD507" s="7" t="n">
        <x:v>46284.6194444444</x:v>
      </x:c>
      <x:c r="AE507" s="7" t="n">
        <x:v>46284.6458333333</x:v>
      </x:c>
      <x:c r="AF507" s="7" t="n">
        <x:v>46284.6694444444</x:v>
      </x:c>
      <x:c r="AG507" s="3" t="n">
        <x:v>49</x:v>
      </x:c>
      <x:c r="AH507" s="3" t="n">
        <x:v>28</x:v>
      </x:c>
      <x:c r="AI507" s="3" t="s">
        <x:v>135</x:v>
      </x:c>
      <x:c r="AJ507" s="3" t="s">
        <x:v>135</x:v>
      </x:c>
      <x:c r="AK507" s="3" t="n">
        <x:v>180</x:v>
      </x:c>
      <x:c r="AL507" s="3" t="n">
        <x:v>0</x:v>
      </x:c>
      <x:c r="AM507" s="8" t="n">
        <x:v>0.4278</x:v>
      </x:c>
      <x:c r="AN507" s="3" t="n">
        <x:v>3</x:v>
      </x:c>
      <x:c r="AO507" s="3" t="s">
        <x:v>14</x:v>
      </x:c>
      <x:c r="AP507" s="3" t="s">
        <x:v>183</x:v>
      </x:c>
      <x:c r="AQ507" s="3" t="s">
        <x:v>593</x:v>
      </x:c>
      <x:c r="AR507" s="9" t="n">
        <x:v>932.1</x:v>
      </x:c>
      <x:c r="AS507" s="3" t="s">
        <x:v>185</x:v>
      </x:c>
      <x:c r="AT507" s="7" t="n">
        <x:v>46301.9166666667</x:v>
      </x:c>
    </x:row>
    <x:row r="508" ht="31.299999237060547" hidden="0">
      <x:c r="A508" s="3" t="s">
        <x:v>1041</x:v>
      </x:c>
      <x:c r="B508" s="3" t="s">
        <x:v>222</x:v>
      </x:c>
      <x:c r="C508" s="3" t="s">
        <x:v>223</x:v>
      </x:c>
      <x:c r="D508" s="3" t="s">
        <x:v>224</x:v>
      </x:c>
      <x:c r="E508" s="3" t="s">
        <x:v>249</x:v>
      </x:c>
      <x:c r="F508" s="3" t="s">
        <x:v>99</x:v>
      </x:c>
      <x:c r="G508" s="3" t="s">
        <x:v>379</x:v>
      </x:c>
      <x:c r="H508" s="3" t="s">
        <x:v>339</x:v>
      </x:c>
      <x:c r="I508" s="3" t="s">
        <x:v>102</x:v>
      </x:c>
      <x:c r="J508" s="3" t="s">
        <x:v>103</x:v>
      </x:c>
      <x:c r="K508" s="3" t="s">
        <x:v>104</x:v>
      </x:c>
      <x:c r="L508" s="3" t="s">
        <x:v>226</x:v>
      </x:c>
      <x:c r="M508" s="3" t="s">
        <x:v>227</x:v>
      </x:c>
      <x:c r="N508" s="3" t="s">
        <x:v>228</x:v>
      </x:c>
      <x:c r="O508" s="3" t="s">
        <x:v>229</x:v>
      </x:c>
      <x:c r="P508" s="3" t="s">
        <x:v>230</x:v>
      </x:c>
      <x:c r="Q508" s="3" t="s">
        <x:v>274</x:v>
      </x:c>
      <x:c r="R508" s="3" t="s">
        <x:v>380</x:v>
      </x:c>
      <x:c r="S508" s="3" t="s">
        <x:v>111</x:v>
      </x:c>
      <x:c r="T508" s="3" t="s">
        <x:v>111</x:v>
      </x:c>
      <x:c r="U508" s="3" t="s">
        <x:v>381</x:v>
      </x:c>
      <x:c r="V508" s="3" t="s">
        <x:v>312</x:v>
      </x:c>
      <x:c r="W508" s="3" t="s">
        <x:v>313</x:v>
      </x:c>
      <x:c r="X508" s="3" t="s">
        <x:v>314</x:v>
      </x:c>
      <x:c r="Y508" s="3" t="s">
        <x:v>315</x:v>
      </x:c>
      <x:c r="Z508" s="3" t="s">
        <x:v>384</x:v>
      </x:c>
      <x:c r="AA508" s="3" t="s">
        <x:v>385</x:v>
      </x:c>
      <x:c r="AB508" s="7" t="n">
        <x:v>46284.6520833333</x:v>
      </x:c>
      <x:c r="AC508" s="7" t="n">
        <x:v>46284.6534722222</x:v>
      </x:c>
      <x:c r="AD508" s="7" t="n">
        <x:v>46284.6548611111</x:v>
      </x:c>
      <x:c r="AE508" s="7" t="n">
        <x:v>46284.6743055556</x:v>
      </x:c>
      <x:c r="AF508" s="7" t="n">
        <x:v>46284.7256944444</x:v>
      </x:c>
      <x:c r="AG508" s="3" t="n">
        <x:v>32</x:v>
      </x:c>
      <x:c r="AH508" s="3" t="n">
        <x:v>69</x:v>
      </x:c>
      <x:c r="AI508" s="3" t="s">
        <x:v>135</x:v>
      </x:c>
      <x:c r="AJ508" s="3" t="s">
        <x:v>135</x:v>
      </x:c>
      <x:c r="AK508" s="3" t="n">
        <x:v>120</x:v>
      </x:c>
      <x:c r="AL508" s="3" t="n">
        <x:v>0</x:v>
      </x:c>
      <x:c r="AM508" s="8" t="n">
        <x:v>0.8417</x:v>
      </x:c>
      <x:c r="AN508" s="3" t="n">
        <x:v>1</x:v>
      </x:c>
      <x:c r="AO508" s="3" t="s">
        <x:v>14</x:v>
      </x:c>
      <x:c r="AP508" s="3" t="s">
        <x:v>471</x:v>
      </x:c>
      <x:c r="AQ508" s="3" t="s">
        <x:v>546</x:v>
      </x:c>
      <x:c r="AR508" s="9" t="n">
        <x:v>900.8</x:v>
      </x:c>
      <x:c r="AS508" s="3" t="s">
        <x:v>185</x:v>
      </x:c>
      <x:c r="AT508" s="7" t="n">
        <x:v>46301.9166666667</x:v>
      </x:c>
    </x:row>
    <x:row r="509" ht="31.299999237060547" hidden="0">
      <x:c r="A509" s="3" t="s">
        <x:v>1042</x:v>
      </x:c>
      <x:c r="B509" s="3" t="s">
        <x:v>397</x:v>
      </x:c>
      <x:c r="C509" s="3" t="s">
        <x:v>398</x:v>
      </x:c>
      <x:c r="D509" s="3" t="s">
        <x:v>399</x:v>
      </x:c>
      <x:c r="E509" s="3" t="s">
        <x:v>249</x:v>
      </x:c>
      <x:c r="F509" s="3" t="s">
        <x:v>99</x:v>
      </x:c>
      <x:c r="G509" s="3" t="s">
        <x:v>469</x:v>
      </x:c>
      <x:c r="H509" s="3" t="s">
        <x:v>301</x:v>
      </x:c>
      <x:c r="I509" s="3" t="s">
        <x:v>302</x:v>
      </x:c>
      <x:c r="J509" s="3" t="s">
        <x:v>303</x:v>
      </x:c>
      <x:c r="K509" s="3" t="s">
        <x:v>104</x:v>
      </x:c>
      <x:c r="L509" s="3" t="s">
        <x:v>401</x:v>
      </x:c>
      <x:c r="M509" s="3" t="s">
        <x:v>402</x:v>
      </x:c>
      <x:c r="N509" s="3" t="s">
        <x:v>403</x:v>
      </x:c>
      <x:c r="O509" s="3" t="s">
        <x:v>404</x:v>
      </x:c>
      <x:c r="P509" s="3" t="s">
        <x:v>405</x:v>
      </x:c>
      <x:c r="Q509" s="3" t="s">
        <x:v>406</x:v>
      </x:c>
      <x:c r="R509" s="3" t="s">
        <x:v>110</x:v>
      </x:c>
      <x:c r="S509" s="3" t="s">
        <x:v>111</x:v>
      </x:c>
      <x:c r="T509" s="3" t="s">
        <x:v>111</x:v>
      </x:c>
      <x:c r="U509" s="3" t="s">
        <x:v>112</x:v>
      </x:c>
      <x:c r="V509" s="3" t="s">
        <x:v>113</x:v>
      </x:c>
      <x:c r="W509" s="3" t="s">
        <x:v>419</x:v>
      </x:c>
      <x:c r="X509" s="3" t="s">
        <x:v>115</x:v>
      </x:c>
      <x:c r="Y509" s="3" t="s">
        <x:v>420</x:v>
      </x:c>
      <x:c r="Z509" s="3" t="s">
        <x:v>117</x:v>
      </x:c>
      <x:c r="AA509" s="3" t="s">
        <x:v>118</x:v>
      </x:c>
      <x:c r="AB509" s="7" t="n">
        <x:v>46284.6784722222</x:v>
      </x:c>
      <x:c r="AC509" s="7" t="n">
        <x:v>46284.6819444444</x:v>
      </x:c>
      <x:c r="AD509" s="7" t="n">
        <x:v>46284.6861111111</x:v>
      </x:c>
      <x:c r="AE509" s="7" t="n">
        <x:v>46284.7006944444</x:v>
      </x:c>
      <x:c r="AF509" s="7" t="n">
        <x:v>46284.7333333333</x:v>
      </x:c>
      <x:c r="AG509" s="3" t="n">
        <x:v>32</x:v>
      </x:c>
      <x:c r="AH509" s="3" t="n">
        <x:v>42</x:v>
      </x:c>
      <x:c r="AI509" s="3" t="s">
        <x:v>135</x:v>
      </x:c>
      <x:c r="AJ509" s="3" t="s">
        <x:v>135</x:v>
      </x:c>
      <x:c r="AK509" s="3" t="n">
        <x:v>120</x:v>
      </x:c>
      <x:c r="AL509" s="3" t="n">
        <x:v>0</x:v>
      </x:c>
      <x:c r="AM509" s="8" t="n">
        <x:v>0.6167</x:v>
      </x:c>
      <x:c r="AN509" s="3" t="n">
        <x:v>3</x:v>
      </x:c>
      <x:c r="AO509" s="3" t="s">
        <x:v>14</x:v>
      </x:c>
      <x:c r="AP509" s="3" t="s">
        <x:v>633</x:v>
      </x:c>
      <x:c r="AQ509" s="3" t="s">
        <x:v>872</x:v>
      </x:c>
      <x:c r="AR509" s="9" t="n">
        <x:v>956.4</x:v>
      </x:c>
      <x:c r="AS509" s="3" t="s">
        <x:v>185</x:v>
      </x:c>
      <x:c r="AT509" s="7" t="n">
        <x:v>46301.9166666667</x:v>
      </x:c>
    </x:row>
    <x:row r="510" ht="31.299999237060547" hidden="0">
      <x:c r="A510" s="3" t="s">
        <x:v>1043</x:v>
      </x:c>
      <x:c r="B510" s="3" t="s">
        <x:v>146</x:v>
      </x:c>
      <x:c r="C510" s="3" t="s">
        <x:v>147</x:v>
      </x:c>
      <x:c r="D510" s="3" t="s">
        <x:v>148</x:v>
      </x:c>
      <x:c r="E510" s="3" t="s">
        <x:v>249</x:v>
      </x:c>
      <x:c r="F510" s="3" t="s">
        <x:v>127</x:v>
      </x:c>
      <x:c r="G510" s="3" t="s">
        <x:v>416</x:v>
      </x:c>
      <x:c r="H510" s="3" t="s">
        <x:v>339</x:v>
      </x:c>
      <x:c r="I510" s="3" t="s">
        <x:v>102</x:v>
      </x:c>
      <x:c r="J510" s="3" t="s">
        <x:v>103</x:v>
      </x:c>
      <x:c r="K510" s="3" t="s">
        <x:v>104</x:v>
      </x:c>
      <x:c r="L510" s="3" t="s">
        <x:v>151</x:v>
      </x:c>
      <x:c r="M510" s="3" t="s">
        <x:v>152</x:v>
      </x:c>
      <x:c r="N510" s="3" t="s">
        <x:v>153</x:v>
      </x:c>
      <x:c r="O510" s="3" t="s">
        <x:v>154</x:v>
      </x:c>
      <x:c r="P510" s="3" t="s">
        <x:v>155</x:v>
      </x:c>
      <x:c r="Q510" s="3" t="s">
        <x:v>270</x:v>
      </x:c>
      <x:c r="R510" s="3" t="s">
        <x:v>373</x:v>
      </x:c>
      <x:c r="S510" s="3" t="s">
        <x:v>135</x:v>
      </x:c>
      <x:c r="T510" s="3" t="s">
        <x:v>111</x:v>
      </x:c>
      <x:c r="U510" s="3" t="s">
        <x:v>374</x:v>
      </x:c>
      <x:c r="V510" s="3" t="s">
        <x:v>178</x:v>
      </x:c>
      <x:c r="W510" s="3" t="s">
        <x:v>332</x:v>
      </x:c>
      <x:c r="X510" s="3" t="s">
        <x:v>180</x:v>
      </x:c>
      <x:c r="Y510" s="3" t="s">
        <x:v>333</x:v>
      </x:c>
      <x:c r="Z510" s="3" t="s">
        <x:v>375</x:v>
      </x:c>
      <x:c r="AA510" s="3" t="s">
        <x:v>118</x:v>
      </x:c>
      <x:c r="AB510" s="7" t="n">
        <x:v>46284.6798611111</x:v>
      </x:c>
      <x:c r="AC510" s="7" t="n">
        <x:v>46284.6840277778</x:v>
      </x:c>
      <x:c r="AD510" s="7" t="n">
        <x:v>46284.6881944445</x:v>
      </x:c>
      <x:c r="AE510" s="7" t="n">
        <x:v>46284.7097222222</x:v>
      </x:c>
      <x:c r="AF510" s="7" t="n">
        <x:v>46284.7208333333</x:v>
      </x:c>
      <x:c r="AG510" s="3" t="n">
        <x:v>43</x:v>
      </x:c>
      <x:c r="AH510" s="3" t="n">
        <x:v>12</x:v>
      </x:c>
      <x:c r="AI510" s="3" t="s">
        <x:v>135</x:v>
      </x:c>
      <x:c r="AJ510" s="3" t="s">
        <x:v>135</x:v>
      </x:c>
      <x:c r="AK510" s="3" t="n">
        <x:v>180</x:v>
      </x:c>
      <x:c r="AL510" s="3" t="n">
        <x:v>0</x:v>
      </x:c>
      <x:c r="AM510" s="8" t="n">
        <x:v>0.3056</x:v>
      </x:c>
      <x:c r="AN510" s="3" t="n">
        <x:v>2</x:v>
      </x:c>
      <x:c r="AO510" s="3" t="s">
        <x:v>14</x:v>
      </x:c>
      <x:c r="AP510" s="3" t="s">
        <x:v>573</x:v>
      </x:c>
      <x:c r="AQ510" s="3" t="s">
        <x:v>533</x:v>
      </x:c>
      <x:c r="AR510" s="9" t="n">
        <x:v>539.9</x:v>
      </x:c>
      <x:c r="AS510" s="3" t="s">
        <x:v>121</x:v>
      </x:c>
      <x:c r="AT510" s="7" t="n">
        <x:v>46301.9166666667</x:v>
      </x:c>
    </x:row>
    <x:row r="511" ht="31.299999237060547" hidden="0">
      <x:c r="A511" s="3" t="s">
        <x:v>1044</x:v>
      </x:c>
      <x:c r="B511" s="3" t="s">
        <x:v>146</x:v>
      </x:c>
      <x:c r="C511" s="3" t="s">
        <x:v>147</x:v>
      </x:c>
      <x:c r="D511" s="3" t="s">
        <x:v>148</x:v>
      </x:c>
      <x:c r="E511" s="3" t="s">
        <x:v>249</x:v>
      </x:c>
      <x:c r="F511" s="3" t="s">
        <x:v>127</x:v>
      </x:c>
      <x:c r="G511" s="3" t="s">
        <x:v>477</x:v>
      </x:c>
      <x:c r="H511" s="3" t="s">
        <x:v>343</x:v>
      </x:c>
      <x:c r="I511" s="3" t="s">
        <x:v>102</x:v>
      </x:c>
      <x:c r="J511" s="3" t="s">
        <x:v>103</x:v>
      </x:c>
      <x:c r="K511" s="3" t="s">
        <x:v>104</x:v>
      </x:c>
      <x:c r="L511" s="3" t="s">
        <x:v>151</x:v>
      </x:c>
      <x:c r="M511" s="3" t="s">
        <x:v>152</x:v>
      </x:c>
      <x:c r="N511" s="3" t="s">
        <x:v>153</x:v>
      </x:c>
      <x:c r="O511" s="3" t="s">
        <x:v>154</x:v>
      </x:c>
      <x:c r="P511" s="3" t="s">
        <x:v>155</x:v>
      </x:c>
      <x:c r="Q511" s="3" t="s">
        <x:v>270</x:v>
      </x:c>
      <x:c r="R511" s="3" t="s">
        <x:v>214</x:v>
      </x:c>
      <x:c r="S511" s="3" t="s">
        <x:v>135</x:v>
      </x:c>
      <x:c r="T511" s="3" t="s">
        <x:v>111</x:v>
      </x:c>
      <x:c r="U511" s="3" t="s">
        <x:v>215</x:v>
      </x:c>
      <x:c r="V511" s="3" t="s">
        <x:v>216</x:v>
      </x:c>
      <x:c r="W511" s="3" t="s">
        <x:v>429</x:v>
      </x:c>
      <x:c r="X511" s="3" t="s">
        <x:v>430</x:v>
      </x:c>
      <x:c r="Y511" s="3" t="s">
        <x:v>431</x:v>
      </x:c>
      <x:c r="Z511" s="3" t="s">
        <x:v>219</x:v>
      </x:c>
      <x:c r="AA511" s="3" t="s">
        <x:v>118</x:v>
      </x:c>
      <x:c r="AB511" s="7" t="n">
        <x:v>46284.7375</x:v>
      </x:c>
      <x:c r="AC511" s="7" t="n">
        <x:v>46284.7388888889</x:v>
      </x:c>
      <x:c r="AD511" s="7" t="n">
        <x:v>46284.7430555556</x:v>
      </x:c>
      <x:c r="AE511" s="7" t="n">
        <x:v>46284.7486111111</x:v>
      </x:c>
      <x:c r="AF511" s="7" t="n">
        <x:v>46284.7833333333</x:v>
      </x:c>
      <x:c r="AG511" s="3" t="n">
        <x:v>16</x:v>
      </x:c>
      <x:c r="AH511" s="3" t="n">
        <x:v>44</x:v>
      </x:c>
      <x:c r="AI511" s="3" t="s">
        <x:v>135</x:v>
      </x:c>
      <x:c r="AJ511" s="3" t="s">
        <x:v>135</x:v>
      </x:c>
      <x:c r="AK511" s="3" t="n">
        <x:v>180</x:v>
      </x:c>
      <x:c r="AL511" s="3" t="n">
        <x:v>0</x:v>
      </x:c>
      <x:c r="AM511" s="8" t="n">
        <x:v>0.3333</x:v>
      </x:c>
      <x:c r="AN511" s="3" t="n">
        <x:v>3</x:v>
      </x:c>
      <x:c r="AO511" s="3" t="s">
        <x:v>14</x:v>
      </x:c>
      <x:c r="AP511" s="3" t="s">
        <x:v>183</x:v>
      </x:c>
      <x:c r="AQ511" s="3" t="s">
        <x:v>929</x:v>
      </x:c>
      <x:c r="AR511" s="9" t="n">
        <x:v>898.8</x:v>
      </x:c>
      <x:c r="AS511" s="3" t="s">
        <x:v>185</x:v>
      </x:c>
      <x:c r="AT511" s="7" t="n">
        <x:v>46301.9166666667</x:v>
      </x:c>
    </x:row>
    <x:row r="512" ht="31.299999237060547" hidden="0">
      <x:c r="A512" s="3" t="s">
        <x:v>1045</x:v>
      </x:c>
      <x:c r="B512" s="3" t="s">
        <x:v>187</x:v>
      </x:c>
      <x:c r="C512" s="3" t="s">
        <x:v>188</x:v>
      </x:c>
      <x:c r="D512" s="3" t="s">
        <x:v>189</x:v>
      </x:c>
      <x:c r="E512" s="3" t="s">
        <x:v>249</x:v>
      </x:c>
      <x:c r="F512" s="3" t="s">
        <x:v>169</x:v>
      </x:c>
      <x:c r="G512" s="3" t="s">
        <x:v>498</x:v>
      </x:c>
      <x:c r="H512" s="3" t="s">
        <x:v>101</x:v>
      </x:c>
      <x:c r="I512" s="3" t="s">
        <x:v>102</x:v>
      </x:c>
      <x:c r="J512" s="3" t="s">
        <x:v>103</x:v>
      </x:c>
      <x:c r="K512" s="3" t="s">
        <x:v>104</x:v>
      </x:c>
      <x:c r="L512" s="3" t="s">
        <x:v>191</x:v>
      </x:c>
      <x:c r="M512" s="3" t="s">
        <x:v>192</x:v>
      </x:c>
      <x:c r="N512" s="3" t="s">
        <x:v>193</x:v>
      </x:c>
      <x:c r="O512" s="3" t="s">
        <x:v>194</x:v>
      </x:c>
      <x:c r="P512" s="3" t="s">
        <x:v>195</x:v>
      </x:c>
      <x:c r="Q512" s="3" t="s">
        <x:v>273</x:v>
      </x:c>
      <x:c r="R512" s="3" t="s">
        <x:v>310</x:v>
      </x:c>
      <x:c r="S512" s="3" t="s">
        <x:v>135</x:v>
      </x:c>
      <x:c r="T512" s="3" t="s">
        <x:v>111</x:v>
      </x:c>
      <x:c r="U512" s="3" t="s">
        <x:v>311</x:v>
      </x:c>
      <x:c r="V512" s="3" t="s">
        <x:v>312</x:v>
      </x:c>
      <x:c r="W512" s="3" t="s">
        <x:v>313</x:v>
      </x:c>
      <x:c r="X512" s="3" t="s">
        <x:v>314</x:v>
      </x:c>
      <x:c r="Y512" s="3" t="s">
        <x:v>315</x:v>
      </x:c>
      <x:c r="Z512" s="3" t="s">
        <x:v>316</x:v>
      </x:c>
      <x:c r="AA512" s="3" t="s">
        <x:v>317</x:v>
      </x:c>
      <x:c r="AB512" s="7" t="n">
        <x:v>46284.7444444444</x:v>
      </x:c>
      <x:c r="AC512" s="7" t="n">
        <x:v>46284.7479166667</x:v>
      </x:c>
      <x:c r="AD512" s="7" t="n">
        <x:v>46284.7506944445</x:v>
      </x:c>
      <x:c r="AE512" s="7" t="n">
        <x:v>46284.7743055556</x:v>
      </x:c>
      <x:c r="AF512" s="7" t="n">
        <x:v>46284.8229166667</x:v>
      </x:c>
      <x:c r="AG512" s="3" t="n">
        <x:v>43</x:v>
      </x:c>
      <x:c r="AH512" s="3" t="n">
        <x:v>62</x:v>
      </x:c>
      <x:c r="AI512" s="3" t="s">
        <x:v>135</x:v>
      </x:c>
      <x:c r="AJ512" s="3" t="s">
        <x:v>111</x:v>
      </x:c>
      <x:c r="AK512" s="3" t="n">
        <x:v>150</x:v>
      </x:c>
      <x:c r="AL512" s="3" t="n">
        <x:v>0</x:v>
      </x:c>
      <x:c r="AM512" s="8" t="n">
        <x:v>0.7</x:v>
      </x:c>
      <x:c r="AN512" s="3" t="n">
        <x:v>2</x:v>
      </x:c>
      <x:c r="AO512" s="3" t="s">
        <x:v>14</x:v>
      </x:c>
      <x:c r="AP512" s="3" t="s">
        <x:v>605</x:v>
      </x:c>
      <x:c r="AQ512" s="3" t="s">
        <x:v>689</x:v>
      </x:c>
      <x:c r="AR512" s="9" t="n">
        <x:v>1279.9</x:v>
      </x:c>
      <x:c r="AS512" s="3" t="s">
        <x:v>121</x:v>
      </x:c>
      <x:c r="AT512" s="7" t="n">
        <x:v>46301.9166666667</x:v>
      </x:c>
    </x:row>
    <x:row r="513" ht="31.299999237060547" hidden="0">
      <x:c r="A513" s="3" t="s">
        <x:v>1046</x:v>
      </x:c>
      <x:c r="B513" s="3" t="s">
        <x:v>397</x:v>
      </x:c>
      <x:c r="C513" s="3" t="s">
        <x:v>398</x:v>
      </x:c>
      <x:c r="D513" s="3" t="s">
        <x:v>399</x:v>
      </x:c>
      <x:c r="E513" s="3" t="s">
        <x:v>249</x:v>
      </x:c>
      <x:c r="F513" s="3" t="s">
        <x:v>127</x:v>
      </x:c>
      <x:c r="G513" s="3" t="s">
        <x:v>598</x:v>
      </x:c>
      <x:c r="H513" s="3" t="s">
        <x:v>301</x:v>
      </x:c>
      <x:c r="I513" s="3" t="s">
        <x:v>302</x:v>
      </x:c>
      <x:c r="J513" s="3" t="s">
        <x:v>303</x:v>
      </x:c>
      <x:c r="K513" s="3" t="s">
        <x:v>104</x:v>
      </x:c>
      <x:c r="L513" s="3" t="s">
        <x:v>401</x:v>
      </x:c>
      <x:c r="M513" s="3" t="s">
        <x:v>402</x:v>
      </x:c>
      <x:c r="N513" s="3" t="s">
        <x:v>403</x:v>
      </x:c>
      <x:c r="O513" s="3" t="s">
        <x:v>404</x:v>
      </x:c>
      <x:c r="P513" s="3" t="s">
        <x:v>405</x:v>
      </x:c>
      <x:c r="Q513" s="3" t="s">
        <x:v>406</x:v>
      </x:c>
      <x:c r="R513" s="3" t="s">
        <x:v>196</x:v>
      </x:c>
      <x:c r="S513" s="3" t="s">
        <x:v>111</x:v>
      </x:c>
      <x:c r="T513" s="3" t="s">
        <x:v>111</x:v>
      </x:c>
      <x:c r="U513" s="3" t="s">
        <x:v>197</x:v>
      </x:c>
      <x:c r="V513" s="3" t="s">
        <x:v>198</x:v>
      </x:c>
      <x:c r="W513" s="3" t="s">
        <x:v>365</x:v>
      </x:c>
      <x:c r="X513" s="3" t="s">
        <x:v>366</x:v>
      </x:c>
      <x:c r="Y513" s="3" t="s">
        <x:v>367</x:v>
      </x:c>
      <x:c r="Z513" s="3" t="s">
        <x:v>201</x:v>
      </x:c>
      <x:c r="AA513" s="3" t="s">
        <x:v>368</x:v>
      </x:c>
      <x:c r="AB513" s="7" t="n">
        <x:v>46284.7798611111</x:v>
      </x:c>
      <x:c r="AC513" s="7" t="n">
        <x:v>46284.7840277778</x:v>
      </x:c>
      <x:c r="AD513" s="7" t="n">
        <x:v>46284.7902777778</x:v>
      </x:c>
      <x:c r="AE513" s="7" t="n">
        <x:v>46284.8013888889</x:v>
      </x:c>
      <x:c r="AF513" s="7" t="n">
        <x:v>46284.8409722222</x:v>
      </x:c>
      <x:c r="AG513" s="3" t="n">
        <x:v>31</x:v>
      </x:c>
      <x:c r="AH513" s="3" t="n">
        <x:v>47</x:v>
      </x:c>
      <x:c r="AI513" s="3" t="s">
        <x:v>135</x:v>
      </x:c>
      <x:c r="AJ513" s="3" t="s">
        <x:v>135</x:v>
      </x:c>
      <x:c r="AK513" s="3" t="n">
        <x:v>120</x:v>
      </x:c>
      <x:c r="AL513" s="3" t="n">
        <x:v>0</x:v>
      </x:c>
      <x:c r="AM513" s="8" t="n">
        <x:v>0.65</x:v>
      </x:c>
      <x:c r="AN513" s="3" t="n">
        <x:v>0</x:v>
      </x:c>
      <x:c r="AO513" s="3" t="s">
        <x:v>14</x:v>
      </x:c>
      <x:c r="AP513" s="3" t="s">
        <x:v>347</x:v>
      </x:c>
      <x:c r="AQ513" s="3" t="s">
        <x:v>550</x:v>
      </x:c>
      <x:c r="AR513" s="9" t="n">
        <x:v>737.9</x:v>
      </x:c>
      <x:c r="AS513" s="3" t="s">
        <x:v>121</x:v>
      </x:c>
      <x:c r="AT513" s="7" t="n">
        <x:v>46301.9166666667</x:v>
      </x:c>
    </x:row>
    <x:row r="514" ht="31.299999237060547" hidden="0">
      <x:c r="A514" s="3" t="s">
        <x:v>1047</x:v>
      </x:c>
      <x:c r="B514" s="3" t="s">
        <x:v>205</x:v>
      </x:c>
      <x:c r="C514" s="3" t="s">
        <x:v>206</x:v>
      </x:c>
      <x:c r="D514" s="3" t="s">
        <x:v>207</x:v>
      </x:c>
      <x:c r="E514" s="3" t="s">
        <x:v>249</x:v>
      </x:c>
      <x:c r="F514" s="3" t="s">
        <x:v>127</x:v>
      </x:c>
      <x:c r="G514" s="3" t="s">
        <x:v>498</x:v>
      </x:c>
      <x:c r="H514" s="3" t="s">
        <x:v>101</x:v>
      </x:c>
      <x:c r="I514" s="3" t="s">
        <x:v>102</x:v>
      </x:c>
      <x:c r="J514" s="3" t="s">
        <x:v>103</x:v>
      </x:c>
      <x:c r="K514" s="3" t="s">
        <x:v>104</x:v>
      </x:c>
      <x:c r="L514" s="3" t="s">
        <x:v>209</x:v>
      </x:c>
      <x:c r="M514" s="3" t="s">
        <x:v>210</x:v>
      </x:c>
      <x:c r="N514" s="3" t="s">
        <x:v>211</x:v>
      </x:c>
      <x:c r="O514" s="3" t="s">
        <x:v>212</x:v>
      </x:c>
      <x:c r="P514" s="3" t="s">
        <x:v>213</x:v>
      </x:c>
      <x:c r="Q514" s="3" t="s">
        <x:v>254</x:v>
      </x:c>
      <x:c r="R514" s="3" t="s">
        <x:v>310</x:v>
      </x:c>
      <x:c r="S514" s="3" t="s">
        <x:v>135</x:v>
      </x:c>
      <x:c r="T514" s="3" t="s">
        <x:v>111</x:v>
      </x:c>
      <x:c r="U514" s="3" t="s">
        <x:v>311</x:v>
      </x:c>
      <x:c r="V514" s="3" t="s">
        <x:v>312</x:v>
      </x:c>
      <x:c r="W514" s="3" t="s">
        <x:v>382</x:v>
      </x:c>
      <x:c r="X514" s="3" t="s">
        <x:v>314</x:v>
      </x:c>
      <x:c r="Y514" s="3" t="s">
        <x:v>383</x:v>
      </x:c>
      <x:c r="Z514" s="3" t="s">
        <x:v>316</x:v>
      </x:c>
      <x:c r="AA514" s="3" t="s">
        <x:v>317</x:v>
      </x:c>
      <x:c r="AB514" s="7" t="n">
        <x:v>46285.3805555556</x:v>
      </x:c>
      <x:c r="AC514" s="7" t="n">
        <x:v>46285.3819444444</x:v>
      </x:c>
      <x:c r="AD514" s="7" t="n">
        <x:v>46285.3861111111</x:v>
      </x:c>
      <x:c r="AE514" s="7" t="n">
        <x:v>46285.4041666667</x:v>
      </x:c>
      <x:c r="AF514" s="7" t="n">
        <x:v>46285.4263888889</x:v>
      </x:c>
      <x:c r="AG514" s="3" t="n">
        <x:v>34</x:v>
      </x:c>
      <x:c r="AH514" s="3" t="n">
        <x:v>27</x:v>
      </x:c>
      <x:c r="AI514" s="3" t="s">
        <x:v>135</x:v>
      </x:c>
      <x:c r="AJ514" s="3" t="s">
        <x:v>135</x:v>
      </x:c>
      <x:c r="AK514" s="3" t="n">
        <x:v>180</x:v>
      </x:c>
      <x:c r="AL514" s="3" t="n">
        <x:v>0</x:v>
      </x:c>
      <x:c r="AM514" s="8" t="n">
        <x:v>0.3389</x:v>
      </x:c>
      <x:c r="AN514" s="3" t="n">
        <x:v>4</x:v>
      </x:c>
      <x:c r="AO514" s="3" t="s">
        <x:v>14</x:v>
      </x:c>
      <x:c r="AP514" s="3" t="s">
        <x:v>889</x:v>
      </x:c>
      <x:c r="AQ514" s="3" t="s">
        <x:v>987</x:v>
      </x:c>
      <x:c r="AR514" s="9" t="n">
        <x:v>857.4</x:v>
      </x:c>
      <x:c r="AS514" s="3" t="s">
        <x:v>185</x:v>
      </x:c>
      <x:c r="AT514" s="7" t="n">
        <x:v>46301.9166666667</x:v>
      </x:c>
    </x:row>
    <x:row r="515" ht="31.299999237060547" hidden="0">
      <x:c r="A515" s="3" t="s">
        <x:v>1048</x:v>
      </x:c>
      <x:c r="B515" s="3" t="s">
        <x:v>233</x:v>
      </x:c>
      <x:c r="C515" s="3" t="s">
        <x:v>234</x:v>
      </x:c>
      <x:c r="D515" s="3" t="s">
        <x:v>235</x:v>
      </x:c>
      <x:c r="E515" s="3" t="s">
        <x:v>249</x:v>
      </x:c>
      <x:c r="F515" s="3" t="s">
        <x:v>99</x:v>
      </x:c>
      <x:c r="G515" s="3" t="s">
        <x:v>458</x:v>
      </x:c>
      <x:c r="H515" s="3" t="s">
        <x:v>339</x:v>
      </x:c>
      <x:c r="I515" s="3" t="s">
        <x:v>102</x:v>
      </x:c>
      <x:c r="J515" s="3" t="s">
        <x:v>103</x:v>
      </x:c>
      <x:c r="K515" s="3" t="s">
        <x:v>104</x:v>
      </x:c>
      <x:c r="L515" s="3" t="s">
        <x:v>237</x:v>
      </x:c>
      <x:c r="M515" s="3" t="s">
        <x:v>172</x:v>
      </x:c>
      <x:c r="N515" s="3" t="s">
        <x:v>238</x:v>
      </x:c>
      <x:c r="O515" s="3" t="s">
        <x:v>239</x:v>
      </x:c>
      <x:c r="P515" s="3" t="s">
        <x:v>240</x:v>
      </x:c>
      <x:c r="Q515" s="3" t="s">
        <x:v>276</x:v>
      </x:c>
      <x:c r="R515" s="3" t="s">
        <x:v>391</x:v>
      </x:c>
      <x:c r="S515" s="3" t="s">
        <x:v>135</x:v>
      </x:c>
      <x:c r="T515" s="3" t="s">
        <x:v>135</x:v>
      </x:c>
      <x:c r="U515" s="3" t="s">
        <x:v>392</x:v>
      </x:c>
      <x:c r="V515" s="3" t="s">
        <x:v>312</x:v>
      </x:c>
      <x:c r="W515" s="3" t="s">
        <x:v>351</x:v>
      </x:c>
      <x:c r="X515" s="3" t="s">
        <x:v>314</x:v>
      </x:c>
      <x:c r="Y515" s="3" t="s">
        <x:v>352</x:v>
      </x:c>
      <x:c r="Z515" s="3" t="s">
        <x:v>393</x:v>
      </x:c>
      <x:c r="AA515" s="3" t="s">
        <x:v>394</x:v>
      </x:c>
      <x:c r="AB515" s="7" t="n">
        <x:v>46285.3833333333</x:v>
      </x:c>
      <x:c r="AC515" s="7" t="n">
        <x:v>46285.3868055556</x:v>
      </x:c>
      <x:c r="AD515" s="7" t="n">
        <x:v>46285.3888888889</x:v>
      </x:c>
      <x:c r="AE515" s="7" t="n">
        <x:v>46285.4090277778</x:v>
      </x:c>
      <x:c r="AF515" s="7" t="n">
        <x:v>46285.4423611111</x:v>
      </x:c>
      <x:c r="AG515" s="3" t="n">
        <x:v>37</x:v>
      </x:c>
      <x:c r="AH515" s="3" t="n">
        <x:v>43</x:v>
      </x:c>
      <x:c r="AI515" s="3" t="s">
        <x:v>135</x:v>
      </x:c>
      <x:c r="AJ515" s="3" t="s">
        <x:v>111</x:v>
      </x:c>
      <x:c r="AK515" s="3" t="n">
        <x:v>150</x:v>
      </x:c>
      <x:c r="AL515" s="3" t="n">
        <x:v>0</x:v>
      </x:c>
      <x:c r="AM515" s="8" t="n">
        <x:v>0.5333</x:v>
      </x:c>
      <x:c r="AN515" s="3" t="n">
        <x:v>1</x:v>
      </x:c>
      <x:c r="AO515" s="3" t="s">
        <x:v>9</x:v>
      </x:c>
      <x:c r="AP515" s="3" t="s">
        <x:v>584</x:v>
      </x:c>
      <x:c r="AQ515" s="3" t="s">
        <x:v>501</x:v>
      </x:c>
      <x:c r="AR515" s="9" t="n">
        <x:v>736.1</x:v>
      </x:c>
      <x:c r="AS515" s="3" t="s">
        <x:v>121</x:v>
      </x:c>
      <x:c r="AT515" s="7" t="n">
        <x:v>46301.9166666667</x:v>
      </x:c>
    </x:row>
    <x:row r="516" ht="31.299999237060547" hidden="0">
      <x:c r="A516" s="3" t="s">
        <x:v>1049</x:v>
      </x:c>
      <x:c r="B516" s="3" t="s">
        <x:v>297</x:v>
      </x:c>
      <x:c r="C516" s="3" t="s">
        <x:v>298</x:v>
      </x:c>
      <x:c r="D516" s="3" t="s">
        <x:v>299</x:v>
      </x:c>
      <x:c r="E516" s="3" t="s">
        <x:v>249</x:v>
      </x:c>
      <x:c r="F516" s="3" t="s">
        <x:v>169</x:v>
      </x:c>
      <x:c r="G516" s="3" t="s">
        <x:v>390</x:v>
      </x:c>
      <x:c r="H516" s="3" t="s">
        <x:v>301</x:v>
      </x:c>
      <x:c r="I516" s="3" t="s">
        <x:v>302</x:v>
      </x:c>
      <x:c r="J516" s="3" t="s">
        <x:v>303</x:v>
      </x:c>
      <x:c r="K516" s="3" t="s">
        <x:v>104</x:v>
      </x:c>
      <x:c r="L516" s="3" t="s">
        <x:v>304</x:v>
      </x:c>
      <x:c r="M516" s="3" t="s">
        <x:v>305</x:v>
      </x:c>
      <x:c r="N516" s="3" t="s">
        <x:v>306</x:v>
      </x:c>
      <x:c r="O516" s="3" t="s">
        <x:v>307</x:v>
      </x:c>
      <x:c r="P516" s="3" t="s">
        <x:v>308</x:v>
      </x:c>
      <x:c r="Q516" s="3" t="s">
        <x:v>309</x:v>
      </x:c>
      <x:c r="R516" s="3" t="s">
        <x:v>391</x:v>
      </x:c>
      <x:c r="S516" s="3" t="s">
        <x:v>135</x:v>
      </x:c>
      <x:c r="T516" s="3" t="s">
        <x:v>135</x:v>
      </x:c>
      <x:c r="U516" s="3" t="s">
        <x:v>392</x:v>
      </x:c>
      <x:c r="V516" s="3" t="s">
        <x:v>312</x:v>
      </x:c>
      <x:c r="W516" s="3" t="s">
        <x:v>382</x:v>
      </x:c>
      <x:c r="X516" s="3" t="s">
        <x:v>314</x:v>
      </x:c>
      <x:c r="Y516" s="3" t="s">
        <x:v>383</x:v>
      </x:c>
      <x:c r="Z516" s="3" t="s">
        <x:v>393</x:v>
      </x:c>
      <x:c r="AA516" s="3" t="s">
        <x:v>394</x:v>
      </x:c>
      <x:c r="AB516" s="7" t="n">
        <x:v>46285.5388888889</x:v>
      </x:c>
      <x:c r="AC516" s="7" t="n">
        <x:v>46285.5409722222</x:v>
      </x:c>
      <x:c r="AD516" s="7" t="n">
        <x:v>46285.5465277778</x:v>
      </x:c>
      <x:c r="AE516" s="7" t="n">
        <x:v>46285.5729166667</x:v>
      </x:c>
      <x:c r="AF516" s="7" t="n">
        <x:v>46285.6131944444</x:v>
      </x:c>
      <x:c r="AG516" s="3" t="n">
        <x:v>49</x:v>
      </x:c>
      <x:c r="AH516" s="3" t="n">
        <x:v>55</x:v>
      </x:c>
      <x:c r="AI516" s="3" t="s">
        <x:v>135</x:v>
      </x:c>
      <x:c r="AJ516" s="3" t="s">
        <x:v>111</x:v>
      </x:c>
      <x:c r="AK516" s="3" t="n">
        <x:v>180</x:v>
      </x:c>
      <x:c r="AL516" s="3" t="n">
        <x:v>0</x:v>
      </x:c>
      <x:c r="AM516" s="8" t="n">
        <x:v>0.5778</x:v>
      </x:c>
      <x:c r="AN516" s="3" t="n">
        <x:v>1</x:v>
      </x:c>
      <x:c r="AO516" s="3" t="s">
        <x:v>9</x:v>
      </x:c>
      <x:c r="AP516" s="3" t="s">
        <x:v>584</x:v>
      </x:c>
      <x:c r="AQ516" s="3" t="s">
        <x:v>603</x:v>
      </x:c>
      <x:c r="AR516" s="9" t="n">
        <x:v>1256.5</x:v>
      </x:c>
      <x:c r="AS516" s="3" t="s">
        <x:v>121</x:v>
      </x:c>
      <x:c r="AT516" s="7" t="n">
        <x:v>46301.9166666667</x:v>
      </x:c>
    </x:row>
    <x:row r="517" ht="31.299999237060547" hidden="0">
      <x:c r="A517" s="3" t="s">
        <x:v>1050</x:v>
      </x:c>
      <x:c r="B517" s="3" t="s">
        <x:v>233</x:v>
      </x:c>
      <x:c r="C517" s="3" t="s">
        <x:v>234</x:v>
      </x:c>
      <x:c r="D517" s="3" t="s">
        <x:v>235</x:v>
      </x:c>
      <x:c r="E517" s="3" t="s">
        <x:v>249</x:v>
      </x:c>
      <x:c r="F517" s="3" t="s">
        <x:v>169</x:v>
      </x:c>
      <x:c r="G517" s="3" t="s">
        <x:v>477</x:v>
      </x:c>
      <x:c r="H517" s="3" t="s">
        <x:v>343</x:v>
      </x:c>
      <x:c r="I517" s="3" t="s">
        <x:v>102</x:v>
      </x:c>
      <x:c r="J517" s="3" t="s">
        <x:v>103</x:v>
      </x:c>
      <x:c r="K517" s="3" t="s">
        <x:v>104</x:v>
      </x:c>
      <x:c r="L517" s="3" t="s">
        <x:v>237</x:v>
      </x:c>
      <x:c r="M517" s="3" t="s">
        <x:v>172</x:v>
      </x:c>
      <x:c r="N517" s="3" t="s">
        <x:v>238</x:v>
      </x:c>
      <x:c r="O517" s="3" t="s">
        <x:v>239</x:v>
      </x:c>
      <x:c r="P517" s="3" t="s">
        <x:v>240</x:v>
      </x:c>
      <x:c r="Q517" s="3" t="s">
        <x:v>276</x:v>
      </x:c>
      <x:c r="R517" s="3" t="s">
        <x:v>214</x:v>
      </x:c>
      <x:c r="S517" s="3" t="s">
        <x:v>135</x:v>
      </x:c>
      <x:c r="T517" s="3" t="s">
        <x:v>111</x:v>
      </x:c>
      <x:c r="U517" s="3" t="s">
        <x:v>215</x:v>
      </x:c>
      <x:c r="V517" s="3" t="s">
        <x:v>216</x:v>
      </x:c>
      <x:c r="W517" s="3" t="s">
        <x:v>429</x:v>
      </x:c>
      <x:c r="X517" s="3" t="s">
        <x:v>430</x:v>
      </x:c>
      <x:c r="Y517" s="3" t="s">
        <x:v>431</x:v>
      </x:c>
      <x:c r="Z517" s="3" t="s">
        <x:v>219</x:v>
      </x:c>
      <x:c r="AA517" s="3" t="s">
        <x:v>118</x:v>
      </x:c>
      <x:c r="AB517" s="7" t="n">
        <x:v>46285.5409722222</x:v>
      </x:c>
      <x:c r="AC517" s="7" t="n">
        <x:v>46285.54375</x:v>
      </x:c>
      <x:c r="AD517" s="7" t="n">
        <x:v>46285.5479166667</x:v>
      </x:c>
      <x:c r="AE517" s="7" t="n">
        <x:v>46285.5673611111</x:v>
      </x:c>
      <x:c r="AF517" s="7" t="n">
        <x:v>46285.5902777778</x:v>
      </x:c>
      <x:c r="AG517" s="3" t="n">
        <x:v>38</x:v>
      </x:c>
      <x:c r="AH517" s="3" t="n">
        <x:v>27</x:v>
      </x:c>
      <x:c r="AI517" s="3" t="s">
        <x:v>135</x:v>
      </x:c>
      <x:c r="AJ517" s="3" t="s">
        <x:v>111</x:v>
      </x:c>
      <x:c r="AK517" s="3" t="n">
        <x:v>150</x:v>
      </x:c>
      <x:c r="AL517" s="3" t="n">
        <x:v>0</x:v>
      </x:c>
      <x:c r="AM517" s="8" t="n">
        <x:v>0.4333</x:v>
      </x:c>
      <x:c r="AN517" s="3" t="n">
        <x:v>1</x:v>
      </x:c>
      <x:c r="AO517" s="3" t="s">
        <x:v>9</x:v>
      </x:c>
      <x:c r="AP517" s="3" t="s">
        <x:v>584</x:v>
      </x:c>
      <x:c r="AQ517" s="3" t="s">
        <x:v>501</x:v>
      </x:c>
      <x:c r="AR517" s="9" t="n">
        <x:v>625.4</x:v>
      </x:c>
      <x:c r="AS517" s="3" t="s">
        <x:v>121</x:v>
      </x:c>
      <x:c r="AT517" s="7" t="n">
        <x:v>46301.9166666667</x:v>
      </x:c>
    </x:row>
    <x:row r="518" ht="31.299999237060547" hidden="0">
      <x:c r="A518" s="3" t="s">
        <x:v>1051</x:v>
      </x:c>
      <x:c r="B518" s="3" t="s">
        <x:v>166</x:v>
      </x:c>
      <x:c r="C518" s="3" t="s">
        <x:v>167</x:v>
      </x:c>
      <x:c r="D518" s="3" t="s">
        <x:v>168</x:v>
      </x:c>
      <x:c r="E518" s="3" t="s">
        <x:v>249</x:v>
      </x:c>
      <x:c r="F518" s="3" t="s">
        <x:v>149</x:v>
      </x:c>
      <x:c r="G518" s="3" t="s">
        <x:v>726</x:v>
      </x:c>
      <x:c r="H518" s="3" t="s">
        <x:v>343</x:v>
      </x:c>
      <x:c r="I518" s="3" t="s">
        <x:v>102</x:v>
      </x:c>
      <x:c r="J518" s="3" t="s">
        <x:v>103</x:v>
      </x:c>
      <x:c r="K518" s="3" t="s">
        <x:v>104</x:v>
      </x:c>
      <x:c r="L518" s="3" t="s">
        <x:v>171</x:v>
      </x:c>
      <x:c r="M518" s="3" t="s">
        <x:v>172</x:v>
      </x:c>
      <x:c r="N518" s="3" t="s">
        <x:v>173</x:v>
      </x:c>
      <x:c r="O518" s="3" t="s">
        <x:v>174</x:v>
      </x:c>
      <x:c r="P518" s="3" t="s">
        <x:v>175</x:v>
      </x:c>
      <x:c r="Q518" s="3" t="s">
        <x:v>271</x:v>
      </x:c>
      <x:c r="R518" s="3" t="s">
        <x:v>110</x:v>
      </x:c>
      <x:c r="S518" s="3" t="s">
        <x:v>111</x:v>
      </x:c>
      <x:c r="T518" s="3" t="s">
        <x:v>111</x:v>
      </x:c>
      <x:c r="U518" s="3" t="s">
        <x:v>112</x:v>
      </x:c>
      <x:c r="V518" s="3" t="s">
        <x:v>113</x:v>
      </x:c>
      <x:c r="W518" s="3" t="s">
        <x:v>419</x:v>
      </x:c>
      <x:c r="X518" s="3" t="s">
        <x:v>115</x:v>
      </x:c>
      <x:c r="Y518" s="3" t="s">
        <x:v>420</x:v>
      </x:c>
      <x:c r="Z518" s="3" t="s">
        <x:v>117</x:v>
      </x:c>
      <x:c r="AA518" s="3" t="s">
        <x:v>118</x:v>
      </x:c>
      <x:c r="AB518" s="7" t="n">
        <x:v>46285.5916666667</x:v>
      </x:c>
      <x:c r="AC518" s="7" t="n">
        <x:v>46285.5951388889</x:v>
      </x:c>
      <x:c r="AD518" s="7" t="n">
        <x:v>46285.5986111111</x:v>
      </x:c>
      <x:c r="AE518" s="7" t="n">
        <x:v>46285.6166666667</x:v>
      </x:c>
      <x:c r="AF518" s="7" t="n">
        <x:v>46285.6777777778</x:v>
      </x:c>
      <x:c r="AG518" s="3" t="n">
        <x:v>36</x:v>
      </x:c>
      <x:c r="AH518" s="3" t="n">
        <x:v>79</x:v>
      </x:c>
      <x:c r="AI518" s="3" t="s">
        <x:v>135</x:v>
      </x:c>
      <x:c r="AJ518" s="3" t="s">
        <x:v>135</x:v>
      </x:c>
      <x:c r="AK518" s="3" t="n">
        <x:v>120</x:v>
      </x:c>
      <x:c r="AL518" s="3" t="n">
        <x:v>0</x:v>
      </x:c>
      <x:c r="AM518" s="8" t="n">
        <x:v>0.9583</x:v>
      </x:c>
      <x:c r="AN518" s="3" t="n">
        <x:v>0</x:v>
      </x:c>
      <x:c r="AO518" s="3" t="s">
        <x:v>19</x:v>
      </x:c>
      <x:c r="AP518" s="3" t="s">
        <x:v>369</x:v>
      </x:c>
      <x:c r="AQ518" s="3" t="s">
        <x:v>340</x:v>
      </x:c>
      <x:c r="AR518" s="9" t="n">
        <x:v>1370.8</x:v>
      </x:c>
      <x:c r="AS518" s="3" t="s">
        <x:v>185</x:v>
      </x:c>
      <x:c r="AT518" s="7" t="n">
        <x:v>46301.9166666667</x:v>
      </x:c>
    </x:row>
    <x:row r="519" ht="31.299999237060547" hidden="0">
      <x:c r="A519" s="3" t="s">
        <x:v>1052</x:v>
      </x:c>
      <x:c r="B519" s="3" t="s">
        <x:v>83</x:v>
      </x:c>
      <x:c r="C519" s="3" t="s">
        <x:v>96</x:v>
      </x:c>
      <x:c r="D519" s="3" t="s">
        <x:v>97</x:v>
      </x:c>
      <x:c r="E519" s="3" t="s">
        <x:v>249</x:v>
      </x:c>
      <x:c r="F519" s="3" t="s">
        <x:v>169</x:v>
      </x:c>
      <x:c r="G519" s="3" t="s">
        <x:v>416</x:v>
      </x:c>
      <x:c r="H519" s="3" t="s">
        <x:v>339</x:v>
      </x:c>
      <x:c r="I519" s="3" t="s">
        <x:v>102</x:v>
      </x:c>
      <x:c r="J519" s="3" t="s">
        <x:v>103</x:v>
      </x:c>
      <x:c r="K519" s="3" t="s">
        <x:v>104</x:v>
      </x:c>
      <x:c r="L519" s="3" t="s">
        <x:v>105</x:v>
      </x:c>
      <x:c r="M519" s="3" t="s">
        <x:v>106</x:v>
      </x:c>
      <x:c r="N519" s="3" t="s">
        <x:v>107</x:v>
      </x:c>
      <x:c r="O519" s="3" t="s">
        <x:v>108</x:v>
      </x:c>
      <x:c r="P519" s="3" t="s">
        <x:v>109</x:v>
      </x:c>
      <x:c r="Q519" s="3" t="s">
        <x:v>250</x:v>
      </x:c>
      <x:c r="R519" s="3" t="s">
        <x:v>373</x:v>
      </x:c>
      <x:c r="S519" s="3" t="s">
        <x:v>135</x:v>
      </x:c>
      <x:c r="T519" s="3" t="s">
        <x:v>111</x:v>
      </x:c>
      <x:c r="U519" s="3" t="s">
        <x:v>374</x:v>
      </x:c>
      <x:c r="V519" s="3" t="s">
        <x:v>178</x:v>
      </x:c>
      <x:c r="W519" s="3" t="s">
        <x:v>179</x:v>
      </x:c>
      <x:c r="X519" s="3" t="s">
        <x:v>180</x:v>
      </x:c>
      <x:c r="Y519" s="3" t="s">
        <x:v>414</x:v>
      </x:c>
      <x:c r="Z519" s="3" t="s">
        <x:v>375</x:v>
      </x:c>
      <x:c r="AA519" s="3" t="s">
        <x:v>118</x:v>
      </x:c>
      <x:c r="AB519" s="7" t="n">
        <x:v>46285.7034722222</x:v>
      </x:c>
      <x:c r="AC519" s="7" t="n">
        <x:v>46285.7055555556</x:v>
      </x:c>
      <x:c r="AD519" s="7" t="n">
        <x:v>46285.7076388889</x:v>
      </x:c>
      <x:c r="AE519" s="7" t="n">
        <x:v>46285.7222222222</x:v>
      </x:c>
      <x:c r="AF519" s="7" t="n">
        <x:v>46285.7638888889</x:v>
      </x:c>
      <x:c r="AG519" s="3" t="n">
        <x:v>27</x:v>
      </x:c>
      <x:c r="AH519" s="3" t="n">
        <x:v>53</x:v>
      </x:c>
      <x:c r="AI519" s="3" t="s">
        <x:v>111</x:v>
      </x:c>
      <x:c r="AJ519" s="3" t="s">
        <x:v>111</x:v>
      </x:c>
      <x:c r="AK519" s="3" t="n">
        <x:v>60</x:v>
      </x:c>
      <x:c r="AL519" s="3" t="n">
        <x:v>0</x:v>
      </x:c>
      <x:c r="AM519" s="8" t="n">
        <x:v>1.3333</x:v>
      </x:c>
      <x:c r="AN519" s="3" t="n">
        <x:v>4</x:v>
      </x:c>
      <x:c r="AO519" s="3" t="s">
        <x:v>24</x:v>
      </x:c>
      <x:c r="AP519" s="3" t="s">
        <x:v>1053</x:v>
      </x:c>
      <x:c r="AQ519" s="3" t="s">
        <x:v>907</x:v>
      </x:c>
      <x:c r="AR519" s="9" t="n">
        <x:v>1333.1</x:v>
      </x:c>
      <x:c r="AS519" s="3" t="s">
        <x:v>185</x:v>
      </x:c>
      <x:c r="AT519" s="7" t="n">
        <x:v>46301.9166666667</x:v>
      </x:c>
    </x:row>
    <x:row r="520" ht="31.299999237060547" hidden="0">
      <x:c r="A520" s="3" t="s">
        <x:v>1054</x:v>
      </x:c>
      <x:c r="B520" s="3" t="s">
        <x:v>297</x:v>
      </x:c>
      <x:c r="C520" s="3" t="s">
        <x:v>298</x:v>
      </x:c>
      <x:c r="D520" s="3" t="s">
        <x:v>299</x:v>
      </x:c>
      <x:c r="E520" s="3" t="s">
        <x:v>249</x:v>
      </x:c>
      <x:c r="F520" s="3" t="s">
        <x:v>169</x:v>
      </x:c>
      <x:c r="G520" s="3" t="s">
        <x:v>324</x:v>
      </x:c>
      <x:c r="H520" s="3" t="s">
        <x:v>301</x:v>
      </x:c>
      <x:c r="I520" s="3" t="s">
        <x:v>302</x:v>
      </x:c>
      <x:c r="J520" s="3" t="s">
        <x:v>303</x:v>
      </x:c>
      <x:c r="K520" s="3" t="s">
        <x:v>104</x:v>
      </x:c>
      <x:c r="L520" s="3" t="s">
        <x:v>304</x:v>
      </x:c>
      <x:c r="M520" s="3" t="s">
        <x:v>305</x:v>
      </x:c>
      <x:c r="N520" s="3" t="s">
        <x:v>306</x:v>
      </x:c>
      <x:c r="O520" s="3" t="s">
        <x:v>307</x:v>
      </x:c>
      <x:c r="P520" s="3" t="s">
        <x:v>308</x:v>
      </x:c>
      <x:c r="Q520" s="3" t="s">
        <x:v>309</x:v>
      </x:c>
      <x:c r="R520" s="3" t="s">
        <x:v>330</x:v>
      </x:c>
      <x:c r="S520" s="3" t="s">
        <x:v>135</x:v>
      </x:c>
      <x:c r="T520" s="3" t="s">
        <x:v>111</x:v>
      </x:c>
      <x:c r="U520" s="3" t="s">
        <x:v>331</x:v>
      </x:c>
      <x:c r="V520" s="3" t="s">
        <x:v>178</x:v>
      </x:c>
      <x:c r="W520" s="3" t="s">
        <x:v>355</x:v>
      </x:c>
      <x:c r="X520" s="3" t="s">
        <x:v>180</x:v>
      </x:c>
      <x:c r="Y520" s="3" t="s">
        <x:v>356</x:v>
      </x:c>
      <x:c r="Z520" s="3" t="s">
        <x:v>334</x:v>
      </x:c>
      <x:c r="AA520" s="3" t="s">
        <x:v>118</x:v>
      </x:c>
      <x:c r="AB520" s="7" t="n">
        <x:v>46285.7243055556</x:v>
      </x:c>
      <x:c r="AC520" s="7" t="n">
        <x:v>46285.7270833333</x:v>
      </x:c>
      <x:c r="AD520" s="7" t="n">
        <x:v>46285.7333333333</x:v>
      </x:c>
      <x:c r="AE520" s="7" t="n">
        <x:v>46285.7444444444</x:v>
      </x:c>
      <x:c r="AF520" s="7" t="n">
        <x:v>46285.7930555556</x:v>
      </x:c>
      <x:c r="AG520" s="3" t="n">
        <x:v>29</x:v>
      </x:c>
      <x:c r="AH520" s="3" t="n">
        <x:v>60</x:v>
      </x:c>
      <x:c r="AI520" s="3" t="s">
        <x:v>135</x:v>
      </x:c>
      <x:c r="AJ520" s="3" t="s">
        <x:v>111</x:v>
      </x:c>
      <x:c r="AK520" s="3" t="n">
        <x:v>180</x:v>
      </x:c>
      <x:c r="AL520" s="3" t="n">
        <x:v>0</x:v>
      </x:c>
      <x:c r="AM520" s="8" t="n">
        <x:v>0.4944</x:v>
      </x:c>
      <x:c r="AN520" s="3" t="n">
        <x:v>3</x:v>
      </x:c>
      <x:c r="AO520" s="3" t="s">
        <x:v>14</x:v>
      </x:c>
      <x:c r="AP520" s="3" t="s">
        <x:v>684</x:v>
      </x:c>
      <x:c r="AQ520" s="3" t="s">
        <x:v>981</x:v>
      </x:c>
      <x:c r="AR520" s="9" t="n">
        <x:v>1452.5</x:v>
      </x:c>
      <x:c r="AS520" s="3" t="s">
        <x:v>185</x:v>
      </x:c>
      <x:c r="AT520" s="7" t="n">
        <x:v>46301.9166666667</x:v>
      </x:c>
    </x:row>
    <x:row r="521" ht="31.299999237060547" hidden="0">
      <x:c r="A521" s="3" t="s">
        <x:v>1055</x:v>
      </x:c>
      <x:c r="B521" s="3" t="s">
        <x:v>166</x:v>
      </x:c>
      <x:c r="C521" s="3" t="s">
        <x:v>167</x:v>
      </x:c>
      <x:c r="D521" s="3" t="s">
        <x:v>168</x:v>
      </x:c>
      <x:c r="E521" s="3" t="s">
        <x:v>249</x:v>
      </x:c>
      <x:c r="F521" s="3" t="s">
        <x:v>99</x:v>
      </x:c>
      <x:c r="G521" s="3" t="s">
        <x:v>390</x:v>
      </x:c>
      <x:c r="H521" s="3" t="s">
        <x:v>301</x:v>
      </x:c>
      <x:c r="I521" s="3" t="s">
        <x:v>302</x:v>
      </x:c>
      <x:c r="J521" s="3" t="s">
        <x:v>303</x:v>
      </x:c>
      <x:c r="K521" s="3" t="s">
        <x:v>104</x:v>
      </x:c>
      <x:c r="L521" s="3" t="s">
        <x:v>171</x:v>
      </x:c>
      <x:c r="M521" s="3" t="s">
        <x:v>172</x:v>
      </x:c>
      <x:c r="N521" s="3" t="s">
        <x:v>173</x:v>
      </x:c>
      <x:c r="O521" s="3" t="s">
        <x:v>174</x:v>
      </x:c>
      <x:c r="P521" s="3" t="s">
        <x:v>175</x:v>
      </x:c>
      <x:c r="Q521" s="3" t="s">
        <x:v>271</x:v>
      </x:c>
      <x:c r="R521" s="3" t="s">
        <x:v>391</x:v>
      </x:c>
      <x:c r="S521" s="3" t="s">
        <x:v>135</x:v>
      </x:c>
      <x:c r="T521" s="3" t="s">
        <x:v>135</x:v>
      </x:c>
      <x:c r="U521" s="3" t="s">
        <x:v>392</x:v>
      </x:c>
      <x:c r="V521" s="3" t="s">
        <x:v>312</x:v>
      </x:c>
      <x:c r="W521" s="3" t="s">
        <x:v>351</x:v>
      </x:c>
      <x:c r="X521" s="3" t="s">
        <x:v>314</x:v>
      </x:c>
      <x:c r="Y521" s="3" t="s">
        <x:v>352</x:v>
      </x:c>
      <x:c r="Z521" s="3" t="s">
        <x:v>393</x:v>
      </x:c>
      <x:c r="AA521" s="3" t="s">
        <x:v>394</x:v>
      </x:c>
      <x:c r="AB521" s="7" t="n">
        <x:v>46285.7388888889</x:v>
      </x:c>
      <x:c r="AC521" s="7" t="n">
        <x:v>46285.7416666667</x:v>
      </x:c>
      <x:c r="AD521" s="7" t="n">
        <x:v>46285.74375</x:v>
      </x:c>
      <x:c r="AE521" s="7" t="n">
        <x:v>46285.7694444444</x:v>
      </x:c>
      <x:c r="AF521" s="7" t="n">
        <x:v>46285.8326388889</x:v>
      </x:c>
      <x:c r="AG521" s="3" t="n">
        <x:v>44</x:v>
      </x:c>
      <x:c r="AH521" s="3" t="n">
        <x:v>86</x:v>
      </x:c>
      <x:c r="AI521" s="3" t="s">
        <x:v>135</x:v>
      </x:c>
      <x:c r="AJ521" s="3" t="s">
        <x:v>135</x:v>
      </x:c>
      <x:c r="AK521" s="3" t="n">
        <x:v>180</x:v>
      </x:c>
      <x:c r="AL521" s="3" t="n">
        <x:v>0</x:v>
      </x:c>
      <x:c r="AM521" s="8" t="n">
        <x:v>0.7222</x:v>
      </x:c>
      <x:c r="AN521" s="3" t="n">
        <x:v>2</x:v>
      </x:c>
      <x:c r="AO521" s="3" t="s">
        <x:v>14</x:v>
      </x:c>
      <x:c r="AP521" s="3" t="s">
        <x:v>717</x:v>
      </x:c>
      <x:c r="AQ521" s="3" t="s">
        <x:v>501</x:v>
      </x:c>
      <x:c r="AR521" s="9" t="n">
        <x:v>1457.2</x:v>
      </x:c>
      <x:c r="AS521" s="3" t="s">
        <x:v>121</x:v>
      </x:c>
      <x:c r="AT521" s="7" t="n">
        <x:v>46301.9166666667</x:v>
      </x:c>
    </x:row>
    <x:row r="522" ht="31.299999237060547" hidden="0">
      <x:c r="A522" s="3" t="s">
        <x:v>1056</x:v>
      </x:c>
      <x:c r="B522" s="3" t="s">
        <x:v>166</x:v>
      </x:c>
      <x:c r="C522" s="3" t="s">
        <x:v>167</x:v>
      </x:c>
      <x:c r="D522" s="3" t="s">
        <x:v>168</x:v>
      </x:c>
      <x:c r="E522" s="3" t="s">
        <x:v>249</x:v>
      </x:c>
      <x:c r="F522" s="3" t="s">
        <x:v>169</x:v>
      </x:c>
      <x:c r="G522" s="3" t="s">
        <x:v>522</x:v>
      </x:c>
      <x:c r="H522" s="3" t="s">
        <x:v>343</x:v>
      </x:c>
      <x:c r="I522" s="3" t="s">
        <x:v>102</x:v>
      </x:c>
      <x:c r="J522" s="3" t="s">
        <x:v>103</x:v>
      </x:c>
      <x:c r="K522" s="3" t="s">
        <x:v>104</x:v>
      </x:c>
      <x:c r="L522" s="3" t="s">
        <x:v>171</x:v>
      </x:c>
      <x:c r="M522" s="3" t="s">
        <x:v>172</x:v>
      </x:c>
      <x:c r="N522" s="3" t="s">
        <x:v>173</x:v>
      </x:c>
      <x:c r="O522" s="3" t="s">
        <x:v>174</x:v>
      </x:c>
      <x:c r="P522" s="3" t="s">
        <x:v>175</x:v>
      </x:c>
      <x:c r="Q522" s="3" t="s">
        <x:v>271</x:v>
      </x:c>
      <x:c r="R522" s="3" t="s">
        <x:v>380</x:v>
      </x:c>
      <x:c r="S522" s="3" t="s">
        <x:v>111</x:v>
      </x:c>
      <x:c r="T522" s="3" t="s">
        <x:v>111</x:v>
      </x:c>
      <x:c r="U522" s="3" t="s">
        <x:v>381</x:v>
      </x:c>
      <x:c r="V522" s="3" t="s">
        <x:v>312</x:v>
      </x:c>
      <x:c r="W522" s="3" t="s">
        <x:v>313</x:v>
      </x:c>
      <x:c r="X522" s="3" t="s">
        <x:v>314</x:v>
      </x:c>
      <x:c r="Y522" s="3" t="s">
        <x:v>315</x:v>
      </x:c>
      <x:c r="Z522" s="3" t="s">
        <x:v>384</x:v>
      </x:c>
      <x:c r="AA522" s="3" t="s">
        <x:v>385</x:v>
      </x:c>
      <x:c r="AB522" s="7" t="n">
        <x:v>46285.7770833333</x:v>
      </x:c>
      <x:c r="AC522" s="7" t="n">
        <x:v>46285.7819444445</x:v>
      </x:c>
      <x:c r="AD522" s="7" t="n">
        <x:v>46285.7847222222</x:v>
      </x:c>
      <x:c r="AE522" s="7" t="n">
        <x:v>46285.8</x:v>
      </x:c>
      <x:c r="AF522" s="7" t="n">
        <x:v>46285.8472222222</x:v>
      </x:c>
      <x:c r="AG522" s="3" t="n">
        <x:v>33</x:v>
      </x:c>
      <x:c r="AH522" s="3" t="n">
        <x:v>61</x:v>
      </x:c>
      <x:c r="AI522" s="3" t="s">
        <x:v>135</x:v>
      </x:c>
      <x:c r="AJ522" s="3" t="s">
        <x:v>135</x:v>
      </x:c>
      <x:c r="AK522" s="3" t="n">
        <x:v>120</x:v>
      </x:c>
      <x:c r="AL522" s="3" t="n">
        <x:v>0</x:v>
      </x:c>
      <x:c r="AM522" s="8" t="n">
        <x:v>0.7833</x:v>
      </x:c>
      <x:c r="AN522" s="3" t="n">
        <x:v>3</x:v>
      </x:c>
      <x:c r="AO522" s="3" t="s">
        <x:v>14</x:v>
      </x:c>
      <x:c r="AP522" s="3" t="s">
        <x:v>633</x:v>
      </x:c>
      <x:c r="AQ522" s="3" t="s">
        <x:v>1057</x:v>
      </x:c>
      <x:c r="AR522" s="9" t="n">
        <x:v>1477.7</x:v>
      </x:c>
      <x:c r="AS522" s="3" t="s">
        <x:v>185</x:v>
      </x:c>
      <x:c r="AT522" s="7" t="n">
        <x:v>46301.9166666667</x:v>
      </x:c>
    </x:row>
    <x:row r="523" ht="31.299999237060547" hidden="0">
      <x:c r="A523" s="3" t="s">
        <x:v>1058</x:v>
      </x:c>
      <x:c r="B523" s="3" t="s">
        <x:v>146</x:v>
      </x:c>
      <x:c r="C523" s="3" t="s">
        <x:v>147</x:v>
      </x:c>
      <x:c r="D523" s="3" t="s">
        <x:v>148</x:v>
      </x:c>
      <x:c r="E523" s="3" t="s">
        <x:v>249</x:v>
      </x:c>
      <x:c r="F523" s="3" t="s">
        <x:v>99</x:v>
      </x:c>
      <x:c r="G523" s="3" t="s">
        <x:v>379</x:v>
      </x:c>
      <x:c r="H523" s="3" t="s">
        <x:v>339</x:v>
      </x:c>
      <x:c r="I523" s="3" t="s">
        <x:v>102</x:v>
      </x:c>
      <x:c r="J523" s="3" t="s">
        <x:v>103</x:v>
      </x:c>
      <x:c r="K523" s="3" t="s">
        <x:v>104</x:v>
      </x:c>
      <x:c r="L523" s="3" t="s">
        <x:v>151</x:v>
      </x:c>
      <x:c r="M523" s="3" t="s">
        <x:v>152</x:v>
      </x:c>
      <x:c r="N523" s="3" t="s">
        <x:v>153</x:v>
      </x:c>
      <x:c r="O523" s="3" t="s">
        <x:v>154</x:v>
      </x:c>
      <x:c r="P523" s="3" t="s">
        <x:v>155</x:v>
      </x:c>
      <x:c r="Q523" s="3" t="s">
        <x:v>270</x:v>
      </x:c>
      <x:c r="R523" s="3" t="s">
        <x:v>380</x:v>
      </x:c>
      <x:c r="S523" s="3" t="s">
        <x:v>111</x:v>
      </x:c>
      <x:c r="T523" s="3" t="s">
        <x:v>111</x:v>
      </x:c>
      <x:c r="U523" s="3" t="s">
        <x:v>381</x:v>
      </x:c>
      <x:c r="V523" s="3" t="s">
        <x:v>312</x:v>
      </x:c>
      <x:c r="W523" s="3" t="s">
        <x:v>313</x:v>
      </x:c>
      <x:c r="X523" s="3" t="s">
        <x:v>314</x:v>
      </x:c>
      <x:c r="Y523" s="3" t="s">
        <x:v>315</x:v>
      </x:c>
      <x:c r="Z523" s="3" t="s">
        <x:v>384</x:v>
      </x:c>
      <x:c r="AA523" s="3" t="s">
        <x:v>385</x:v>
      </x:c>
      <x:c r="AB523" s="7" t="n">
        <x:v>46285.7881944444</x:v>
      </x:c>
      <x:c r="AC523" s="7" t="n">
        <x:v>46285.7930555556</x:v>
      </x:c>
      <x:c r="AD523" s="7" t="n">
        <x:v>46285.7951388889</x:v>
      </x:c>
      <x:c r="AE523" s="7" t="n">
        <x:v>46285.8166666667</x:v>
      </x:c>
      <x:c r="AF523" s="7" t="n">
        <x:v>46285.8506944444</x:v>
      </x:c>
      <x:c r="AG523" s="3" t="n">
        <x:v>41</x:v>
      </x:c>
      <x:c r="AH523" s="3" t="n">
        <x:v>39</x:v>
      </x:c>
      <x:c r="AI523" s="3" t="s">
        <x:v>135</x:v>
      </x:c>
      <x:c r="AJ523" s="3" t="s">
        <x:v>135</x:v>
      </x:c>
      <x:c r="AK523" s="3" t="n">
        <x:v>120</x:v>
      </x:c>
      <x:c r="AL523" s="3" t="n">
        <x:v>0</x:v>
      </x:c>
      <x:c r="AM523" s="8" t="n">
        <x:v>0.6667</x:v>
      </x:c>
      <x:c r="AN523" s="3" t="n">
        <x:v>0</x:v>
      </x:c>
      <x:c r="AO523" s="3" t="s">
        <x:v>14</x:v>
      </x:c>
      <x:c r="AP523" s="3" t="s">
        <x:v>347</x:v>
      </x:c>
      <x:c r="AQ523" s="3" t="s">
        <x:v>411</x:v>
      </x:c>
      <x:c r="AR523" s="9" t="n">
        <x:v>725.3</x:v>
      </x:c>
      <x:c r="AS523" s="3" t="s">
        <x:v>185</x:v>
      </x:c>
      <x:c r="AT523" s="7" t="n">
        <x:v>46301.9166666667</x:v>
      </x:c>
    </x:row>
    <x:row r="524" ht="31.299999237060547" hidden="0">
      <x:c r="A524" s="3" t="s">
        <x:v>1059</x:v>
      </x:c>
      <x:c r="B524" s="3" t="s">
        <x:v>187</x:v>
      </x:c>
      <x:c r="C524" s="3" t="s">
        <x:v>188</x:v>
      </x:c>
      <x:c r="D524" s="3" t="s">
        <x:v>189</x:v>
      </x:c>
      <x:c r="E524" s="3" t="s">
        <x:v>249</x:v>
      </x:c>
      <x:c r="F524" s="3" t="s">
        <x:v>99</x:v>
      </x:c>
      <x:c r="G524" s="3" t="s">
        <x:v>364</x:v>
      </x:c>
      <x:c r="H524" s="3" t="s">
        <x:v>339</x:v>
      </x:c>
      <x:c r="I524" s="3" t="s">
        <x:v>102</x:v>
      </x:c>
      <x:c r="J524" s="3" t="s">
        <x:v>103</x:v>
      </x:c>
      <x:c r="K524" s="3" t="s">
        <x:v>104</x:v>
      </x:c>
      <x:c r="L524" s="3" t="s">
        <x:v>191</x:v>
      </x:c>
      <x:c r="M524" s="3" t="s">
        <x:v>192</x:v>
      </x:c>
      <x:c r="N524" s="3" t="s">
        <x:v>193</x:v>
      </x:c>
      <x:c r="O524" s="3" t="s">
        <x:v>194</x:v>
      </x:c>
      <x:c r="P524" s="3" t="s">
        <x:v>195</x:v>
      </x:c>
      <x:c r="Q524" s="3" t="s">
        <x:v>273</x:v>
      </x:c>
      <x:c r="R524" s="3" t="s">
        <x:v>196</x:v>
      </x:c>
      <x:c r="S524" s="3" t="s">
        <x:v>111</x:v>
      </x:c>
      <x:c r="T524" s="3" t="s">
        <x:v>111</x:v>
      </x:c>
      <x:c r="U524" s="3" t="s">
        <x:v>197</x:v>
      </x:c>
      <x:c r="V524" s="3" t="s">
        <x:v>198</x:v>
      </x:c>
      <x:c r="W524" s="3" t="s">
        <x:v>199</x:v>
      </x:c>
      <x:c r="X524" s="3" t="s">
        <x:v>366</x:v>
      </x:c>
      <x:c r="Y524" s="3" t="s">
        <x:v>527</x:v>
      </x:c>
      <x:c r="Z524" s="3" t="s">
        <x:v>201</x:v>
      </x:c>
      <x:c r="AA524" s="3" t="s">
        <x:v>368</x:v>
      </x:c>
      <x:c r="AB524" s="7" t="n">
        <x:v>46286.3458333333</x:v>
      </x:c>
      <x:c r="AC524" s="7" t="n">
        <x:v>46286.35</x:v>
      </x:c>
      <x:c r="AD524" s="7" t="n">
        <x:v>46286.3548611111</x:v>
      </x:c>
      <x:c r="AE524" s="7" t="n">
        <x:v>46286.3659722222</x:v>
      </x:c>
      <x:c r="AF524" s="7" t="n">
        <x:v>46286.4194444444</x:v>
      </x:c>
      <x:c r="AG524" s="3" t="n">
        <x:v>29</x:v>
      </x:c>
      <x:c r="AH524" s="3" t="n">
        <x:v>73</x:v>
      </x:c>
      <x:c r="AI524" s="3" t="s">
        <x:v>135</x:v>
      </x:c>
      <x:c r="AJ524" s="3" t="s">
        <x:v>111</x:v>
      </x:c>
      <x:c r="AK524" s="3" t="n">
        <x:v>120</x:v>
      </x:c>
      <x:c r="AL524" s="3" t="n">
        <x:v>0</x:v>
      </x:c>
      <x:c r="AM524" s="8" t="n">
        <x:v>0.85</x:v>
      </x:c>
      <x:c r="AN524" s="3" t="n">
        <x:v>1</x:v>
      </x:c>
      <x:c r="AO524" s="3" t="s">
        <x:v>19</x:v>
      </x:c>
      <x:c r="AP524" s="3" t="s">
        <x:v>515</x:v>
      </x:c>
      <x:c r="AQ524" s="3" t="s">
        <x:v>689</x:v>
      </x:c>
      <x:c r="AR524" s="9" t="n">
        <x:v>1296.1</x:v>
      </x:c>
      <x:c r="AS524" s="3" t="s">
        <x:v>185</x:v>
      </x:c>
      <x:c r="AT524" s="7" t="n">
        <x:v>46301.9166666667</x:v>
      </x:c>
    </x:row>
    <x:row r="525" ht="31.299999237060547" hidden="0">
      <x:c r="A525" s="3" t="s">
        <x:v>1060</x:v>
      </x:c>
      <x:c r="B525" s="3" t="s">
        <x:v>83</x:v>
      </x:c>
      <x:c r="C525" s="3" t="s">
        <x:v>96</x:v>
      </x:c>
      <x:c r="D525" s="3" t="s">
        <x:v>97</x:v>
      </x:c>
      <x:c r="E525" s="3" t="s">
        <x:v>249</x:v>
      </x:c>
      <x:c r="F525" s="3" t="s">
        <x:v>169</x:v>
      </x:c>
      <x:c r="G525" s="3" t="s">
        <x:v>364</x:v>
      </x:c>
      <x:c r="H525" s="3" t="s">
        <x:v>339</x:v>
      </x:c>
      <x:c r="I525" s="3" t="s">
        <x:v>102</x:v>
      </x:c>
      <x:c r="J525" s="3" t="s">
        <x:v>103</x:v>
      </x:c>
      <x:c r="K525" s="3" t="s">
        <x:v>104</x:v>
      </x:c>
      <x:c r="L525" s="3" t="s">
        <x:v>105</x:v>
      </x:c>
      <x:c r="M525" s="3" t="s">
        <x:v>106</x:v>
      </x:c>
      <x:c r="N525" s="3" t="s">
        <x:v>107</x:v>
      </x:c>
      <x:c r="O525" s="3" t="s">
        <x:v>108</x:v>
      </x:c>
      <x:c r="P525" s="3" t="s">
        <x:v>109</x:v>
      </x:c>
      <x:c r="Q525" s="3" t="s">
        <x:v>250</x:v>
      </x:c>
      <x:c r="R525" s="3" t="s">
        <x:v>196</x:v>
      </x:c>
      <x:c r="S525" s="3" t="s">
        <x:v>111</x:v>
      </x:c>
      <x:c r="T525" s="3" t="s">
        <x:v>111</x:v>
      </x:c>
      <x:c r="U525" s="3" t="s">
        <x:v>197</x:v>
      </x:c>
      <x:c r="V525" s="3" t="s">
        <x:v>198</x:v>
      </x:c>
      <x:c r="W525" s="3" t="s">
        <x:v>199</x:v>
      </x:c>
      <x:c r="X525" s="3" t="s">
        <x:v>366</x:v>
      </x:c>
      <x:c r="Y525" s="3" t="s">
        <x:v>527</x:v>
      </x:c>
      <x:c r="Z525" s="3" t="s">
        <x:v>201</x:v>
      </x:c>
      <x:c r="AA525" s="3" t="s">
        <x:v>368</x:v>
      </x:c>
      <x:c r="AB525" s="7" t="n">
        <x:v>46286.3520833333</x:v>
      </x:c>
      <x:c r="AC525" s="7" t="n">
        <x:v>46286.35625</x:v>
      </x:c>
      <x:c r="AD525" s="7" t="n">
        <x:v>46286.3604166667</x:v>
      </x:c>
      <x:c r="AE525" s="7" t="n">
        <x:v>46286.3819444444</x:v>
      </x:c>
      <x:c r="AF525" s="7" t="n">
        <x:v>46286.4069444445</x:v>
      </x:c>
      <x:c r="AG525" s="3" t="n">
        <x:v>43</x:v>
      </x:c>
      <x:c r="AH525" s="3" t="n">
        <x:v>31</x:v>
      </x:c>
      <x:c r="AI525" s="3" t="s">
        <x:v>111</x:v>
      </x:c>
      <x:c r="AJ525" s="3" t="s">
        <x:v>111</x:v>
      </x:c>
      <x:c r="AK525" s="3" t="n">
        <x:v>60</x:v>
      </x:c>
      <x:c r="AL525" s="3" t="n">
        <x:v>0</x:v>
      </x:c>
      <x:c r="AM525" s="8" t="n">
        <x:v>1.2333</x:v>
      </x:c>
      <x:c r="AN525" s="3" t="n">
        <x:v>1</x:v>
      </x:c>
      <x:c r="AO525" s="3" t="s">
        <x:v>24</x:v>
      </x:c>
      <x:c r="AP525" s="3" t="s">
        <x:v>561</x:v>
      </x:c>
      <x:c r="AQ525" s="3" t="s">
        <x:v>562</x:v>
      </x:c>
      <x:c r="AR525" s="9" t="n">
        <x:v>996.7</x:v>
      </x:c>
      <x:c r="AS525" s="3" t="s">
        <x:v>185</x:v>
      </x:c>
      <x:c r="AT525" s="7" t="n">
        <x:v>46301.9166666667</x:v>
      </x:c>
    </x:row>
    <x:row r="526" ht="31.299999237060547" hidden="0">
      <x:c r="A526" s="3" t="s">
        <x:v>1061</x:v>
      </x:c>
      <x:c r="B526" s="3" t="s">
        <x:v>222</x:v>
      </x:c>
      <x:c r="C526" s="3" t="s">
        <x:v>223</x:v>
      </x:c>
      <x:c r="D526" s="3" t="s">
        <x:v>224</x:v>
      </x:c>
      <x:c r="E526" s="3" t="s">
        <x:v>249</x:v>
      </x:c>
      <x:c r="F526" s="3" t="s">
        <x:v>99</x:v>
      </x:c>
      <x:c r="G526" s="3" t="s">
        <x:v>354</x:v>
      </x:c>
      <x:c r="H526" s="3" t="s">
        <x:v>101</x:v>
      </x:c>
      <x:c r="I526" s="3" t="s">
        <x:v>102</x:v>
      </x:c>
      <x:c r="J526" s="3" t="s">
        <x:v>103</x:v>
      </x:c>
      <x:c r="K526" s="3" t="s">
        <x:v>104</x:v>
      </x:c>
      <x:c r="L526" s="3" t="s">
        <x:v>226</x:v>
      </x:c>
      <x:c r="M526" s="3" t="s">
        <x:v>227</x:v>
      </x:c>
      <x:c r="N526" s="3" t="s">
        <x:v>228</x:v>
      </x:c>
      <x:c r="O526" s="3" t="s">
        <x:v>229</x:v>
      </x:c>
      <x:c r="P526" s="3" t="s">
        <x:v>230</x:v>
      </x:c>
      <x:c r="Q526" s="3" t="s">
        <x:v>274</x:v>
      </x:c>
      <x:c r="R526" s="3" t="s">
        <x:v>176</x:v>
      </x:c>
      <x:c r="S526" s="3" t="s">
        <x:v>135</x:v>
      </x:c>
      <x:c r="T526" s="3" t="s">
        <x:v>135</x:v>
      </x:c>
      <x:c r="U526" s="3" t="s">
        <x:v>177</x:v>
      </x:c>
      <x:c r="V526" s="3" t="s">
        <x:v>178</x:v>
      </x:c>
      <x:c r="W526" s="3" t="s">
        <x:v>179</x:v>
      </x:c>
      <x:c r="X526" s="3" t="s">
        <x:v>180</x:v>
      </x:c>
      <x:c r="Y526" s="3" t="s">
        <x:v>414</x:v>
      </x:c>
      <x:c r="Z526" s="3" t="s">
        <x:v>182</x:v>
      </x:c>
      <x:c r="AA526" s="3" t="s">
        <x:v>118</x:v>
      </x:c>
      <x:c r="AB526" s="7" t="n">
        <x:v>46286.3840277778</x:v>
      </x:c>
      <x:c r="AC526" s="7" t="n">
        <x:v>46286.3854166667</x:v>
      </x:c>
      <x:c r="AD526" s="7" t="n">
        <x:v>46286.3868055556</x:v>
      </x:c>
      <x:c r="AE526" s="7" t="n">
        <x:v>46286.4006944444</x:v>
      </x:c>
      <x:c r="AF526" s="7" t="n">
        <x:v>46286.4451388889</x:v>
      </x:c>
      <x:c r="AG526" s="3" t="n">
        <x:v>24</x:v>
      </x:c>
      <x:c r="AH526" s="3" t="n">
        <x:v>57</x:v>
      </x:c>
      <x:c r="AI526" s="3" t="s">
        <x:v>135</x:v>
      </x:c>
      <x:c r="AJ526" s="3" t="s">
        <x:v>135</x:v>
      </x:c>
      <x:c r="AK526" s="3" t="n">
        <x:v>180</x:v>
      </x:c>
      <x:c r="AL526" s="3" t="n">
        <x:v>0</x:v>
      </x:c>
      <x:c r="AM526" s="8" t="n">
        <x:v>0.45</x:v>
      </x:c>
      <x:c r="AN526" s="3" t="n">
        <x:v>1</x:v>
      </x:c>
      <x:c r="AO526" s="3" t="s">
        <x:v>9</x:v>
      </x:c>
      <x:c r="AP526" s="3" t="s">
        <x:v>500</x:v>
      </x:c>
      <x:c r="AQ526" s="3" t="s">
        <x:v>546</x:v>
      </x:c>
      <x:c r="AR526" s="9" t="n">
        <x:v>778.4</x:v>
      </x:c>
      <x:c r="AS526" s="3" t="s">
        <x:v>144</x:v>
      </x:c>
      <x:c r="AT526" s="7" t="n">
        <x:v>46301.9166666667</x:v>
      </x:c>
    </x:row>
    <x:row r="527" ht="31.299999237060547" hidden="0">
      <x:c r="A527" s="3" t="s">
        <x:v>1062</x:v>
      </x:c>
      <x:c r="B527" s="3" t="s">
        <x:v>205</x:v>
      </x:c>
      <x:c r="C527" s="3" t="s">
        <x:v>206</x:v>
      </x:c>
      <x:c r="D527" s="3" t="s">
        <x:v>207</x:v>
      </x:c>
      <x:c r="E527" s="3" t="s">
        <x:v>249</x:v>
      </x:c>
      <x:c r="F527" s="3" t="s">
        <x:v>149</x:v>
      </x:c>
      <x:c r="G527" s="3" t="s">
        <x:v>522</x:v>
      </x:c>
      <x:c r="H527" s="3" t="s">
        <x:v>343</x:v>
      </x:c>
      <x:c r="I527" s="3" t="s">
        <x:v>102</x:v>
      </x:c>
      <x:c r="J527" s="3" t="s">
        <x:v>103</x:v>
      </x:c>
      <x:c r="K527" s="3" t="s">
        <x:v>104</x:v>
      </x:c>
      <x:c r="L527" s="3" t="s">
        <x:v>209</x:v>
      </x:c>
      <x:c r="M527" s="3" t="s">
        <x:v>210</x:v>
      </x:c>
      <x:c r="N527" s="3" t="s">
        <x:v>211</x:v>
      </x:c>
      <x:c r="O527" s="3" t="s">
        <x:v>212</x:v>
      </x:c>
      <x:c r="P527" s="3" t="s">
        <x:v>213</x:v>
      </x:c>
      <x:c r="Q527" s="3" t="s">
        <x:v>254</x:v>
      </x:c>
      <x:c r="R527" s="3" t="s">
        <x:v>380</x:v>
      </x:c>
      <x:c r="S527" s="3" t="s">
        <x:v>111</x:v>
      </x:c>
      <x:c r="T527" s="3" t="s">
        <x:v>111</x:v>
      </x:c>
      <x:c r="U527" s="3" t="s">
        <x:v>381</x:v>
      </x:c>
      <x:c r="V527" s="3" t="s">
        <x:v>312</x:v>
      </x:c>
      <x:c r="W527" s="3" t="s">
        <x:v>351</x:v>
      </x:c>
      <x:c r="X527" s="3" t="s">
        <x:v>314</x:v>
      </x:c>
      <x:c r="Y527" s="3" t="s">
        <x:v>352</x:v>
      </x:c>
      <x:c r="Z527" s="3" t="s">
        <x:v>384</x:v>
      </x:c>
      <x:c r="AA527" s="3" t="s">
        <x:v>385</x:v>
      </x:c>
      <x:c r="AB527" s="7" t="n">
        <x:v>46286.5097222222</x:v>
      </x:c>
      <x:c r="AC527" s="7" t="n">
        <x:v>46286.5125</x:v>
      </x:c>
      <x:c r="AD527" s="7" t="n">
        <x:v>46286.5138888889</x:v>
      </x:c>
      <x:c r="AE527" s="7" t="n">
        <x:v>46286.53125</x:v>
      </x:c>
      <x:c r="AF527" s="7" t="n">
        <x:v>46286.5527777778</x:v>
      </x:c>
      <x:c r="AG527" s="3" t="n">
        <x:v>31</x:v>
      </x:c>
      <x:c r="AH527" s="3" t="n">
        <x:v>26</x:v>
      </x:c>
      <x:c r="AI527" s="3" t="s">
        <x:v>135</x:v>
      </x:c>
      <x:c r="AJ527" s="3" t="s">
        <x:v>135</x:v>
      </x:c>
      <x:c r="AK527" s="3" t="n">
        <x:v>120</x:v>
      </x:c>
      <x:c r="AL527" s="3" t="n">
        <x:v>0</x:v>
      </x:c>
      <x:c r="AM527" s="8" t="n">
        <x:v>0.475</x:v>
      </x:c>
      <x:c r="AN527" s="3" t="n">
        <x:v>3</x:v>
      </x:c>
      <x:c r="AO527" s="3" t="s">
        <x:v>14</x:v>
      </x:c>
      <x:c r="AP527" s="3" t="s">
        <x:v>183</x:v>
      </x:c>
      <x:c r="AQ527" s="3" t="s">
        <x:v>1063</x:v>
      </x:c>
      <x:c r="AR527" s="9" t="n">
        <x:v>836.7</x:v>
      </x:c>
      <x:c r="AS527" s="3" t="s">
        <x:v>185</x:v>
      </x:c>
      <x:c r="AT527" s="7" t="n">
        <x:v>46301.9166666667</x:v>
      </x:c>
    </x:row>
    <x:row r="528" ht="31.299999237060547" hidden="0">
      <x:c r="A528" s="3" t="s">
        <x:v>1064</x:v>
      </x:c>
      <x:c r="B528" s="3" t="s">
        <x:v>222</x:v>
      </x:c>
      <x:c r="C528" s="3" t="s">
        <x:v>223</x:v>
      </x:c>
      <x:c r="D528" s="3" t="s">
        <x:v>224</x:v>
      </x:c>
      <x:c r="E528" s="3" t="s">
        <x:v>249</x:v>
      </x:c>
      <x:c r="F528" s="3" t="s">
        <x:v>149</x:v>
      </x:c>
      <x:c r="G528" s="3" t="s">
        <x:v>354</x:v>
      </x:c>
      <x:c r="H528" s="3" t="s">
        <x:v>101</x:v>
      </x:c>
      <x:c r="I528" s="3" t="s">
        <x:v>102</x:v>
      </x:c>
      <x:c r="J528" s="3" t="s">
        <x:v>103</x:v>
      </x:c>
      <x:c r="K528" s="3" t="s">
        <x:v>104</x:v>
      </x:c>
      <x:c r="L528" s="3" t="s">
        <x:v>226</x:v>
      </x:c>
      <x:c r="M528" s="3" t="s">
        <x:v>227</x:v>
      </x:c>
      <x:c r="N528" s="3" t="s">
        <x:v>228</x:v>
      </x:c>
      <x:c r="O528" s="3" t="s">
        <x:v>229</x:v>
      </x:c>
      <x:c r="P528" s="3" t="s">
        <x:v>230</x:v>
      </x:c>
      <x:c r="Q528" s="3" t="s">
        <x:v>274</x:v>
      </x:c>
      <x:c r="R528" s="3" t="s">
        <x:v>176</x:v>
      </x:c>
      <x:c r="S528" s="3" t="s">
        <x:v>135</x:v>
      </x:c>
      <x:c r="T528" s="3" t="s">
        <x:v>135</x:v>
      </x:c>
      <x:c r="U528" s="3" t="s">
        <x:v>177</x:v>
      </x:c>
      <x:c r="V528" s="3" t="s">
        <x:v>178</x:v>
      </x:c>
      <x:c r="W528" s="3" t="s">
        <x:v>179</x:v>
      </x:c>
      <x:c r="X528" s="3" t="s">
        <x:v>180</x:v>
      </x:c>
      <x:c r="Y528" s="3" t="s">
        <x:v>414</x:v>
      </x:c>
      <x:c r="Z528" s="3" t="s">
        <x:v>182</x:v>
      </x:c>
      <x:c r="AA528" s="3" t="s">
        <x:v>118</x:v>
      </x:c>
      <x:c r="AB528" s="7" t="n">
        <x:v>46286.60625</x:v>
      </x:c>
      <x:c r="AC528" s="7" t="n">
        <x:v>46286.6090277778</x:v>
      </x:c>
      <x:c r="AD528" s="7" t="n">
        <x:v>46286.6152777778</x:v>
      </x:c>
      <x:c r="AE528" s="7" t="n">
        <x:v>46286.6361111111</x:v>
      </x:c>
      <x:c r="AF528" s="7" t="n">
        <x:v>46286.6569444445</x:v>
      </x:c>
      <x:c r="AG528" s="3" t="n">
        <x:v>43</x:v>
      </x:c>
      <x:c r="AH528" s="3" t="n">
        <x:v>23</x:v>
      </x:c>
      <x:c r="AI528" s="3" t="s">
        <x:v>135</x:v>
      </x:c>
      <x:c r="AJ528" s="3" t="s">
        <x:v>135</x:v>
      </x:c>
      <x:c r="AK528" s="3" t="n">
        <x:v>180</x:v>
      </x:c>
      <x:c r="AL528" s="3" t="n">
        <x:v>0</x:v>
      </x:c>
      <x:c r="AM528" s="8" t="n">
        <x:v>0.3667</x:v>
      </x:c>
      <x:c r="AN528" s="3" t="n">
        <x:v>2</x:v>
      </x:c>
      <x:c r="AO528" s="3" t="s">
        <x:v>14</x:v>
      </x:c>
      <x:c r="AP528" s="3" t="s">
        <x:v>573</x:v>
      </x:c>
      <x:c r="AQ528" s="3" t="s">
        <x:v>546</x:v>
      </x:c>
      <x:c r="AR528" s="9" t="n">
        <x:v>619.1</x:v>
      </x:c>
      <x:c r="AS528" s="3" t="s">
        <x:v>121</x:v>
      </x:c>
      <x:c r="AT528" s="7" t="n">
        <x:v>46301.9166666667</x:v>
      </x:c>
    </x:row>
    <x:row r="529" ht="31.299999237060547" hidden="0">
      <x:c r="A529" s="3" t="s">
        <x:v>1065</x:v>
      </x:c>
      <x:c r="B529" s="3" t="s">
        <x:v>83</x:v>
      </x:c>
      <x:c r="C529" s="3" t="s">
        <x:v>96</x:v>
      </x:c>
      <x:c r="D529" s="3" t="s">
        <x:v>97</x:v>
      </x:c>
      <x:c r="E529" s="3" t="s">
        <x:v>249</x:v>
      </x:c>
      <x:c r="F529" s="3" t="s">
        <x:v>169</x:v>
      </x:c>
      <x:c r="G529" s="3" t="s">
        <x:v>486</x:v>
      </x:c>
      <x:c r="H529" s="3" t="s">
        <x:v>101</x:v>
      </x:c>
      <x:c r="I529" s="3" t="s">
        <x:v>102</x:v>
      </x:c>
      <x:c r="J529" s="3" t="s">
        <x:v>103</x:v>
      </x:c>
      <x:c r="K529" s="3" t="s">
        <x:v>104</x:v>
      </x:c>
      <x:c r="L529" s="3" t="s">
        <x:v>105</x:v>
      </x:c>
      <x:c r="M529" s="3" t="s">
        <x:v>106</x:v>
      </x:c>
      <x:c r="N529" s="3" t="s">
        <x:v>107</x:v>
      </x:c>
      <x:c r="O529" s="3" t="s">
        <x:v>108</x:v>
      </x:c>
      <x:c r="P529" s="3" t="s">
        <x:v>109</x:v>
      </x:c>
      <x:c r="Q529" s="3" t="s">
        <x:v>250</x:v>
      </x:c>
      <x:c r="R529" s="3" t="s">
        <x:v>176</x:v>
      </x:c>
      <x:c r="S529" s="3" t="s">
        <x:v>135</x:v>
      </x:c>
      <x:c r="T529" s="3" t="s">
        <x:v>135</x:v>
      </x:c>
      <x:c r="U529" s="3" t="s">
        <x:v>177</x:v>
      </x:c>
      <x:c r="V529" s="3" t="s">
        <x:v>178</x:v>
      </x:c>
      <x:c r="W529" s="3" t="s">
        <x:v>355</x:v>
      </x:c>
      <x:c r="X529" s="3" t="s">
        <x:v>180</x:v>
      </x:c>
      <x:c r="Y529" s="3" t="s">
        <x:v>356</x:v>
      </x:c>
      <x:c r="Z529" s="3" t="s">
        <x:v>182</x:v>
      </x:c>
      <x:c r="AA529" s="3" t="s">
        <x:v>118</x:v>
      </x:c>
      <x:c r="AB529" s="7" t="n">
        <x:v>46286.6215277778</x:v>
      </x:c>
      <x:c r="AC529" s="7" t="n">
        <x:v>46286.6256944445</x:v>
      </x:c>
      <x:c r="AD529" s="7" t="n">
        <x:v>46286.6277777778</x:v>
      </x:c>
      <x:c r="AE529" s="7" t="n">
        <x:v>46286.6527777778</x:v>
      </x:c>
      <x:c r="AF529" s="7" t="n">
        <x:v>46286.6826388889</x:v>
      </x:c>
      <x:c r="AG529" s="3" t="n">
        <x:v>45</x:v>
      </x:c>
      <x:c r="AH529" s="3" t="n">
        <x:v>38</x:v>
      </x:c>
      <x:c r="AI529" s="3" t="s">
        <x:v>111</x:v>
      </x:c>
      <x:c r="AJ529" s="3" t="s">
        <x:v>111</x:v>
      </x:c>
      <x:c r="AK529" s="3" t="n">
        <x:v>60</x:v>
      </x:c>
      <x:c r="AL529" s="3" t="n">
        <x:v>0</x:v>
      </x:c>
      <x:c r="AM529" s="8" t="n">
        <x:v>1.3833</x:v>
      </x:c>
      <x:c r="AN529" s="3" t="n">
        <x:v>2</x:v>
      </x:c>
      <x:c r="AO529" s="3" t="s">
        <x:v>24</x:v>
      </x:c>
      <x:c r="AP529" s="3" t="s">
        <x:v>729</x:v>
      </x:c>
      <x:c r="AQ529" s="3" t="s">
        <x:v>562</x:v>
      </x:c>
      <x:c r="AR529" s="9" t="n">
        <x:v>1056.1</x:v>
      </x:c>
      <x:c r="AS529" s="3" t="s">
        <x:v>185</x:v>
      </x:c>
      <x:c r="AT529" s="7" t="n">
        <x:v>46301.9166666667</x:v>
      </x:c>
    </x:row>
    <x:row r="530" ht="31.299999237060547" hidden="0">
      <x:c r="A530" s="3" t="s">
        <x:v>1066</x:v>
      </x:c>
      <x:c r="B530" s="3" t="s">
        <x:v>166</x:v>
      </x:c>
      <x:c r="C530" s="3" t="s">
        <x:v>167</x:v>
      </x:c>
      <x:c r="D530" s="3" t="s">
        <x:v>168</x:v>
      </x:c>
      <x:c r="E530" s="3" t="s">
        <x:v>249</x:v>
      </x:c>
      <x:c r="F530" s="3" t="s">
        <x:v>99</x:v>
      </x:c>
      <x:c r="G530" s="3" t="s">
        <x:v>447</x:v>
      </x:c>
      <x:c r="H530" s="3" t="s">
        <x:v>343</x:v>
      </x:c>
      <x:c r="I530" s="3" t="s">
        <x:v>102</x:v>
      </x:c>
      <x:c r="J530" s="3" t="s">
        <x:v>103</x:v>
      </x:c>
      <x:c r="K530" s="3" t="s">
        <x:v>104</x:v>
      </x:c>
      <x:c r="L530" s="3" t="s">
        <x:v>171</x:v>
      </x:c>
      <x:c r="M530" s="3" t="s">
        <x:v>172</x:v>
      </x:c>
      <x:c r="N530" s="3" t="s">
        <x:v>173</x:v>
      </x:c>
      <x:c r="O530" s="3" t="s">
        <x:v>174</x:v>
      </x:c>
      <x:c r="P530" s="3" t="s">
        <x:v>175</x:v>
      </x:c>
      <x:c r="Q530" s="3" t="s">
        <x:v>271</x:v>
      </x:c>
      <x:c r="R530" s="3" t="s">
        <x:v>344</x:v>
      </x:c>
      <x:c r="S530" s="3" t="s">
        <x:v>111</x:v>
      </x:c>
      <x:c r="T530" s="3" t="s">
        <x:v>111</x:v>
      </x:c>
      <x:c r="U530" s="3" t="s">
        <x:v>345</x:v>
      </x:c>
      <x:c r="V530" s="3" t="s">
        <x:v>178</x:v>
      </x:c>
      <x:c r="W530" s="3" t="s">
        <x:v>355</x:v>
      </x:c>
      <x:c r="X530" s="3" t="s">
        <x:v>180</x:v>
      </x:c>
      <x:c r="Y530" s="3" t="s">
        <x:v>356</x:v>
      </x:c>
      <x:c r="Z530" s="3" t="s">
        <x:v>346</x:v>
      </x:c>
      <x:c r="AA530" s="3" t="s">
        <x:v>118</x:v>
      </x:c>
      <x:c r="AB530" s="7" t="n">
        <x:v>46286.6472222222</x:v>
      </x:c>
      <x:c r="AC530" s="7" t="n">
        <x:v>46286.6486111111</x:v>
      </x:c>
      <x:c r="AD530" s="7" t="n">
        <x:v>46286.6548611111</x:v>
      </x:c>
      <x:c r="AE530" s="7" t="n">
        <x:v>46286.6666666667</x:v>
      </x:c>
      <x:c r="AF530" s="7" t="n">
        <x:v>46286.7256944444</x:v>
      </x:c>
      <x:c r="AG530" s="3" t="n">
        <x:v>28</x:v>
      </x:c>
      <x:c r="AH530" s="3" t="n">
        <x:v>79</x:v>
      </x:c>
      <x:c r="AI530" s="3" t="s">
        <x:v>135</x:v>
      </x:c>
      <x:c r="AJ530" s="3" t="s">
        <x:v>135</x:v>
      </x:c>
      <x:c r="AK530" s="3" t="n">
        <x:v>120</x:v>
      </x:c>
      <x:c r="AL530" s="3" t="n">
        <x:v>0</x:v>
      </x:c>
      <x:c r="AM530" s="8" t="n">
        <x:v>0.8917</x:v>
      </x:c>
      <x:c r="AN530" s="3" t="n">
        <x:v>3</x:v>
      </x:c>
      <x:c r="AO530" s="3" t="s">
        <x:v>19</x:v>
      </x:c>
      <x:c r="AP530" s="3" t="s">
        <x:v>1067</x:v>
      </x:c>
      <x:c r="AQ530" s="3" t="s">
        <x:v>1068</x:v>
      </x:c>
      <x:c r="AR530" s="9" t="n">
        <x:v>1584.8</x:v>
      </x:c>
      <x:c r="AS530" s="3" t="s">
        <x:v>185</x:v>
      </x:c>
      <x:c r="AT530" s="7" t="n">
        <x:v>46301.9166666667</x:v>
      </x:c>
    </x:row>
    <x:row r="531" ht="31.299999237060547" hidden="0">
      <x:c r="A531" s="3" t="s">
        <x:v>1069</x:v>
      </x:c>
      <x:c r="B531" s="3" t="s">
        <x:v>83</x:v>
      </x:c>
      <x:c r="C531" s="3" t="s">
        <x:v>96</x:v>
      </x:c>
      <x:c r="D531" s="3" t="s">
        <x:v>97</x:v>
      </x:c>
      <x:c r="E531" s="3" t="s">
        <x:v>249</x:v>
      </x:c>
      <x:c r="F531" s="3" t="s">
        <x:v>149</x:v>
      </x:c>
      <x:c r="G531" s="3" t="s">
        <x:v>535</x:v>
      </x:c>
      <x:c r="H531" s="3" t="s">
        <x:v>101</x:v>
      </x:c>
      <x:c r="I531" s="3" t="s">
        <x:v>102</x:v>
      </x:c>
      <x:c r="J531" s="3" t="s">
        <x:v>103</x:v>
      </x:c>
      <x:c r="K531" s="3" t="s">
        <x:v>104</x:v>
      </x:c>
      <x:c r="L531" s="3" t="s">
        <x:v>105</x:v>
      </x:c>
      <x:c r="M531" s="3" t="s">
        <x:v>106</x:v>
      </x:c>
      <x:c r="N531" s="3" t="s">
        <x:v>107</x:v>
      </x:c>
      <x:c r="O531" s="3" t="s">
        <x:v>108</x:v>
      </x:c>
      <x:c r="P531" s="3" t="s">
        <x:v>109</x:v>
      </x:c>
      <x:c r="Q531" s="3" t="s">
        <x:v>250</x:v>
      </x:c>
      <x:c r="R531" s="3" t="s">
        <x:v>176</x:v>
      </x:c>
      <x:c r="S531" s="3" t="s">
        <x:v>135</x:v>
      </x:c>
      <x:c r="T531" s="3" t="s">
        <x:v>135</x:v>
      </x:c>
      <x:c r="U531" s="3" t="s">
        <x:v>177</x:v>
      </x:c>
      <x:c r="V531" s="3" t="s">
        <x:v>178</x:v>
      </x:c>
      <x:c r="W531" s="3" t="s">
        <x:v>355</x:v>
      </x:c>
      <x:c r="X531" s="3" t="s">
        <x:v>180</x:v>
      </x:c>
      <x:c r="Y531" s="3" t="s">
        <x:v>356</x:v>
      </x:c>
      <x:c r="Z531" s="3" t="s">
        <x:v>182</x:v>
      </x:c>
      <x:c r="AA531" s="3" t="s">
        <x:v>118</x:v>
      </x:c>
      <x:c r="AB531" s="7" t="n">
        <x:v>46286.6694444444</x:v>
      </x:c>
      <x:c r="AC531" s="7" t="n">
        <x:v>46286.6722222222</x:v>
      </x:c>
      <x:c r="AD531" s="7" t="n">
        <x:v>46286.6784722222</x:v>
      </x:c>
      <x:c r="AE531" s="7" t="n">
        <x:v>46286.7069444444</x:v>
      </x:c>
      <x:c r="AF531" s="7" t="n">
        <x:v>46286.7229166667</x:v>
      </x:c>
      <x:c r="AG531" s="3" t="n">
        <x:v>54</x:v>
      </x:c>
      <x:c r="AH531" s="3" t="n">
        <x:v>18</x:v>
      </x:c>
      <x:c r="AI531" s="3" t="s">
        <x:v>111</x:v>
      </x:c>
      <x:c r="AJ531" s="3" t="s">
        <x:v>111</x:v>
      </x:c>
      <x:c r="AK531" s="3" t="n">
        <x:v>60</x:v>
      </x:c>
      <x:c r="AL531" s="3" t="n">
        <x:v>0</x:v>
      </x:c>
      <x:c r="AM531" s="8" t="n">
        <x:v>1.2</x:v>
      </x:c>
      <x:c r="AN531" s="3" t="n">
        <x:v>0</x:v>
      </x:c>
      <x:c r="AO531" s="3" t="s">
        <x:v>24</x:v>
      </x:c>
      <x:c r="AP531" s="3" t="s">
        <x:v>421</x:v>
      </x:c>
      <x:c r="AQ531" s="3" t="s">
        <x:v>422</x:v>
      </x:c>
      <x:c r="AR531" s="9" t="n">
        <x:v>952.6</x:v>
      </x:c>
      <x:c r="AS531" s="3" t="s">
        <x:v>185</x:v>
      </x:c>
      <x:c r="AT531" s="7" t="n">
        <x:v>46301.9166666667</x:v>
      </x:c>
    </x:row>
    <x:row r="532" ht="31.299999237060547" hidden="0">
      <x:c r="A532" s="3" t="s">
        <x:v>1070</x:v>
      </x:c>
      <x:c r="B532" s="3" t="s">
        <x:v>297</x:v>
      </x:c>
      <x:c r="C532" s="3" t="s">
        <x:v>298</x:v>
      </x:c>
      <x:c r="D532" s="3" t="s">
        <x:v>299</x:v>
      </x:c>
      <x:c r="E532" s="3" t="s">
        <x:v>249</x:v>
      </x:c>
      <x:c r="F532" s="3" t="s">
        <x:v>149</x:v>
      </x:c>
      <x:c r="G532" s="3" t="s">
        <x:v>390</x:v>
      </x:c>
      <x:c r="H532" s="3" t="s">
        <x:v>301</x:v>
      </x:c>
      <x:c r="I532" s="3" t="s">
        <x:v>302</x:v>
      </x:c>
      <x:c r="J532" s="3" t="s">
        <x:v>303</x:v>
      </x:c>
      <x:c r="K532" s="3" t="s">
        <x:v>104</x:v>
      </x:c>
      <x:c r="L532" s="3" t="s">
        <x:v>304</x:v>
      </x:c>
      <x:c r="M532" s="3" t="s">
        <x:v>305</x:v>
      </x:c>
      <x:c r="N532" s="3" t="s">
        <x:v>306</x:v>
      </x:c>
      <x:c r="O532" s="3" t="s">
        <x:v>307</x:v>
      </x:c>
      <x:c r="P532" s="3" t="s">
        <x:v>308</x:v>
      </x:c>
      <x:c r="Q532" s="3" t="s">
        <x:v>309</x:v>
      </x:c>
      <x:c r="R532" s="3" t="s">
        <x:v>391</x:v>
      </x:c>
      <x:c r="S532" s="3" t="s">
        <x:v>135</x:v>
      </x:c>
      <x:c r="T532" s="3" t="s">
        <x:v>135</x:v>
      </x:c>
      <x:c r="U532" s="3" t="s">
        <x:v>392</x:v>
      </x:c>
      <x:c r="V532" s="3" t="s">
        <x:v>312</x:v>
      </x:c>
      <x:c r="W532" s="3" t="s">
        <x:v>382</x:v>
      </x:c>
      <x:c r="X532" s="3" t="s">
        <x:v>314</x:v>
      </x:c>
      <x:c r="Y532" s="3" t="s">
        <x:v>383</x:v>
      </x:c>
      <x:c r="Z532" s="3" t="s">
        <x:v>393</x:v>
      </x:c>
      <x:c r="AA532" s="3" t="s">
        <x:v>394</x:v>
      </x:c>
      <x:c r="AB532" s="7" t="n">
        <x:v>46286.7472222222</x:v>
      </x:c>
      <x:c r="AC532" s="7" t="n">
        <x:v>46286.7486111111</x:v>
      </x:c>
      <x:c r="AD532" s="7" t="n">
        <x:v>46286.7534722222</x:v>
      </x:c>
      <x:c r="AE532" s="7" t="n">
        <x:v>46286.7798611111</x:v>
      </x:c>
      <x:c r="AF532" s="7" t="n">
        <x:v>46286.8243055556</x:v>
      </x:c>
      <x:c r="AG532" s="3" t="n">
        <x:v>47</x:v>
      </x:c>
      <x:c r="AH532" s="3" t="n">
        <x:v>56</x:v>
      </x:c>
      <x:c r="AI532" s="3" t="s">
        <x:v>135</x:v>
      </x:c>
      <x:c r="AJ532" s="3" t="s">
        <x:v>111</x:v>
      </x:c>
      <x:c r="AK532" s="3" t="n">
        <x:v>180</x:v>
      </x:c>
      <x:c r="AL532" s="3" t="n">
        <x:v>0</x:v>
      </x:c>
      <x:c r="AM532" s="8" t="n">
        <x:v>0.5722</x:v>
      </x:c>
      <x:c r="AN532" s="3" t="n">
        <x:v>2</x:v>
      </x:c>
      <x:c r="AO532" s="3" t="s">
        <x:v>14</x:v>
      </x:c>
      <x:c r="AP532" s="3" t="s">
        <x:v>636</x:v>
      </x:c>
      <x:c r="AQ532" s="3" t="s">
        <x:v>603</x:v>
      </x:c>
      <x:c r="AR532" s="9" t="n">
        <x:v>1254.7</x:v>
      </x:c>
      <x:c r="AS532" s="3" t="s">
        <x:v>121</x:v>
      </x:c>
      <x:c r="AT532" s="7" t="n">
        <x:v>46301.9166666667</x:v>
      </x:c>
    </x:row>
    <x:row r="533" ht="31.299999237060547" hidden="0">
      <x:c r="A533" s="3" t="s">
        <x:v>1071</x:v>
      </x:c>
      <x:c r="B533" s="3" t="s">
        <x:v>321</x:v>
      </x:c>
      <x:c r="C533" s="3" t="s">
        <x:v>322</x:v>
      </x:c>
      <x:c r="D533" s="3" t="s">
        <x:v>323</x:v>
      </x:c>
      <x:c r="E533" s="3" t="s">
        <x:v>249</x:v>
      </x:c>
      <x:c r="F533" s="3" t="s">
        <x:v>99</x:v>
      </x:c>
      <x:c r="G533" s="3" t="s">
        <x:v>324</x:v>
      </x:c>
      <x:c r="H533" s="3" t="s">
        <x:v>301</x:v>
      </x:c>
      <x:c r="I533" s="3" t="s">
        <x:v>302</x:v>
      </x:c>
      <x:c r="J533" s="3" t="s">
        <x:v>303</x:v>
      </x:c>
      <x:c r="K533" s="3" t="s">
        <x:v>104</x:v>
      </x:c>
      <x:c r="L533" s="3" t="s">
        <x:v>325</x:v>
      </x:c>
      <x:c r="M533" s="3" t="s">
        <x:v>326</x:v>
      </x:c>
      <x:c r="N533" s="3" t="s">
        <x:v>131</x:v>
      </x:c>
      <x:c r="O533" s="3" t="s">
        <x:v>327</x:v>
      </x:c>
      <x:c r="P533" s="3" t="s">
        <x:v>328</x:v>
      </x:c>
      <x:c r="Q533" s="3" t="s">
        <x:v>329</x:v>
      </x:c>
      <x:c r="R533" s="3" t="s">
        <x:v>330</x:v>
      </x:c>
      <x:c r="S533" s="3" t="s">
        <x:v>135</x:v>
      </x:c>
      <x:c r="T533" s="3" t="s">
        <x:v>111</x:v>
      </x:c>
      <x:c r="U533" s="3" t="s">
        <x:v>331</x:v>
      </x:c>
      <x:c r="V533" s="3" t="s">
        <x:v>178</x:v>
      </x:c>
      <x:c r="W533" s="3" t="s">
        <x:v>332</x:v>
      </x:c>
      <x:c r="X533" s="3" t="s">
        <x:v>180</x:v>
      </x:c>
      <x:c r="Y533" s="3" t="s">
        <x:v>333</x:v>
      </x:c>
      <x:c r="Z533" s="3" t="s">
        <x:v>334</x:v>
      </x:c>
      <x:c r="AA533" s="3" t="s">
        <x:v>118</x:v>
      </x:c>
      <x:c r="AB533" s="7" t="n">
        <x:v>46286.7652777778</x:v>
      </x:c>
      <x:c r="AC533" s="7" t="n">
        <x:v>46286.7673611111</x:v>
      </x:c>
      <x:c r="AD533" s="7" t="n">
        <x:v>46286.7729166667</x:v>
      </x:c>
      <x:c r="AE533" s="7" t="n">
        <x:v>46286.8020833333</x:v>
      </x:c>
      <x:c r="AF533" s="7" t="n">
        <x:v>46286.8493055556</x:v>
      </x:c>
      <x:c r="AG533" s="3" t="n">
        <x:v>53</x:v>
      </x:c>
      <x:c r="AH533" s="3" t="n">
        <x:v>61</x:v>
      </x:c>
      <x:c r="AI533" s="3" t="s">
        <x:v>135</x:v>
      </x:c>
      <x:c r="AJ533" s="3" t="s">
        <x:v>111</x:v>
      </x:c>
      <x:c r="AK533" s="3" t="n">
        <x:v>180</x:v>
      </x:c>
      <x:c r="AL533" s="3" t="n">
        <x:v>0</x:v>
      </x:c>
      <x:c r="AM533" s="8" t="n">
        <x:v>0.6333</x:v>
      </x:c>
      <x:c r="AN533" s="3" t="n">
        <x:v>5</x:v>
      </x:c>
      <x:c r="AO533" s="3" t="s">
        <x:v>14</x:v>
      </x:c>
      <x:c r="AP533" s="3" t="s">
        <x:v>895</x:v>
      </x:c>
      <x:c r="AQ533" s="3" t="s">
        <x:v>685</x:v>
      </x:c>
      <x:c r="AR533" s="9" t="n">
        <x:v>1187.7</x:v>
      </x:c>
      <x:c r="AS533" s="3" t="s">
        <x:v>185</x:v>
      </x:c>
      <x:c r="AT533" s="7" t="n">
        <x:v>46301.9166666667</x:v>
      </x:c>
    </x:row>
    <x:row r="534" ht="31.299999237060547" hidden="0">
      <x:c r="A534" s="3" t="s">
        <x:v>1072</x:v>
      </x:c>
      <x:c r="B534" s="3" t="s">
        <x:v>146</x:v>
      </x:c>
      <x:c r="C534" s="3" t="s">
        <x:v>147</x:v>
      </x:c>
      <x:c r="D534" s="3" t="s">
        <x:v>148</x:v>
      </x:c>
      <x:c r="E534" s="3" t="s">
        <x:v>249</x:v>
      </x:c>
      <x:c r="F534" s="3" t="s">
        <x:v>149</x:v>
      </x:c>
      <x:c r="G534" s="3" t="s">
        <x:v>504</x:v>
      </x:c>
      <x:c r="H534" s="3" t="s">
        <x:v>343</x:v>
      </x:c>
      <x:c r="I534" s="3" t="s">
        <x:v>102</x:v>
      </x:c>
      <x:c r="J534" s="3" t="s">
        <x:v>103</x:v>
      </x:c>
      <x:c r="K534" s="3" t="s">
        <x:v>104</x:v>
      </x:c>
      <x:c r="L534" s="3" t="s">
        <x:v>151</x:v>
      </x:c>
      <x:c r="M534" s="3" t="s">
        <x:v>152</x:v>
      </x:c>
      <x:c r="N534" s="3" t="s">
        <x:v>153</x:v>
      </x:c>
      <x:c r="O534" s="3" t="s">
        <x:v>154</x:v>
      </x:c>
      <x:c r="P534" s="3" t="s">
        <x:v>155</x:v>
      </x:c>
      <x:c r="Q534" s="3" t="s">
        <x:v>270</x:v>
      </x:c>
      <x:c r="R534" s="3" t="s">
        <x:v>344</x:v>
      </x:c>
      <x:c r="S534" s="3" t="s">
        <x:v>111</x:v>
      </x:c>
      <x:c r="T534" s="3" t="s">
        <x:v>111</x:v>
      </x:c>
      <x:c r="U534" s="3" t="s">
        <x:v>345</x:v>
      </x:c>
      <x:c r="V534" s="3" t="s">
        <x:v>178</x:v>
      </x:c>
      <x:c r="W534" s="3" t="s">
        <x:v>355</x:v>
      </x:c>
      <x:c r="X534" s="3" t="s">
        <x:v>180</x:v>
      </x:c>
      <x:c r="Y534" s="3" t="s">
        <x:v>356</x:v>
      </x:c>
      <x:c r="Z534" s="3" t="s">
        <x:v>346</x:v>
      </x:c>
      <x:c r="AA534" s="3" t="s">
        <x:v>118</x:v>
      </x:c>
      <x:c r="AB534" s="7" t="n">
        <x:v>46286.8215277778</x:v>
      </x:c>
      <x:c r="AC534" s="7" t="n">
        <x:v>46286.8236111111</x:v>
      </x:c>
      <x:c r="AD534" s="7" t="n">
        <x:v>46286.8263888889</x:v>
      </x:c>
      <x:c r="AE534" s="7" t="n">
        <x:v>46286.8534722222</x:v>
      </x:c>
      <x:c r="AF534" s="7" t="n">
        <x:v>46286.88125</x:v>
      </x:c>
      <x:c r="AG534" s="3" t="n">
        <x:v>46</x:v>
      </x:c>
      <x:c r="AH534" s="3" t="n">
        <x:v>31</x:v>
      </x:c>
      <x:c r="AI534" s="3" t="s">
        <x:v>135</x:v>
      </x:c>
      <x:c r="AJ534" s="3" t="s">
        <x:v>135</x:v>
      </x:c>
      <x:c r="AK534" s="3" t="n">
        <x:v>120</x:v>
      </x:c>
      <x:c r="AL534" s="3" t="n">
        <x:v>0</x:v>
      </x:c>
      <x:c r="AM534" s="8" t="n">
        <x:v>0.6417</x:v>
      </x:c>
      <x:c r="AN534" s="3" t="n">
        <x:v>0</x:v>
      </x:c>
      <x:c r="AO534" s="3" t="s">
        <x:v>14</x:v>
      </x:c>
      <x:c r="AP534" s="3" t="s">
        <x:v>347</x:v>
      </x:c>
      <x:c r="AQ534" s="3" t="s">
        <x:v>411</x:v>
      </x:c>
      <x:c r="AR534" s="9" t="n">
        <x:v>690.2</x:v>
      </x:c>
      <x:c r="AS534" s="3" t="s">
        <x:v>121</x:v>
      </x:c>
      <x:c r="AT534" s="7" t="n">
        <x:v>46301.9166666667</x:v>
      </x:c>
    </x:row>
    <x:row r="535" ht="31.299999237060547" hidden="0">
      <x:c r="A535" s="3" t="s">
        <x:v>1073</x:v>
      </x:c>
      <x:c r="B535" s="3" t="s">
        <x:v>146</x:v>
      </x:c>
      <x:c r="C535" s="3" t="s">
        <x:v>147</x:v>
      </x:c>
      <x:c r="D535" s="3" t="s">
        <x:v>148</x:v>
      </x:c>
      <x:c r="E535" s="3" t="s">
        <x:v>249</x:v>
      </x:c>
      <x:c r="F535" s="3" t="s">
        <x:v>99</x:v>
      </x:c>
      <x:c r="G535" s="3" t="s">
        <x:v>354</x:v>
      </x:c>
      <x:c r="H535" s="3" t="s">
        <x:v>101</x:v>
      </x:c>
      <x:c r="I535" s="3" t="s">
        <x:v>102</x:v>
      </x:c>
      <x:c r="J535" s="3" t="s">
        <x:v>103</x:v>
      </x:c>
      <x:c r="K535" s="3" t="s">
        <x:v>104</x:v>
      </x:c>
      <x:c r="L535" s="3" t="s">
        <x:v>151</x:v>
      </x:c>
      <x:c r="M535" s="3" t="s">
        <x:v>152</x:v>
      </x:c>
      <x:c r="N535" s="3" t="s">
        <x:v>153</x:v>
      </x:c>
      <x:c r="O535" s="3" t="s">
        <x:v>154</x:v>
      </x:c>
      <x:c r="P535" s="3" t="s">
        <x:v>155</x:v>
      </x:c>
      <x:c r="Q535" s="3" t="s">
        <x:v>270</x:v>
      </x:c>
      <x:c r="R535" s="3" t="s">
        <x:v>176</x:v>
      </x:c>
      <x:c r="S535" s="3" t="s">
        <x:v>135</x:v>
      </x:c>
      <x:c r="T535" s="3" t="s">
        <x:v>135</x:v>
      </x:c>
      <x:c r="U535" s="3" t="s">
        <x:v>177</x:v>
      </x:c>
      <x:c r="V535" s="3" t="s">
        <x:v>178</x:v>
      </x:c>
      <x:c r="W535" s="3" t="s">
        <x:v>179</x:v>
      </x:c>
      <x:c r="X535" s="3" t="s">
        <x:v>180</x:v>
      </x:c>
      <x:c r="Y535" s="3" t="s">
        <x:v>414</x:v>
      </x:c>
      <x:c r="Z535" s="3" t="s">
        <x:v>182</x:v>
      </x:c>
      <x:c r="AA535" s="3" t="s">
        <x:v>118</x:v>
      </x:c>
      <x:c r="AB535" s="7" t="n">
        <x:v>46286.825</x:v>
      </x:c>
      <x:c r="AC535" s="7" t="n">
        <x:v>46286.8298611111</x:v>
      </x:c>
      <x:c r="AD535" s="7" t="n">
        <x:v>46286.8333333333</x:v>
      </x:c>
      <x:c r="AE535" s="7" t="n">
        <x:v>46286.8493055556</x:v>
      </x:c>
      <x:c r="AF535" s="7" t="n">
        <x:v>46286.8909722222</x:v>
      </x:c>
      <x:c r="AG535" s="3" t="n">
        <x:v>35</x:v>
      </x:c>
      <x:c r="AH535" s="3" t="n">
        <x:v>55</x:v>
      </x:c>
      <x:c r="AI535" s="3" t="s">
        <x:v>135</x:v>
      </x:c>
      <x:c r="AJ535" s="3" t="s">
        <x:v>135</x:v>
      </x:c>
      <x:c r="AK535" s="3" t="n">
        <x:v>180</x:v>
      </x:c>
      <x:c r="AL535" s="3" t="n">
        <x:v>0</x:v>
      </x:c>
      <x:c r="AM535" s="8" t="n">
        <x:v>0.5</x:v>
      </x:c>
      <x:c r="AN535" s="3" t="n">
        <x:v>2</x:v>
      </x:c>
      <x:c r="AO535" s="3" t="s">
        <x:v>14</x:v>
      </x:c>
      <x:c r="AP535" s="3" t="s">
        <x:v>573</x:v>
      </x:c>
      <x:c r="AQ535" s="3" t="s">
        <x:v>533</x:v>
      </x:c>
      <x:c r="AR535" s="9" t="n">
        <x:v>813.5</x:v>
      </x:c>
      <x:c r="AS535" s="3" t="s">
        <x:v>121</x:v>
      </x:c>
      <x:c r="AT535" s="7" t="n">
        <x:v>46301.9166666667</x:v>
      </x:c>
    </x:row>
    <x:row r="536" ht="31.299999237060547" hidden="0">
      <x:c r="A536" s="3" t="s">
        <x:v>1074</x:v>
      </x:c>
      <x:c r="B536" s="3" t="s">
        <x:v>205</x:v>
      </x:c>
      <x:c r="C536" s="3" t="s">
        <x:v>206</x:v>
      </x:c>
      <x:c r="D536" s="3" t="s">
        <x:v>207</x:v>
      </x:c>
      <x:c r="E536" s="3" t="s">
        <x:v>249</x:v>
      </x:c>
      <x:c r="F536" s="3" t="s">
        <x:v>127</x:v>
      </x:c>
      <x:c r="G536" s="3" t="s">
        <x:v>477</x:v>
      </x:c>
      <x:c r="H536" s="3" t="s">
        <x:v>343</x:v>
      </x:c>
      <x:c r="I536" s="3" t="s">
        <x:v>102</x:v>
      </x:c>
      <x:c r="J536" s="3" t="s">
        <x:v>103</x:v>
      </x:c>
      <x:c r="K536" s="3" t="s">
        <x:v>104</x:v>
      </x:c>
      <x:c r="L536" s="3" t="s">
        <x:v>209</x:v>
      </x:c>
      <x:c r="M536" s="3" t="s">
        <x:v>210</x:v>
      </x:c>
      <x:c r="N536" s="3" t="s">
        <x:v>211</x:v>
      </x:c>
      <x:c r="O536" s="3" t="s">
        <x:v>212</x:v>
      </x:c>
      <x:c r="P536" s="3" t="s">
        <x:v>213</x:v>
      </x:c>
      <x:c r="Q536" s="3" t="s">
        <x:v>254</x:v>
      </x:c>
      <x:c r="R536" s="3" t="s">
        <x:v>214</x:v>
      </x:c>
      <x:c r="S536" s="3" t="s">
        <x:v>135</x:v>
      </x:c>
      <x:c r="T536" s="3" t="s">
        <x:v>111</x:v>
      </x:c>
      <x:c r="U536" s="3" t="s">
        <x:v>215</x:v>
      </x:c>
      <x:c r="V536" s="3" t="s">
        <x:v>216</x:v>
      </x:c>
      <x:c r="W536" s="3" t="s">
        <x:v>429</x:v>
      </x:c>
      <x:c r="X536" s="3" t="s">
        <x:v>430</x:v>
      </x:c>
      <x:c r="Y536" s="3" t="s">
        <x:v>431</x:v>
      </x:c>
      <x:c r="Z536" s="3" t="s">
        <x:v>219</x:v>
      </x:c>
      <x:c r="AA536" s="3" t="s">
        <x:v>118</x:v>
      </x:c>
      <x:c r="AB536" s="7" t="n">
        <x:v>46287.3548611111</x:v>
      </x:c>
      <x:c r="AC536" s="7" t="n">
        <x:v>46287.3569444444</x:v>
      </x:c>
      <x:c r="AD536" s="7" t="n">
        <x:v>46287.3625</x:v>
      </x:c>
      <x:c r="AE536" s="7" t="n">
        <x:v>46287.3756944445</x:v>
      </x:c>
      <x:c r="AF536" s="7" t="n">
        <x:v>46287.4222222222</x:v>
      </x:c>
      <x:c r="AG536" s="3" t="n">
        <x:v>30</x:v>
      </x:c>
      <x:c r="AH536" s="3" t="n">
        <x:v>62</x:v>
      </x:c>
      <x:c r="AI536" s="3" t="s">
        <x:v>135</x:v>
      </x:c>
      <x:c r="AJ536" s="3" t="s">
        <x:v>135</x:v>
      </x:c>
      <x:c r="AK536" s="3" t="n">
        <x:v>180</x:v>
      </x:c>
      <x:c r="AL536" s="3" t="n">
        <x:v>0</x:v>
      </x:c>
      <x:c r="AM536" s="8" t="n">
        <x:v>0.5111</x:v>
      </x:c>
      <x:c r="AN536" s="3" t="n">
        <x:v>3</x:v>
      </x:c>
      <x:c r="AO536" s="3" t="s">
        <x:v>14</x:v>
      </x:c>
      <x:c r="AP536" s="3" t="s">
        <x:v>183</x:v>
      </x:c>
      <x:c r="AQ536" s="3" t="s">
        <x:v>1075</x:v>
      </x:c>
      <x:c r="AR536" s="9" t="n">
        <x:v>1091.4</x:v>
      </x:c>
      <x:c r="AS536" s="3" t="s">
        <x:v>185</x:v>
      </x:c>
      <x:c r="AT536" s="7" t="n">
        <x:v>46301.9166666667</x:v>
      </x:c>
    </x:row>
    <x:row r="537" ht="31.299999237060547" hidden="0">
      <x:c r="A537" s="3" t="s">
        <x:v>1076</x:v>
      </x:c>
      <x:c r="B537" s="3" t="s">
        <x:v>146</x:v>
      </x:c>
      <x:c r="C537" s="3" t="s">
        <x:v>147</x:v>
      </x:c>
      <x:c r="D537" s="3" t="s">
        <x:v>148</x:v>
      </x:c>
      <x:c r="E537" s="3" t="s">
        <x:v>249</x:v>
      </x:c>
      <x:c r="F537" s="3" t="s">
        <x:v>149</x:v>
      </x:c>
      <x:c r="G537" s="3" t="s">
        <x:v>463</x:v>
      </x:c>
      <x:c r="H537" s="3" t="s">
        <x:v>101</x:v>
      </x:c>
      <x:c r="I537" s="3" t="s">
        <x:v>102</x:v>
      </x:c>
      <x:c r="J537" s="3" t="s">
        <x:v>103</x:v>
      </x:c>
      <x:c r="K537" s="3" t="s">
        <x:v>104</x:v>
      </x:c>
      <x:c r="L537" s="3" t="s">
        <x:v>151</x:v>
      </x:c>
      <x:c r="M537" s="3" t="s">
        <x:v>152</x:v>
      </x:c>
      <x:c r="N537" s="3" t="s">
        <x:v>153</x:v>
      </x:c>
      <x:c r="O537" s="3" t="s">
        <x:v>154</x:v>
      </x:c>
      <x:c r="P537" s="3" t="s">
        <x:v>155</x:v>
      </x:c>
      <x:c r="Q537" s="3" t="s">
        <x:v>270</x:v>
      </x:c>
      <x:c r="R537" s="3" t="s">
        <x:v>380</x:v>
      </x:c>
      <x:c r="S537" s="3" t="s">
        <x:v>111</x:v>
      </x:c>
      <x:c r="T537" s="3" t="s">
        <x:v>111</x:v>
      </x:c>
      <x:c r="U537" s="3" t="s">
        <x:v>381</x:v>
      </x:c>
      <x:c r="V537" s="3" t="s">
        <x:v>312</x:v>
      </x:c>
      <x:c r="W537" s="3" t="s">
        <x:v>351</x:v>
      </x:c>
      <x:c r="X537" s="3" t="s">
        <x:v>314</x:v>
      </x:c>
      <x:c r="Y537" s="3" t="s">
        <x:v>352</x:v>
      </x:c>
      <x:c r="Z537" s="3" t="s">
        <x:v>384</x:v>
      </x:c>
      <x:c r="AA537" s="3" t="s">
        <x:v>385</x:v>
      </x:c>
      <x:c r="AB537" s="7" t="n">
        <x:v>46287.3854166667</x:v>
      </x:c>
      <x:c r="AC537" s="7" t="n">
        <x:v>46287.3868055556</x:v>
      </x:c>
      <x:c r="AD537" s="7" t="n">
        <x:v>46287.3888888889</x:v>
      </x:c>
      <x:c r="AE537" s="7" t="n">
        <x:v>46287.4034722222</x:v>
      </x:c>
      <x:c r="AF537" s="7" t="n">
        <x:v>46287.425</x:v>
      </x:c>
      <x:c r="AG537" s="3" t="n">
        <x:v>26</x:v>
      </x:c>
      <x:c r="AH537" s="3" t="n">
        <x:v>27</x:v>
      </x:c>
      <x:c r="AI537" s="3" t="s">
        <x:v>135</x:v>
      </x:c>
      <x:c r="AJ537" s="3" t="s">
        <x:v>135</x:v>
      </x:c>
      <x:c r="AK537" s="3" t="n">
        <x:v>120</x:v>
      </x:c>
      <x:c r="AL537" s="3" t="n">
        <x:v>0</x:v>
      </x:c>
      <x:c r="AM537" s="8" t="n">
        <x:v>0.4417</x:v>
      </x:c>
      <x:c r="AN537" s="3" t="n">
        <x:v>1</x:v>
      </x:c>
      <x:c r="AO537" s="3" t="s">
        <x:v>9</x:v>
      </x:c>
      <x:c r="AP537" s="3" t="s">
        <x:v>500</x:v>
      </x:c>
      <x:c r="AQ537" s="3" t="s">
        <x:v>533</x:v>
      </x:c>
      <x:c r="AR537" s="9" t="n">
        <x:v>571.4</x:v>
      </x:c>
      <x:c r="AS537" s="3" t="s">
        <x:v>121</x:v>
      </x:c>
      <x:c r="AT537" s="7" t="n">
        <x:v>46301.9166666667</x:v>
      </x:c>
    </x:row>
    <x:row r="538" ht="31.299999237060547" hidden="0">
      <x:c r="A538" s="3" t="s">
        <x:v>1077</x:v>
      </x:c>
      <x:c r="B538" s="3" t="s">
        <x:v>297</x:v>
      </x:c>
      <x:c r="C538" s="3" t="s">
        <x:v>298</x:v>
      </x:c>
      <x:c r="D538" s="3" t="s">
        <x:v>299</x:v>
      </x:c>
      <x:c r="E538" s="3" t="s">
        <x:v>249</x:v>
      </x:c>
      <x:c r="F538" s="3" t="s">
        <x:v>127</x:v>
      </x:c>
      <x:c r="G538" s="3" t="s">
        <x:v>614</x:v>
      </x:c>
      <x:c r="H538" s="3" t="s">
        <x:v>301</x:v>
      </x:c>
      <x:c r="I538" s="3" t="s">
        <x:v>302</x:v>
      </x:c>
      <x:c r="J538" s="3" t="s">
        <x:v>303</x:v>
      </x:c>
      <x:c r="K538" s="3" t="s">
        <x:v>104</x:v>
      </x:c>
      <x:c r="L538" s="3" t="s">
        <x:v>304</x:v>
      </x:c>
      <x:c r="M538" s="3" t="s">
        <x:v>305</x:v>
      </x:c>
      <x:c r="N538" s="3" t="s">
        <x:v>306</x:v>
      </x:c>
      <x:c r="O538" s="3" t="s">
        <x:v>307</x:v>
      </x:c>
      <x:c r="P538" s="3" t="s">
        <x:v>308</x:v>
      </x:c>
      <x:c r="Q538" s="3" t="s">
        <x:v>309</x:v>
      </x:c>
      <x:c r="R538" s="3" t="s">
        <x:v>196</x:v>
      </x:c>
      <x:c r="S538" s="3" t="s">
        <x:v>111</x:v>
      </x:c>
      <x:c r="T538" s="3" t="s">
        <x:v>111</x:v>
      </x:c>
      <x:c r="U538" s="3" t="s">
        <x:v>197</x:v>
      </x:c>
      <x:c r="V538" s="3" t="s">
        <x:v>198</x:v>
      </x:c>
      <x:c r="W538" s="3" t="s">
        <x:v>199</x:v>
      </x:c>
      <x:c r="X538" s="3" t="s">
        <x:v>366</x:v>
      </x:c>
      <x:c r="Y538" s="3" t="s">
        <x:v>527</x:v>
      </x:c>
      <x:c r="Z538" s="3" t="s">
        <x:v>201</x:v>
      </x:c>
      <x:c r="AA538" s="3" t="s">
        <x:v>368</x:v>
      </x:c>
      <x:c r="AB538" s="7" t="n">
        <x:v>46287.3861111111</x:v>
      </x:c>
      <x:c r="AC538" s="7" t="n">
        <x:v>46287.3895833333</x:v>
      </x:c>
      <x:c r="AD538" s="7" t="n">
        <x:v>46287.3958333333</x:v>
      </x:c>
      <x:c r="AE538" s="7" t="n">
        <x:v>46287.41875</x:v>
      </x:c>
      <x:c r="AF538" s="7" t="n">
        <x:v>46287.4534722222</x:v>
      </x:c>
      <x:c r="AG538" s="3" t="n">
        <x:v>47</x:v>
      </x:c>
      <x:c r="AH538" s="3" t="n">
        <x:v>43</x:v>
      </x:c>
      <x:c r="AI538" s="3" t="s">
        <x:v>135</x:v>
      </x:c>
      <x:c r="AJ538" s="3" t="s">
        <x:v>111</x:v>
      </x:c>
      <x:c r="AK538" s="3" t="n">
        <x:v>120</x:v>
      </x:c>
      <x:c r="AL538" s="3" t="n">
        <x:v>0</x:v>
      </x:c>
      <x:c r="AM538" s="8" t="n">
        <x:v>0.75</x:v>
      </x:c>
      <x:c r="AN538" s="3" t="n">
        <x:v>0</x:v>
      </x:c>
      <x:c r="AO538" s="3" t="s">
        <x:v>14</x:v>
      </x:c>
      <x:c r="AP538" s="3" t="s">
        <x:v>318</x:v>
      </x:c>
      <x:c r="AQ538" s="3" t="s">
        <x:v>319</x:v>
      </x:c>
      <x:c r="AR538" s="9" t="n">
        <x:v>1161.1</x:v>
      </x:c>
      <x:c r="AS538" s="3" t="s">
        <x:v>185</x:v>
      </x:c>
      <x:c r="AT538" s="7" t="n">
        <x:v>46301.9166666667</x:v>
      </x:c>
    </x:row>
    <x:row r="539" ht="31.299999237060547" hidden="0">
      <x:c r="A539" s="3" t="s">
        <x:v>1078</x:v>
      </x:c>
      <x:c r="B539" s="3" t="s">
        <x:v>397</x:v>
      </x:c>
      <x:c r="C539" s="3" t="s">
        <x:v>398</x:v>
      </x:c>
      <x:c r="D539" s="3" t="s">
        <x:v>399</x:v>
      </x:c>
      <x:c r="E539" s="3" t="s">
        <x:v>249</x:v>
      </x:c>
      <x:c r="F539" s="3" t="s">
        <x:v>169</x:v>
      </x:c>
      <x:c r="G539" s="3" t="s">
        <x:v>467</x:v>
      </x:c>
      <x:c r="H539" s="3" t="s">
        <x:v>301</x:v>
      </x:c>
      <x:c r="I539" s="3" t="s">
        <x:v>302</x:v>
      </x:c>
      <x:c r="J539" s="3" t="s">
        <x:v>303</x:v>
      </x:c>
      <x:c r="K539" s="3" t="s">
        <x:v>104</x:v>
      </x:c>
      <x:c r="L539" s="3" t="s">
        <x:v>401</x:v>
      </x:c>
      <x:c r="M539" s="3" t="s">
        <x:v>402</x:v>
      </x:c>
      <x:c r="N539" s="3" t="s">
        <x:v>403</x:v>
      </x:c>
      <x:c r="O539" s="3" t="s">
        <x:v>404</x:v>
      </x:c>
      <x:c r="P539" s="3" t="s">
        <x:v>405</x:v>
      </x:c>
      <x:c r="Q539" s="3" t="s">
        <x:v>406</x:v>
      </x:c>
      <x:c r="R539" s="3" t="s">
        <x:v>214</x:v>
      </x:c>
      <x:c r="S539" s="3" t="s">
        <x:v>135</x:v>
      </x:c>
      <x:c r="T539" s="3" t="s">
        <x:v>111</x:v>
      </x:c>
      <x:c r="U539" s="3" t="s">
        <x:v>215</x:v>
      </x:c>
      <x:c r="V539" s="3" t="s">
        <x:v>216</x:v>
      </x:c>
      <x:c r="W539" s="3" t="s">
        <x:v>217</x:v>
      </x:c>
      <x:c r="X539" s="3" t="s">
        <x:v>430</x:v>
      </x:c>
      <x:c r="Y539" s="3" t="s">
        <x:v>555</x:v>
      </x:c>
      <x:c r="Z539" s="3" t="s">
        <x:v>219</x:v>
      </x:c>
      <x:c r="AA539" s="3" t="s">
        <x:v>118</x:v>
      </x:c>
      <x:c r="AB539" s="7" t="n">
        <x:v>46287.5305555556</x:v>
      </x:c>
      <x:c r="AC539" s="7" t="n">
        <x:v>46287.5319444445</x:v>
      </x:c>
      <x:c r="AD539" s="7" t="n">
        <x:v>46287.5375</x:v>
      </x:c>
      <x:c r="AE539" s="7" t="n">
        <x:v>46287.55625</x:v>
      </x:c>
      <x:c r="AF539" s="7" t="n">
        <x:v>46287.5673611111</x:v>
      </x:c>
      <x:c r="AG539" s="3" t="n">
        <x:v>37</x:v>
      </x:c>
      <x:c r="AH539" s="3" t="n">
        <x:v>12</x:v>
      </x:c>
      <x:c r="AI539" s="3" t="s">
        <x:v>135</x:v>
      </x:c>
      <x:c r="AJ539" s="3" t="s">
        <x:v>135</x:v>
      </x:c>
      <x:c r="AK539" s="3" t="n">
        <x:v>180</x:v>
      </x:c>
      <x:c r="AL539" s="3" t="n">
        <x:v>0</x:v>
      </x:c>
      <x:c r="AM539" s="8" t="n">
        <x:v>0.2722</x:v>
      </x:c>
      <x:c r="AN539" s="3" t="n">
        <x:v>0</x:v>
      </x:c>
      <x:c r="AO539" s="3" t="s">
        <x:v>9</x:v>
      </x:c>
      <x:c r="AP539" s="3" t="s">
        <x:v>142</x:v>
      </x:c>
      <x:c r="AQ539" s="3" t="s">
        <x:v>408</x:v>
      </x:c>
      <x:c r="AR539" s="9" t="n">
        <x:v>512.9</x:v>
      </x:c>
      <x:c r="AS539" s="3" t="s">
        <x:v>144</x:v>
      </x:c>
      <x:c r="AT539" s="7" t="n">
        <x:v>46301.9166666667</x:v>
      </x:c>
    </x:row>
    <x:row r="540" ht="31.299999237060547" hidden="0">
      <x:c r="A540" s="3" t="s">
        <x:v>1079</x:v>
      </x:c>
      <x:c r="B540" s="3" t="s">
        <x:v>146</x:v>
      </x:c>
      <x:c r="C540" s="3" t="s">
        <x:v>147</x:v>
      </x:c>
      <x:c r="D540" s="3" t="s">
        <x:v>148</x:v>
      </x:c>
      <x:c r="E540" s="3" t="s">
        <x:v>249</x:v>
      </x:c>
      <x:c r="F540" s="3" t="s">
        <x:v>149</x:v>
      </x:c>
      <x:c r="G540" s="3" t="s">
        <x:v>458</x:v>
      </x:c>
      <x:c r="H540" s="3" t="s">
        <x:v>339</x:v>
      </x:c>
      <x:c r="I540" s="3" t="s">
        <x:v>102</x:v>
      </x:c>
      <x:c r="J540" s="3" t="s">
        <x:v>103</x:v>
      </x:c>
      <x:c r="K540" s="3" t="s">
        <x:v>104</x:v>
      </x:c>
      <x:c r="L540" s="3" t="s">
        <x:v>151</x:v>
      </x:c>
      <x:c r="M540" s="3" t="s">
        <x:v>152</x:v>
      </x:c>
      <x:c r="N540" s="3" t="s">
        <x:v>153</x:v>
      </x:c>
      <x:c r="O540" s="3" t="s">
        <x:v>154</x:v>
      </x:c>
      <x:c r="P540" s="3" t="s">
        <x:v>155</x:v>
      </x:c>
      <x:c r="Q540" s="3" t="s">
        <x:v>270</x:v>
      </x:c>
      <x:c r="R540" s="3" t="s">
        <x:v>391</x:v>
      </x:c>
      <x:c r="S540" s="3" t="s">
        <x:v>135</x:v>
      </x:c>
      <x:c r="T540" s="3" t="s">
        <x:v>135</x:v>
      </x:c>
      <x:c r="U540" s="3" t="s">
        <x:v>392</x:v>
      </x:c>
      <x:c r="V540" s="3" t="s">
        <x:v>312</x:v>
      </x:c>
      <x:c r="W540" s="3" t="s">
        <x:v>382</x:v>
      </x:c>
      <x:c r="X540" s="3" t="s">
        <x:v>314</x:v>
      </x:c>
      <x:c r="Y540" s="3" t="s">
        <x:v>383</x:v>
      </x:c>
      <x:c r="Z540" s="3" t="s">
        <x:v>393</x:v>
      </x:c>
      <x:c r="AA540" s="3" t="s">
        <x:v>394</x:v>
      </x:c>
      <x:c r="AB540" s="7" t="n">
        <x:v>46287.5833333333</x:v>
      </x:c>
      <x:c r="AC540" s="7" t="n">
        <x:v>46287.5875</x:v>
      </x:c>
      <x:c r="AD540" s="7" t="n">
        <x:v>46287.5916666667</x:v>
      </x:c>
      <x:c r="AE540" s="7" t="n">
        <x:v>46287.61875</x:v>
      </x:c>
      <x:c r="AF540" s="7" t="n">
        <x:v>46287.6423611111</x:v>
      </x:c>
      <x:c r="AG540" s="3" t="n">
        <x:v>51</x:v>
      </x:c>
      <x:c r="AH540" s="3" t="n">
        <x:v>25</x:v>
      </x:c>
      <x:c r="AI540" s="3" t="s">
        <x:v>135</x:v>
      </x:c>
      <x:c r="AJ540" s="3" t="s">
        <x:v>135</x:v>
      </x:c>
      <x:c r="AK540" s="3" t="n">
        <x:v>180</x:v>
      </x:c>
      <x:c r="AL540" s="3" t="n">
        <x:v>0</x:v>
      </x:c>
      <x:c r="AM540" s="8" t="n">
        <x:v>0.4222</x:v>
      </x:c>
      <x:c r="AN540" s="3" t="n">
        <x:v>0</x:v>
      </x:c>
      <x:c r="AO540" s="3" t="s">
        <x:v>9</x:v>
      </x:c>
      <x:c r="AP540" s="3" t="s">
        <x:v>142</x:v>
      </x:c>
      <x:c r="AQ540" s="3" t="s">
        <x:v>459</x:v>
      </x:c>
      <x:c r="AR540" s="9" t="n">
        <x:v>669.5</x:v>
      </x:c>
      <x:c r="AS540" s="3" t="s">
        <x:v>121</x:v>
      </x:c>
      <x:c r="AT540" s="7" t="n">
        <x:v>46301.9166666667</x:v>
      </x:c>
    </x:row>
    <x:row r="541" ht="31.299999237060547" hidden="0">
      <x:c r="A541" s="3" t="s">
        <x:v>1080</x:v>
      </x:c>
      <x:c r="B541" s="3" t="s">
        <x:v>205</x:v>
      </x:c>
      <x:c r="C541" s="3" t="s">
        <x:v>206</x:v>
      </x:c>
      <x:c r="D541" s="3" t="s">
        <x:v>207</x:v>
      </x:c>
      <x:c r="E541" s="3" t="s">
        <x:v>249</x:v>
      </x:c>
      <x:c r="F541" s="3" t="s">
        <x:v>99</x:v>
      </x:c>
      <x:c r="G541" s="3" t="s">
        <x:v>463</x:v>
      </x:c>
      <x:c r="H541" s="3" t="s">
        <x:v>101</x:v>
      </x:c>
      <x:c r="I541" s="3" t="s">
        <x:v>102</x:v>
      </x:c>
      <x:c r="J541" s="3" t="s">
        <x:v>103</x:v>
      </x:c>
      <x:c r="K541" s="3" t="s">
        <x:v>104</x:v>
      </x:c>
      <x:c r="L541" s="3" t="s">
        <x:v>209</x:v>
      </x:c>
      <x:c r="M541" s="3" t="s">
        <x:v>210</x:v>
      </x:c>
      <x:c r="N541" s="3" t="s">
        <x:v>211</x:v>
      </x:c>
      <x:c r="O541" s="3" t="s">
        <x:v>212</x:v>
      </x:c>
      <x:c r="P541" s="3" t="s">
        <x:v>213</x:v>
      </x:c>
      <x:c r="Q541" s="3" t="s">
        <x:v>254</x:v>
      </x:c>
      <x:c r="R541" s="3" t="s">
        <x:v>380</x:v>
      </x:c>
      <x:c r="S541" s="3" t="s">
        <x:v>111</x:v>
      </x:c>
      <x:c r="T541" s="3" t="s">
        <x:v>111</x:v>
      </x:c>
      <x:c r="U541" s="3" t="s">
        <x:v>381</x:v>
      </x:c>
      <x:c r="V541" s="3" t="s">
        <x:v>312</x:v>
      </x:c>
      <x:c r="W541" s="3" t="s">
        <x:v>351</x:v>
      </x:c>
      <x:c r="X541" s="3" t="s">
        <x:v>314</x:v>
      </x:c>
      <x:c r="Y541" s="3" t="s">
        <x:v>352</x:v>
      </x:c>
      <x:c r="Z541" s="3" t="s">
        <x:v>384</x:v>
      </x:c>
      <x:c r="AA541" s="3" t="s">
        <x:v>385</x:v>
      </x:c>
      <x:c r="AB541" s="7" t="n">
        <x:v>46287.5833333333</x:v>
      </x:c>
      <x:c r="AC541" s="7" t="n">
        <x:v>46287.5875</x:v>
      </x:c>
      <x:c r="AD541" s="7" t="n">
        <x:v>46287.5909722222</x:v>
      </x:c>
      <x:c r="AE541" s="7" t="n">
        <x:v>46287.6145833333</x:v>
      </x:c>
      <x:c r="AF541" s="7" t="n">
        <x:v>46287.6493055556</x:v>
      </x:c>
      <x:c r="AG541" s="3" t="n">
        <x:v>45</x:v>
      </x:c>
      <x:c r="AH541" s="3" t="n">
        <x:v>43</x:v>
      </x:c>
      <x:c r="AI541" s="3" t="s">
        <x:v>135</x:v>
      </x:c>
      <x:c r="AJ541" s="3" t="s">
        <x:v>135</x:v>
      </x:c>
      <x:c r="AK541" s="3" t="n">
        <x:v>120</x:v>
      </x:c>
      <x:c r="AL541" s="3" t="n">
        <x:v>0</x:v>
      </x:c>
      <x:c r="AM541" s="8" t="n">
        <x:v>0.7333</x:v>
      </x:c>
      <x:c r="AN541" s="3" t="n">
        <x:v>0</x:v>
      </x:c>
      <x:c r="AO541" s="3" t="s">
        <x:v>14</x:v>
      </x:c>
      <x:c r="AP541" s="3" t="s">
        <x:v>347</x:v>
      </x:c>
      <x:c r="AQ541" s="3" t="s">
        <x:v>478</x:v>
      </x:c>
      <x:c r="AR541" s="9" t="n">
        <x:v>772.1</x:v>
      </x:c>
      <x:c r="AS541" s="3" t="s">
        <x:v>185</x:v>
      </x:c>
      <x:c r="AT541" s="7" t="n">
        <x:v>46301.9166666667</x:v>
      </x:c>
    </x:row>
    <x:row r="542" ht="31.299999237060547" hidden="0">
      <x:c r="A542" s="3" t="s">
        <x:v>1081</x:v>
      </x:c>
      <x:c r="B542" s="3" t="s">
        <x:v>233</x:v>
      </x:c>
      <x:c r="C542" s="3" t="s">
        <x:v>234</x:v>
      </x:c>
      <x:c r="D542" s="3" t="s">
        <x:v>235</x:v>
      </x:c>
      <x:c r="E542" s="3" t="s">
        <x:v>249</x:v>
      </x:c>
      <x:c r="F542" s="3" t="s">
        <x:v>127</x:v>
      </x:c>
      <x:c r="G542" s="3" t="s">
        <x:v>428</x:v>
      </x:c>
      <x:c r="H542" s="3" t="s">
        <x:v>339</x:v>
      </x:c>
      <x:c r="I542" s="3" t="s">
        <x:v>102</x:v>
      </x:c>
      <x:c r="J542" s="3" t="s">
        <x:v>103</x:v>
      </x:c>
      <x:c r="K542" s="3" t="s">
        <x:v>104</x:v>
      </x:c>
      <x:c r="L542" s="3" t="s">
        <x:v>237</x:v>
      </x:c>
      <x:c r="M542" s="3" t="s">
        <x:v>172</x:v>
      </x:c>
      <x:c r="N542" s="3" t="s">
        <x:v>238</x:v>
      </x:c>
      <x:c r="O542" s="3" t="s">
        <x:v>239</x:v>
      </x:c>
      <x:c r="P542" s="3" t="s">
        <x:v>240</x:v>
      </x:c>
      <x:c r="Q542" s="3" t="s">
        <x:v>276</x:v>
      </x:c>
      <x:c r="R542" s="3" t="s">
        <x:v>214</x:v>
      </x:c>
      <x:c r="S542" s="3" t="s">
        <x:v>135</x:v>
      </x:c>
      <x:c r="T542" s="3" t="s">
        <x:v>111</x:v>
      </x:c>
      <x:c r="U542" s="3" t="s">
        <x:v>215</x:v>
      </x:c>
      <x:c r="V542" s="3" t="s">
        <x:v>216</x:v>
      </x:c>
      <x:c r="W542" s="3" t="s">
        <x:v>429</x:v>
      </x:c>
      <x:c r="X542" s="3" t="s">
        <x:v>430</x:v>
      </x:c>
      <x:c r="Y542" s="3" t="s">
        <x:v>431</x:v>
      </x:c>
      <x:c r="Z542" s="3" t="s">
        <x:v>219</x:v>
      </x:c>
      <x:c r="AA542" s="3" t="s">
        <x:v>118</x:v>
      </x:c>
      <x:c r="AB542" s="7" t="n">
        <x:v>46287.6305555556</x:v>
      </x:c>
      <x:c r="AC542" s="7" t="n">
        <x:v>46287.6319444444</x:v>
      </x:c>
      <x:c r="AD542" s="7" t="n">
        <x:v>46287.6375</x:v>
      </x:c>
      <x:c r="AE542" s="7" t="n">
        <x:v>46287.6430555556</x:v>
      </x:c>
      <x:c r="AF542" s="7" t="n">
        <x:v>46287.6791666667</x:v>
      </x:c>
      <x:c r="AG542" s="3" t="n">
        <x:v>18</x:v>
      </x:c>
      <x:c r="AH542" s="3" t="n">
        <x:v>47</x:v>
      </x:c>
      <x:c r="AI542" s="3" t="s">
        <x:v>135</x:v>
      </x:c>
      <x:c r="AJ542" s="3" t="s">
        <x:v>111</x:v>
      </x:c>
      <x:c r="AK542" s="3" t="n">
        <x:v>150</x:v>
      </x:c>
      <x:c r="AL542" s="3" t="n">
        <x:v>0</x:v>
      </x:c>
      <x:c r="AM542" s="8" t="n">
        <x:v>0.4333</x:v>
      </x:c>
      <x:c r="AN542" s="3" t="n">
        <x:v>0</x:v>
      </x:c>
      <x:c r="AO542" s="3" t="s">
        <x:v>9</x:v>
      </x:c>
      <x:c r="AP542" s="3" t="s">
        <x:v>335</x:v>
      </x:c>
      <x:c r="AQ542" s="3" t="s">
        <x:v>361</x:v>
      </x:c>
      <x:c r="AR542" s="9" t="n">
        <x:v>679.4</x:v>
      </x:c>
      <x:c r="AS542" s="3" t="s">
        <x:v>121</x:v>
      </x:c>
      <x:c r="AT542" s="7" t="n">
        <x:v>46301.9166666667</x:v>
      </x:c>
    </x:row>
    <x:row r="543" ht="31.299999237060547" hidden="0">
      <x:c r="A543" s="3" t="s">
        <x:v>1082</x:v>
      </x:c>
      <x:c r="B543" s="3" t="s">
        <x:v>205</x:v>
      </x:c>
      <x:c r="C543" s="3" t="s">
        <x:v>206</x:v>
      </x:c>
      <x:c r="D543" s="3" t="s">
        <x:v>207</x:v>
      </x:c>
      <x:c r="E543" s="3" t="s">
        <x:v>249</x:v>
      </x:c>
      <x:c r="F543" s="3" t="s">
        <x:v>169</x:v>
      </x:c>
      <x:c r="G543" s="3" t="s">
        <x:v>449</x:v>
      </x:c>
      <x:c r="H543" s="3" t="s">
        <x:v>343</x:v>
      </x:c>
      <x:c r="I543" s="3" t="s">
        <x:v>102</x:v>
      </x:c>
      <x:c r="J543" s="3" t="s">
        <x:v>103</x:v>
      </x:c>
      <x:c r="K543" s="3" t="s">
        <x:v>104</x:v>
      </x:c>
      <x:c r="L543" s="3" t="s">
        <x:v>209</x:v>
      </x:c>
      <x:c r="M543" s="3" t="s">
        <x:v>210</x:v>
      </x:c>
      <x:c r="N543" s="3" t="s">
        <x:v>211</x:v>
      </x:c>
      <x:c r="O543" s="3" t="s">
        <x:v>212</x:v>
      </x:c>
      <x:c r="P543" s="3" t="s">
        <x:v>213</x:v>
      </x:c>
      <x:c r="Q543" s="3" t="s">
        <x:v>254</x:v>
      </x:c>
      <x:c r="R543" s="3" t="s">
        <x:v>156</x:v>
      </x:c>
      <x:c r="S543" s="3" t="s">
        <x:v>135</x:v>
      </x:c>
      <x:c r="T543" s="3" t="s">
        <x:v>111</x:v>
      </x:c>
      <x:c r="U543" s="3" t="s">
        <x:v>157</x:v>
      </x:c>
      <x:c r="V543" s="3" t="s">
        <x:v>158</x:v>
      </x:c>
      <x:c r="W543" s="3" t="s">
        <x:v>450</x:v>
      </x:c>
      <x:c r="X543" s="3" t="s">
        <x:v>160</x:v>
      </x:c>
      <x:c r="Y543" s="3" t="s">
        <x:v>451</x:v>
      </x:c>
      <x:c r="Z543" s="3" t="s">
        <x:v>162</x:v>
      </x:c>
      <x:c r="AA543" s="3" t="s">
        <x:v>118</x:v>
      </x:c>
      <x:c r="AB543" s="7" t="n">
        <x:v>46287.6430555556</x:v>
      </x:c>
      <x:c r="AC543" s="7" t="n">
        <x:v>46287.6458333333</x:v>
      </x:c>
      <x:c r="AD543" s="7" t="n">
        <x:v>46287.65</x:v>
      </x:c>
      <x:c r="AE543" s="7" t="n">
        <x:v>46287.6680555556</x:v>
      </x:c>
      <x:c r="AF543" s="7" t="n">
        <x:v>46287.71875</x:v>
      </x:c>
      <x:c r="AG543" s="3" t="n">
        <x:v>36</x:v>
      </x:c>
      <x:c r="AH543" s="3" t="n">
        <x:v>66</x:v>
      </x:c>
      <x:c r="AI543" s="3" t="s">
        <x:v>135</x:v>
      </x:c>
      <x:c r="AJ543" s="3" t="s">
        <x:v>135</x:v>
      </x:c>
      <x:c r="AK543" s="3" t="n">
        <x:v>180</x:v>
      </x:c>
      <x:c r="AL543" s="3" t="n">
        <x:v>0</x:v>
      </x:c>
      <x:c r="AM543" s="8" t="n">
        <x:v>0.5667</x:v>
      </x:c>
      <x:c r="AN543" s="3" t="n">
        <x:v>1</x:v>
      </x:c>
      <x:c r="AO543" s="3" t="s">
        <x:v>9</x:v>
      </x:c>
      <x:c r="AP543" s="3" t="s">
        <x:v>500</x:v>
      </x:c>
      <x:c r="AQ543" s="3" t="s">
        <x:v>697</x:v>
      </x:c>
      <x:c r="AR543" s="9" t="n">
        <x:v>897.2</x:v>
      </x:c>
      <x:c r="AS543" s="3" t="s">
        <x:v>121</x:v>
      </x:c>
      <x:c r="AT543" s="7" t="n">
        <x:v>46301.9166666667</x:v>
      </x:c>
    </x:row>
    <x:row r="544" ht="31.299999237060547" hidden="0">
      <x:c r="A544" s="3" t="s">
        <x:v>1083</x:v>
      </x:c>
      <x:c r="B544" s="3" t="s">
        <x:v>146</x:v>
      </x:c>
      <x:c r="C544" s="3" t="s">
        <x:v>147</x:v>
      </x:c>
      <x:c r="D544" s="3" t="s">
        <x:v>148</x:v>
      </x:c>
      <x:c r="E544" s="3" t="s">
        <x:v>249</x:v>
      </x:c>
      <x:c r="F544" s="3" t="s">
        <x:v>149</x:v>
      </x:c>
      <x:c r="G544" s="3" t="s">
        <x:v>623</x:v>
      </x:c>
      <x:c r="H544" s="3" t="s">
        <x:v>101</x:v>
      </x:c>
      <x:c r="I544" s="3" t="s">
        <x:v>102</x:v>
      </x:c>
      <x:c r="J544" s="3" t="s">
        <x:v>103</x:v>
      </x:c>
      <x:c r="K544" s="3" t="s">
        <x:v>104</x:v>
      </x:c>
      <x:c r="L544" s="3" t="s">
        <x:v>151</x:v>
      </x:c>
      <x:c r="M544" s="3" t="s">
        <x:v>152</x:v>
      </x:c>
      <x:c r="N544" s="3" t="s">
        <x:v>153</x:v>
      </x:c>
      <x:c r="O544" s="3" t="s">
        <x:v>154</x:v>
      </x:c>
      <x:c r="P544" s="3" t="s">
        <x:v>155</x:v>
      </x:c>
      <x:c r="Q544" s="3" t="s">
        <x:v>270</x:v>
      </x:c>
      <x:c r="R544" s="3" t="s">
        <x:v>176</x:v>
      </x:c>
      <x:c r="S544" s="3" t="s">
        <x:v>135</x:v>
      </x:c>
      <x:c r="T544" s="3" t="s">
        <x:v>135</x:v>
      </x:c>
      <x:c r="U544" s="3" t="s">
        <x:v>177</x:v>
      </x:c>
      <x:c r="V544" s="3" t="s">
        <x:v>178</x:v>
      </x:c>
      <x:c r="W544" s="3" t="s">
        <x:v>355</x:v>
      </x:c>
      <x:c r="X544" s="3" t="s">
        <x:v>180</x:v>
      </x:c>
      <x:c r="Y544" s="3" t="s">
        <x:v>356</x:v>
      </x:c>
      <x:c r="Z544" s="3" t="s">
        <x:v>182</x:v>
      </x:c>
      <x:c r="AA544" s="3" t="s">
        <x:v>118</x:v>
      </x:c>
      <x:c r="AB544" s="7" t="n">
        <x:v>46287.6444444444</x:v>
      </x:c>
      <x:c r="AC544" s="7" t="n">
        <x:v>46287.6472222222</x:v>
      </x:c>
      <x:c r="AD544" s="7" t="n">
        <x:v>46287.6527777778</x:v>
      </x:c>
      <x:c r="AE544" s="7" t="n">
        <x:v>46287.6715277778</x:v>
      </x:c>
      <x:c r="AF544" s="7" t="n">
        <x:v>46287.6972222222</x:v>
      </x:c>
      <x:c r="AG544" s="3" t="n">
        <x:v>39</x:v>
      </x:c>
      <x:c r="AH544" s="3" t="n">
        <x:v>28</x:v>
      </x:c>
      <x:c r="AI544" s="3" t="s">
        <x:v>135</x:v>
      </x:c>
      <x:c r="AJ544" s="3" t="s">
        <x:v>135</x:v>
      </x:c>
      <x:c r="AK544" s="3" t="n">
        <x:v>180</x:v>
      </x:c>
      <x:c r="AL544" s="3" t="n">
        <x:v>0</x:v>
      </x:c>
      <x:c r="AM544" s="8" t="n">
        <x:v>0.3722</x:v>
      </x:c>
      <x:c r="AN544" s="3" t="n">
        <x:v>0</x:v>
      </x:c>
      <x:c r="AO544" s="3" t="s">
        <x:v>9</x:v>
      </x:c>
      <x:c r="AP544" s="3" t="s">
        <x:v>142</x:v>
      </x:c>
      <x:c r="AQ544" s="3" t="s">
        <x:v>459</x:v>
      </x:c>
      <x:c r="AR544" s="9" t="n">
        <x:v>637.1</x:v>
      </x:c>
      <x:c r="AS544" s="3" t="s">
        <x:v>144</x:v>
      </x:c>
      <x:c r="AT544" s="7" t="n">
        <x:v>46301.9166666667</x:v>
      </x:c>
    </x:row>
    <x:row r="545" ht="31.299999237060547" hidden="0">
      <x:c r="A545" s="3" t="s">
        <x:v>1084</x:v>
      </x:c>
      <x:c r="B545" s="3" t="s">
        <x:v>187</x:v>
      </x:c>
      <x:c r="C545" s="3" t="s">
        <x:v>188</x:v>
      </x:c>
      <x:c r="D545" s="3" t="s">
        <x:v>189</x:v>
      </x:c>
      <x:c r="E545" s="3" t="s">
        <x:v>249</x:v>
      </x:c>
      <x:c r="F545" s="3" t="s">
        <x:v>169</x:v>
      </x:c>
      <x:c r="G545" s="3" t="s">
        <x:v>504</x:v>
      </x:c>
      <x:c r="H545" s="3" t="s">
        <x:v>343</x:v>
      </x:c>
      <x:c r="I545" s="3" t="s">
        <x:v>102</x:v>
      </x:c>
      <x:c r="J545" s="3" t="s">
        <x:v>103</x:v>
      </x:c>
      <x:c r="K545" s="3" t="s">
        <x:v>104</x:v>
      </x:c>
      <x:c r="L545" s="3" t="s">
        <x:v>191</x:v>
      </x:c>
      <x:c r="M545" s="3" t="s">
        <x:v>192</x:v>
      </x:c>
      <x:c r="N545" s="3" t="s">
        <x:v>193</x:v>
      </x:c>
      <x:c r="O545" s="3" t="s">
        <x:v>194</x:v>
      </x:c>
      <x:c r="P545" s="3" t="s">
        <x:v>195</x:v>
      </x:c>
      <x:c r="Q545" s="3" t="s">
        <x:v>273</x:v>
      </x:c>
      <x:c r="R545" s="3" t="s">
        <x:v>344</x:v>
      </x:c>
      <x:c r="S545" s="3" t="s">
        <x:v>111</x:v>
      </x:c>
      <x:c r="T545" s="3" t="s">
        <x:v>111</x:v>
      </x:c>
      <x:c r="U545" s="3" t="s">
        <x:v>345</x:v>
      </x:c>
      <x:c r="V545" s="3" t="s">
        <x:v>178</x:v>
      </x:c>
      <x:c r="W545" s="3" t="s">
        <x:v>179</x:v>
      </x:c>
      <x:c r="X545" s="3" t="s">
        <x:v>180</x:v>
      </x:c>
      <x:c r="Y545" s="3" t="s">
        <x:v>414</x:v>
      </x:c>
      <x:c r="Z545" s="3" t="s">
        <x:v>346</x:v>
      </x:c>
      <x:c r="AA545" s="3" t="s">
        <x:v>118</x:v>
      </x:c>
      <x:c r="AB545" s="7" t="n">
        <x:v>46287.6451388889</x:v>
      </x:c>
      <x:c r="AC545" s="7" t="n">
        <x:v>46287.6486111111</x:v>
      </x:c>
      <x:c r="AD545" s="7" t="n">
        <x:v>46287.6513888889</x:v>
      </x:c>
      <x:c r="AE545" s="7" t="n">
        <x:v>46287.6673611111</x:v>
      </x:c>
      <x:c r="AF545" s="7" t="n">
        <x:v>46287.6958333333</x:v>
      </x:c>
      <x:c r="AG545" s="3" t="n">
        <x:v>32</x:v>
      </x:c>
      <x:c r="AH545" s="3" t="n">
        <x:v>36</x:v>
      </x:c>
      <x:c r="AI545" s="3" t="s">
        <x:v>135</x:v>
      </x:c>
      <x:c r="AJ545" s="3" t="s">
        <x:v>111</x:v>
      </x:c>
      <x:c r="AK545" s="3" t="n">
        <x:v>120</x:v>
      </x:c>
      <x:c r="AL545" s="3" t="n">
        <x:v>0</x:v>
      </x:c>
      <x:c r="AM545" s="8" t="n">
        <x:v>0.5667</x:v>
      </x:c>
      <x:c r="AN545" s="3" t="n">
        <x:v>0</x:v>
      </x:c>
      <x:c r="AO545" s="3" t="s">
        <x:v>9</x:v>
      </x:c>
      <x:c r="AP545" s="3" t="s">
        <x:v>335</x:v>
      </x:c>
      <x:c r="AQ545" s="3" t="s">
        <x:v>677</x:v>
      </x:c>
      <x:c r="AR545" s="9" t="n">
        <x:v>1043.2</x:v>
      </x:c>
      <x:c r="AS545" s="3" t="s">
        <x:v>121</x:v>
      </x:c>
      <x:c r="AT545" s="7" t="n">
        <x:v>46301.9166666667</x:v>
      </x:c>
    </x:row>
    <x:row r="546" ht="31.299999237060547" hidden="0">
      <x:c r="A546" s="3" t="s">
        <x:v>1085</x:v>
      </x:c>
      <x:c r="B546" s="3" t="s">
        <x:v>83</x:v>
      </x:c>
      <x:c r="C546" s="3" t="s">
        <x:v>96</x:v>
      </x:c>
      <x:c r="D546" s="3" t="s">
        <x:v>97</x:v>
      </x:c>
      <x:c r="E546" s="3" t="s">
        <x:v>249</x:v>
      </x:c>
      <x:c r="F546" s="3" t="s">
        <x:v>169</x:v>
      </x:c>
      <x:c r="G546" s="3" t="s">
        <x:v>364</x:v>
      </x:c>
      <x:c r="H546" s="3" t="s">
        <x:v>339</x:v>
      </x:c>
      <x:c r="I546" s="3" t="s">
        <x:v>102</x:v>
      </x:c>
      <x:c r="J546" s="3" t="s">
        <x:v>103</x:v>
      </x:c>
      <x:c r="K546" s="3" t="s">
        <x:v>104</x:v>
      </x:c>
      <x:c r="L546" s="3" t="s">
        <x:v>105</x:v>
      </x:c>
      <x:c r="M546" s="3" t="s">
        <x:v>106</x:v>
      </x:c>
      <x:c r="N546" s="3" t="s">
        <x:v>107</x:v>
      </x:c>
      <x:c r="O546" s="3" t="s">
        <x:v>108</x:v>
      </x:c>
      <x:c r="P546" s="3" t="s">
        <x:v>109</x:v>
      </x:c>
      <x:c r="Q546" s="3" t="s">
        <x:v>250</x:v>
      </x:c>
      <x:c r="R546" s="3" t="s">
        <x:v>196</x:v>
      </x:c>
      <x:c r="S546" s="3" t="s">
        <x:v>111</x:v>
      </x:c>
      <x:c r="T546" s="3" t="s">
        <x:v>111</x:v>
      </x:c>
      <x:c r="U546" s="3" t="s">
        <x:v>197</x:v>
      </x:c>
      <x:c r="V546" s="3" t="s">
        <x:v>198</x:v>
      </x:c>
      <x:c r="W546" s="3" t="s">
        <x:v>199</x:v>
      </x:c>
      <x:c r="X546" s="3" t="s">
        <x:v>366</x:v>
      </x:c>
      <x:c r="Y546" s="3" t="s">
        <x:v>527</x:v>
      </x:c>
      <x:c r="Z546" s="3" t="s">
        <x:v>201</x:v>
      </x:c>
      <x:c r="AA546" s="3" t="s">
        <x:v>368</x:v>
      </x:c>
      <x:c r="AB546" s="7" t="n">
        <x:v>46287.6694444444</x:v>
      </x:c>
      <x:c r="AC546" s="7" t="n">
        <x:v>46287.6743055556</x:v>
      </x:c>
      <x:c r="AD546" s="7" t="n">
        <x:v>46287.6777777778</x:v>
      </x:c>
      <x:c r="AE546" s="7" t="n">
        <x:v>46287.6861111111</x:v>
      </x:c>
      <x:c r="AF546" s="7" t="n">
        <x:v>46287.7027777778</x:v>
      </x:c>
      <x:c r="AG546" s="3" t="n">
        <x:v>24</x:v>
      </x:c>
      <x:c r="AH546" s="3" t="n">
        <x:v>20</x:v>
      </x:c>
      <x:c r="AI546" s="3" t="s">
        <x:v>111</x:v>
      </x:c>
      <x:c r="AJ546" s="3" t="s">
        <x:v>111</x:v>
      </x:c>
      <x:c r="AK546" s="3" t="n">
        <x:v>60</x:v>
      </x:c>
      <x:c r="AL546" s="3" t="n">
        <x:v>0</x:v>
      </x:c>
      <x:c r="AM546" s="8" t="n">
        <x:v>0.7333</x:v>
      </x:c>
      <x:c r="AN546" s="3" t="n">
        <x:v>2</x:v>
      </x:c>
      <x:c r="AO546" s="3" t="s">
        <x:v>14</x:v>
      </x:c>
      <x:c r="AP546" s="3" t="s">
        <x:v>881</x:v>
      </x:c>
      <x:c r="AQ546" s="3" t="s">
        <x:v>562</x:v>
      </x:c>
      <x:c r="AR546" s="9" t="n">
        <x:v>832</x:v>
      </x:c>
      <x:c r="AS546" s="3" t="s">
        <x:v>121</x:v>
      </x:c>
      <x:c r="AT546" s="7" t="n">
        <x:v>46301.9166666667</x:v>
      </x:c>
    </x:row>
    <x:row r="547" ht="31.299999237060547" hidden="0">
      <x:c r="A547" s="3" t="s">
        <x:v>1086</x:v>
      </x:c>
      <x:c r="B547" s="3" t="s">
        <x:v>205</x:v>
      </x:c>
      <x:c r="C547" s="3" t="s">
        <x:v>206</x:v>
      </x:c>
      <x:c r="D547" s="3" t="s">
        <x:v>207</x:v>
      </x:c>
      <x:c r="E547" s="3" t="s">
        <x:v>249</x:v>
      </x:c>
      <x:c r="F547" s="3" t="s">
        <x:v>127</x:v>
      </x:c>
      <x:c r="G547" s="3" t="s">
        <x:v>498</x:v>
      </x:c>
      <x:c r="H547" s="3" t="s">
        <x:v>101</x:v>
      </x:c>
      <x:c r="I547" s="3" t="s">
        <x:v>102</x:v>
      </x:c>
      <x:c r="J547" s="3" t="s">
        <x:v>103</x:v>
      </x:c>
      <x:c r="K547" s="3" t="s">
        <x:v>104</x:v>
      </x:c>
      <x:c r="L547" s="3" t="s">
        <x:v>209</x:v>
      </x:c>
      <x:c r="M547" s="3" t="s">
        <x:v>210</x:v>
      </x:c>
      <x:c r="N547" s="3" t="s">
        <x:v>211</x:v>
      </x:c>
      <x:c r="O547" s="3" t="s">
        <x:v>212</x:v>
      </x:c>
      <x:c r="P547" s="3" t="s">
        <x:v>213</x:v>
      </x:c>
      <x:c r="Q547" s="3" t="s">
        <x:v>254</x:v>
      </x:c>
      <x:c r="R547" s="3" t="s">
        <x:v>310</x:v>
      </x:c>
      <x:c r="S547" s="3" t="s">
        <x:v>135</x:v>
      </x:c>
      <x:c r="T547" s="3" t="s">
        <x:v>111</x:v>
      </x:c>
      <x:c r="U547" s="3" t="s">
        <x:v>311</x:v>
      </x:c>
      <x:c r="V547" s="3" t="s">
        <x:v>312</x:v>
      </x:c>
      <x:c r="W547" s="3" t="s">
        <x:v>351</x:v>
      </x:c>
      <x:c r="X547" s="3" t="s">
        <x:v>314</x:v>
      </x:c>
      <x:c r="Y547" s="3" t="s">
        <x:v>352</x:v>
      </x:c>
      <x:c r="Z547" s="3" t="s">
        <x:v>316</x:v>
      </x:c>
      <x:c r="AA547" s="3" t="s">
        <x:v>317</x:v>
      </x:c>
      <x:c r="AB547" s="7" t="n">
        <x:v>46287.6701388889</x:v>
      </x:c>
      <x:c r="AC547" s="7" t="n">
        <x:v>46287.6715277778</x:v>
      </x:c>
      <x:c r="AD547" s="7" t="n">
        <x:v>46287.6756944444</x:v>
      </x:c>
      <x:c r="AE547" s="7" t="n">
        <x:v>46287.7</x:v>
      </x:c>
      <x:c r="AF547" s="7" t="n">
        <x:v>46287.7472222222</x:v>
      </x:c>
      <x:c r="AG547" s="3" t="n">
        <x:v>43</x:v>
      </x:c>
      <x:c r="AH547" s="3" t="n">
        <x:v>62</x:v>
      </x:c>
      <x:c r="AI547" s="3" t="s">
        <x:v>135</x:v>
      </x:c>
      <x:c r="AJ547" s="3" t="s">
        <x:v>135</x:v>
      </x:c>
      <x:c r="AK547" s="3" t="n">
        <x:v>180</x:v>
      </x:c>
      <x:c r="AL547" s="3" t="n">
        <x:v>0</x:v>
      </x:c>
      <x:c r="AM547" s="8" t="n">
        <x:v>0.5833</x:v>
      </x:c>
      <x:c r="AN547" s="3" t="n">
        <x:v>5</x:v>
      </x:c>
      <x:c r="AO547" s="3" t="s">
        <x:v>14</x:v>
      </x:c>
      <x:c r="AP547" s="3" t="s">
        <x:v>1015</x:v>
      </x:c>
      <x:c r="AQ547" s="3" t="s">
        <x:v>987</x:v>
      </x:c>
      <x:c r="AR547" s="9" t="n">
        <x:v>1149.9</x:v>
      </x:c>
      <x:c r="AS547" s="3" t="s">
        <x:v>185</x:v>
      </x:c>
      <x:c r="AT547" s="7" t="n">
        <x:v>46301.9166666667</x:v>
      </x:c>
    </x:row>
    <x:row r="548" ht="31.299999237060547" hidden="0">
      <x:c r="A548" s="3" t="s">
        <x:v>1087</x:v>
      </x:c>
      <x:c r="B548" s="3" t="s">
        <x:v>433</x:v>
      </x:c>
      <x:c r="C548" s="3" t="s">
        <x:v>434</x:v>
      </x:c>
      <x:c r="D548" s="3" t="s">
        <x:v>435</x:v>
      </x:c>
      <x:c r="E548" s="3" t="s">
        <x:v>249</x:v>
      </x:c>
      <x:c r="F548" s="3" t="s">
        <x:v>99</x:v>
      </x:c>
      <x:c r="G548" s="3" t="s">
        <x:v>598</x:v>
      </x:c>
      <x:c r="H548" s="3" t="s">
        <x:v>301</x:v>
      </x:c>
      <x:c r="I548" s="3" t="s">
        <x:v>302</x:v>
      </x:c>
      <x:c r="J548" s="3" t="s">
        <x:v>303</x:v>
      </x:c>
      <x:c r="K548" s="3" t="s">
        <x:v>104</x:v>
      </x:c>
      <x:c r="L548" s="3" t="s">
        <x:v>437</x:v>
      </x:c>
      <x:c r="M548" s="3" t="s">
        <x:v>106</x:v>
      </x:c>
      <x:c r="N548" s="3" t="s">
        <x:v>438</x:v>
      </x:c>
      <x:c r="O548" s="3" t="s">
        <x:v>439</x:v>
      </x:c>
      <x:c r="P548" s="3" t="s">
        <x:v>440</x:v>
      </x:c>
      <x:c r="Q548" s="3" t="s">
        <x:v>441</x:v>
      </x:c>
      <x:c r="R548" s="3" t="s">
        <x:v>196</x:v>
      </x:c>
      <x:c r="S548" s="3" t="s">
        <x:v>111</x:v>
      </x:c>
      <x:c r="T548" s="3" t="s">
        <x:v>111</x:v>
      </x:c>
      <x:c r="U548" s="3" t="s">
        <x:v>197</x:v>
      </x:c>
      <x:c r="V548" s="3" t="s">
        <x:v>198</x:v>
      </x:c>
      <x:c r="W548" s="3" t="s">
        <x:v>199</x:v>
      </x:c>
      <x:c r="X548" s="3" t="s">
        <x:v>366</x:v>
      </x:c>
      <x:c r="Y548" s="3" t="s">
        <x:v>527</x:v>
      </x:c>
      <x:c r="Z548" s="3" t="s">
        <x:v>201</x:v>
      </x:c>
      <x:c r="AA548" s="3" t="s">
        <x:v>368</x:v>
      </x:c>
      <x:c r="AB548" s="7" t="n">
        <x:v>46287.6979166667</x:v>
      </x:c>
      <x:c r="AC548" s="7" t="n">
        <x:v>46287.7</x:v>
      </x:c>
      <x:c r="AD548" s="7" t="n">
        <x:v>46287.70625</x:v>
      </x:c>
      <x:c r="AE548" s="7" t="n">
        <x:v>46287.7131944444</x:v>
      </x:c>
      <x:c r="AF548" s="7" t="n">
        <x:v>46287.73125</x:v>
      </x:c>
      <x:c r="AG548" s="3" t="n">
        <x:v>22</x:v>
      </x:c>
      <x:c r="AH548" s="3" t="n">
        <x:v>22</x:v>
      </x:c>
      <x:c r="AI548" s="3" t="s">
        <x:v>135</x:v>
      </x:c>
      <x:c r="AJ548" s="3" t="s">
        <x:v>135</x:v>
      </x:c>
      <x:c r="AK548" s="3" t="n">
        <x:v>120</x:v>
      </x:c>
      <x:c r="AL548" s="3" t="n">
        <x:v>0</x:v>
      </x:c>
      <x:c r="AM548" s="8" t="n">
        <x:v>0.3667</x:v>
      </x:c>
      <x:c r="AN548" s="3" t="n">
        <x:v>1</x:v>
      </x:c>
      <x:c r="AO548" s="3" t="s">
        <x:v>9</x:v>
      </x:c>
      <x:c r="AP548" s="3" t="s">
        <x:v>500</x:v>
      </x:c>
      <x:c r="AQ548" s="3" t="s">
        <x:v>562</x:v>
      </x:c>
      <x:c r="AR548" s="9" t="n">
        <x:v>517.4</x:v>
      </x:c>
      <x:c r="AS548" s="3" t="s">
        <x:v>121</x:v>
      </x:c>
      <x:c r="AT548" s="7" t="n">
        <x:v>46301.9166666667</x:v>
      </x:c>
    </x:row>
    <x:row r="549" ht="31.299999237060547" hidden="0">
      <x:c r="A549" s="3" t="s">
        <x:v>1088</x:v>
      </x:c>
      <x:c r="B549" s="3" t="s">
        <x:v>83</x:v>
      </x:c>
      <x:c r="C549" s="3" t="s">
        <x:v>96</x:v>
      </x:c>
      <x:c r="D549" s="3" t="s">
        <x:v>97</x:v>
      </x:c>
      <x:c r="E549" s="3" t="s">
        <x:v>249</x:v>
      </x:c>
      <x:c r="F549" s="3" t="s">
        <x:v>169</x:v>
      </x:c>
      <x:c r="G549" s="3" t="s">
        <x:v>449</x:v>
      </x:c>
      <x:c r="H549" s="3" t="s">
        <x:v>343</x:v>
      </x:c>
      <x:c r="I549" s="3" t="s">
        <x:v>102</x:v>
      </x:c>
      <x:c r="J549" s="3" t="s">
        <x:v>103</x:v>
      </x:c>
      <x:c r="K549" s="3" t="s">
        <x:v>104</x:v>
      </x:c>
      <x:c r="L549" s="3" t="s">
        <x:v>105</x:v>
      </x:c>
      <x:c r="M549" s="3" t="s">
        <x:v>106</x:v>
      </x:c>
      <x:c r="N549" s="3" t="s">
        <x:v>107</x:v>
      </x:c>
      <x:c r="O549" s="3" t="s">
        <x:v>108</x:v>
      </x:c>
      <x:c r="P549" s="3" t="s">
        <x:v>109</x:v>
      </x:c>
      <x:c r="Q549" s="3" t="s">
        <x:v>250</x:v>
      </x:c>
      <x:c r="R549" s="3" t="s">
        <x:v>156</x:v>
      </x:c>
      <x:c r="S549" s="3" t="s">
        <x:v>135</x:v>
      </x:c>
      <x:c r="T549" s="3" t="s">
        <x:v>111</x:v>
      </x:c>
      <x:c r="U549" s="3" t="s">
        <x:v>157</x:v>
      </x:c>
      <x:c r="V549" s="3" t="s">
        <x:v>158</x:v>
      </x:c>
      <x:c r="W549" s="3" t="s">
        <x:v>159</x:v>
      </x:c>
      <x:c r="X549" s="3" t="s">
        <x:v>160</x:v>
      </x:c>
      <x:c r="Y549" s="3" t="s">
        <x:v>360</x:v>
      </x:c>
      <x:c r="Z549" s="3" t="s">
        <x:v>162</x:v>
      </x:c>
      <x:c r="AA549" s="3" t="s">
        <x:v>118</x:v>
      </x:c>
      <x:c r="AB549" s="7" t="n">
        <x:v>46288.3965277778</x:v>
      </x:c>
      <x:c r="AC549" s="7" t="n">
        <x:v>46288.4006944444</x:v>
      </x:c>
      <x:c r="AD549" s="7" t="n">
        <x:v>46288.4034722222</x:v>
      </x:c>
      <x:c r="AE549" s="7" t="n">
        <x:v>46288.4131944444</x:v>
      </x:c>
      <x:c r="AF549" s="7" t="n">
        <x:v>46288.4416666667</x:v>
      </x:c>
      <x:c r="AG549" s="3" t="n">
        <x:v>24</x:v>
      </x:c>
      <x:c r="AH549" s="3" t="n">
        <x:v>36</x:v>
      </x:c>
      <x:c r="AI549" s="3" t="s">
        <x:v>111</x:v>
      </x:c>
      <x:c r="AJ549" s="3" t="s">
        <x:v>111</x:v>
      </x:c>
      <x:c r="AK549" s="3" t="n">
        <x:v>60</x:v>
      </x:c>
      <x:c r="AL549" s="3" t="n">
        <x:v>0</x:v>
      </x:c>
      <x:c r="AM549" s="8" t="n">
        <x:v>1</x:v>
      </x:c>
      <x:c r="AN549" s="3" t="n">
        <x:v>0</x:v>
      </x:c>
      <x:c r="AO549" s="3" t="s">
        <x:v>24</x:v>
      </x:c>
      <x:c r="AP549" s="3" t="s">
        <x:v>421</x:v>
      </x:c>
      <x:c r="AQ549" s="3" t="s">
        <x:v>422</x:v>
      </x:c>
      <x:c r="AR549" s="9" t="n">
        <x:v>947.2</x:v>
      </x:c>
      <x:c r="AS549" s="3" t="s">
        <x:v>185</x:v>
      </x:c>
      <x:c r="AT549" s="7" t="n">
        <x:v>46301.9166666667</x:v>
      </x:c>
    </x:row>
    <x:row r="550" ht="31.299999237060547" hidden="0">
      <x:c r="A550" s="3" t="s">
        <x:v>1089</x:v>
      </x:c>
      <x:c r="B550" s="3" t="s">
        <x:v>83</x:v>
      </x:c>
      <x:c r="C550" s="3" t="s">
        <x:v>96</x:v>
      </x:c>
      <x:c r="D550" s="3" t="s">
        <x:v>97</x:v>
      </x:c>
      <x:c r="E550" s="3" t="s">
        <x:v>249</x:v>
      </x:c>
      <x:c r="F550" s="3" t="s">
        <x:v>169</x:v>
      </x:c>
      <x:c r="G550" s="3" t="s">
        <x:v>486</x:v>
      </x:c>
      <x:c r="H550" s="3" t="s">
        <x:v>101</x:v>
      </x:c>
      <x:c r="I550" s="3" t="s">
        <x:v>102</x:v>
      </x:c>
      <x:c r="J550" s="3" t="s">
        <x:v>103</x:v>
      </x:c>
      <x:c r="K550" s="3" t="s">
        <x:v>104</x:v>
      </x:c>
      <x:c r="L550" s="3" t="s">
        <x:v>105</x:v>
      </x:c>
      <x:c r="M550" s="3" t="s">
        <x:v>106</x:v>
      </x:c>
      <x:c r="N550" s="3" t="s">
        <x:v>107</x:v>
      </x:c>
      <x:c r="O550" s="3" t="s">
        <x:v>108</x:v>
      </x:c>
      <x:c r="P550" s="3" t="s">
        <x:v>109</x:v>
      </x:c>
      <x:c r="Q550" s="3" t="s">
        <x:v>250</x:v>
      </x:c>
      <x:c r="R550" s="3" t="s">
        <x:v>176</x:v>
      </x:c>
      <x:c r="S550" s="3" t="s">
        <x:v>135</x:v>
      </x:c>
      <x:c r="T550" s="3" t="s">
        <x:v>135</x:v>
      </x:c>
      <x:c r="U550" s="3" t="s">
        <x:v>177</x:v>
      </x:c>
      <x:c r="V550" s="3" t="s">
        <x:v>178</x:v>
      </x:c>
      <x:c r="W550" s="3" t="s">
        <x:v>355</x:v>
      </x:c>
      <x:c r="X550" s="3" t="s">
        <x:v>180</x:v>
      </x:c>
      <x:c r="Y550" s="3" t="s">
        <x:v>356</x:v>
      </x:c>
      <x:c r="Z550" s="3" t="s">
        <x:v>182</x:v>
      </x:c>
      <x:c r="AA550" s="3" t="s">
        <x:v>118</x:v>
      </x:c>
      <x:c r="AB550" s="7" t="n">
        <x:v>46288.41875</x:v>
      </x:c>
      <x:c r="AC550" s="7" t="n">
        <x:v>46288.4222222222</x:v>
      </x:c>
      <x:c r="AD550" s="7" t="n">
        <x:v>46288.4263888889</x:v>
      </x:c>
      <x:c r="AE550" s="7" t="n">
        <x:v>46288.4340277778</x:v>
      </x:c>
      <x:c r="AF550" s="7" t="n">
        <x:v>46288.45625</x:v>
      </x:c>
      <x:c r="AG550" s="3" t="n">
        <x:v>22</x:v>
      </x:c>
      <x:c r="AH550" s="3" t="n">
        <x:v>28</x:v>
      </x:c>
      <x:c r="AI550" s="3" t="s">
        <x:v>111</x:v>
      </x:c>
      <x:c r="AJ550" s="3" t="s">
        <x:v>111</x:v>
      </x:c>
      <x:c r="AK550" s="3" t="n">
        <x:v>60</x:v>
      </x:c>
      <x:c r="AL550" s="3" t="n">
        <x:v>0</x:v>
      </x:c>
      <x:c r="AM550" s="8" t="n">
        <x:v>0.8333</x:v>
      </x:c>
      <x:c r="AN550" s="3" t="n">
        <x:v>3</x:v>
      </x:c>
      <x:c r="AO550" s="3" t="s">
        <x:v>19</x:v>
      </x:c>
      <x:c r="AP550" s="3" t="s">
        <x:v>932</x:v>
      </x:c>
      <x:c r="AQ550" s="3" t="s">
        <x:v>1090</x:v>
      </x:c>
      <x:c r="AR550" s="9" t="n">
        <x:v>1130.6</x:v>
      </x:c>
      <x:c r="AS550" s="3" t="s">
        <x:v>185</x:v>
      </x:c>
      <x:c r="AT550" s="7" t="n">
        <x:v>46301.9166666667</x:v>
      </x:c>
    </x:row>
    <x:row r="551" ht="31.299999237060547" hidden="0">
      <x:c r="A551" s="3" t="s">
        <x:v>1091</x:v>
      </x:c>
      <x:c r="B551" s="3" t="s">
        <x:v>297</x:v>
      </x:c>
      <x:c r="C551" s="3" t="s">
        <x:v>298</x:v>
      </x:c>
      <x:c r="D551" s="3" t="s">
        <x:v>299</x:v>
      </x:c>
      <x:c r="E551" s="3" t="s">
        <x:v>249</x:v>
      </x:c>
      <x:c r="F551" s="3" t="s">
        <x:v>149</x:v>
      </x:c>
      <x:c r="G551" s="3" t="s">
        <x:v>324</x:v>
      </x:c>
      <x:c r="H551" s="3" t="s">
        <x:v>301</x:v>
      </x:c>
      <x:c r="I551" s="3" t="s">
        <x:v>302</x:v>
      </x:c>
      <x:c r="J551" s="3" t="s">
        <x:v>303</x:v>
      </x:c>
      <x:c r="K551" s="3" t="s">
        <x:v>104</x:v>
      </x:c>
      <x:c r="L551" s="3" t="s">
        <x:v>304</x:v>
      </x:c>
      <x:c r="M551" s="3" t="s">
        <x:v>305</x:v>
      </x:c>
      <x:c r="N551" s="3" t="s">
        <x:v>306</x:v>
      </x:c>
      <x:c r="O551" s="3" t="s">
        <x:v>307</x:v>
      </x:c>
      <x:c r="P551" s="3" t="s">
        <x:v>308</x:v>
      </x:c>
      <x:c r="Q551" s="3" t="s">
        <x:v>309</x:v>
      </x:c>
      <x:c r="R551" s="3" t="s">
        <x:v>330</x:v>
      </x:c>
      <x:c r="S551" s="3" t="s">
        <x:v>135</x:v>
      </x:c>
      <x:c r="T551" s="3" t="s">
        <x:v>111</x:v>
      </x:c>
      <x:c r="U551" s="3" t="s">
        <x:v>331</x:v>
      </x:c>
      <x:c r="V551" s="3" t="s">
        <x:v>178</x:v>
      </x:c>
      <x:c r="W551" s="3" t="s">
        <x:v>179</x:v>
      </x:c>
      <x:c r="X551" s="3" t="s">
        <x:v>180</x:v>
      </x:c>
      <x:c r="Y551" s="3" t="s">
        <x:v>414</x:v>
      </x:c>
      <x:c r="Z551" s="3" t="s">
        <x:v>334</x:v>
      </x:c>
      <x:c r="AA551" s="3" t="s">
        <x:v>118</x:v>
      </x:c>
      <x:c r="AB551" s="7" t="n">
        <x:v>46288.425</x:v>
      </x:c>
      <x:c r="AC551" s="7" t="n">
        <x:v>46288.4298611111</x:v>
      </x:c>
      <x:c r="AD551" s="7" t="n">
        <x:v>46288.4354166667</x:v>
      </x:c>
      <x:c r="AE551" s="7" t="n">
        <x:v>46288.4444444444</x:v>
      </x:c>
      <x:c r="AF551" s="7" t="n">
        <x:v>46288.5125</x:v>
      </x:c>
      <x:c r="AG551" s="3" t="n">
        <x:v>28</x:v>
      </x:c>
      <x:c r="AH551" s="3" t="n">
        <x:v>89</x:v>
      </x:c>
      <x:c r="AI551" s="3" t="s">
        <x:v>135</x:v>
      </x:c>
      <x:c r="AJ551" s="3" t="s">
        <x:v>111</x:v>
      </x:c>
      <x:c r="AK551" s="3" t="n">
        <x:v>180</x:v>
      </x:c>
      <x:c r="AL551" s="3" t="n">
        <x:v>0</x:v>
      </x:c>
      <x:c r="AM551" s="8" t="n">
        <x:v>0.65</x:v>
      </x:c>
      <x:c r="AN551" s="3" t="n">
        <x:v>4</x:v>
      </x:c>
      <x:c r="AO551" s="3" t="s">
        <x:v>14</x:v>
      </x:c>
      <x:c r="AP551" s="3" t="s">
        <x:v>1092</x:v>
      </x:c>
      <x:c r="AQ551" s="3" t="s">
        <x:v>981</x:v>
      </x:c>
      <x:c r="AR551" s="9" t="n">
        <x:v>1656.8</x:v>
      </x:c>
      <x:c r="AS551" s="3" t="s">
        <x:v>185</x:v>
      </x:c>
      <x:c r="AT551" s="7" t="n">
        <x:v>46301.9166666667</x:v>
      </x:c>
    </x:row>
    <x:row r="552" ht="31.299999237060547" hidden="0">
      <x:c r="A552" s="3" t="s">
        <x:v>1093</x:v>
      </x:c>
      <x:c r="B552" s="3" t="s">
        <x:v>123</x:v>
      </x:c>
      <x:c r="C552" s="3" t="s">
        <x:v>124</x:v>
      </x:c>
      <x:c r="D552" s="3" t="s">
        <x:v>125</x:v>
      </x:c>
      <x:c r="E552" s="3" t="s">
        <x:v>249</x:v>
      </x:c>
      <x:c r="F552" s="3" t="s">
        <x:v>127</x:v>
      </x:c>
      <x:c r="G552" s="3" t="s">
        <x:v>377</x:v>
      </x:c>
      <x:c r="H552" s="3" t="s">
        <x:v>343</x:v>
      </x:c>
      <x:c r="I552" s="3" t="s">
        <x:v>102</x:v>
      </x:c>
      <x:c r="J552" s="3" t="s">
        <x:v>103</x:v>
      </x:c>
      <x:c r="K552" s="3" t="s">
        <x:v>104</x:v>
      </x:c>
      <x:c r="L552" s="3" t="s">
        <x:v>129</x:v>
      </x:c>
      <x:c r="M552" s="3" t="s">
        <x:v>130</x:v>
      </x:c>
      <x:c r="N552" s="3" t="s">
        <x:v>131</x:v>
      </x:c>
      <x:c r="O552" s="3" t="s">
        <x:v>132</x:v>
      </x:c>
      <x:c r="P552" s="3" t="s">
        <x:v>133</x:v>
      </x:c>
      <x:c r="Q552" s="3" t="s">
        <x:v>268</x:v>
      </x:c>
      <x:c r="R552" s="3" t="s">
        <x:v>330</x:v>
      </x:c>
      <x:c r="S552" s="3" t="s">
        <x:v>135</x:v>
      </x:c>
      <x:c r="T552" s="3" t="s">
        <x:v>111</x:v>
      </x:c>
      <x:c r="U552" s="3" t="s">
        <x:v>331</x:v>
      </x:c>
      <x:c r="V552" s="3" t="s">
        <x:v>178</x:v>
      </x:c>
      <x:c r="W552" s="3" t="s">
        <x:v>355</x:v>
      </x:c>
      <x:c r="X552" s="3" t="s">
        <x:v>180</x:v>
      </x:c>
      <x:c r="Y552" s="3" t="s">
        <x:v>356</x:v>
      </x:c>
      <x:c r="Z552" s="3" t="s">
        <x:v>334</x:v>
      </x:c>
      <x:c r="AA552" s="3" t="s">
        <x:v>118</x:v>
      </x:c>
      <x:c r="AB552" s="7" t="n">
        <x:v>46288.4597222222</x:v>
      </x:c>
      <x:c r="AC552" s="7" t="n">
        <x:v>46288.4625</x:v>
      </x:c>
      <x:c r="AD552" s="7" t="n">
        <x:v>46288.4666666667</x:v>
      </x:c>
      <x:c r="AE552" s="7" t="n">
        <x:v>46288.4798611111</x:v>
      </x:c>
      <x:c r="AF552" s="7" t="n">
        <x:v>46288.5111111111</x:v>
      </x:c>
      <x:c r="AG552" s="3" t="n">
        <x:v>29</x:v>
      </x:c>
      <x:c r="AH552" s="3" t="n">
        <x:v>42</x:v>
      </x:c>
      <x:c r="AI552" s="3" t="s">
        <x:v>135</x:v>
      </x:c>
      <x:c r="AJ552" s="3" t="s">
        <x:v>135</x:v>
      </x:c>
      <x:c r="AK552" s="3" t="n">
        <x:v>180</x:v>
      </x:c>
      <x:c r="AL552" s="3" t="n">
        <x:v>0</x:v>
      </x:c>
      <x:c r="AM552" s="8" t="n">
        <x:v>0.3944</x:v>
      </x:c>
      <x:c r="AN552" s="3" t="n">
        <x:v>0</x:v>
      </x:c>
      <x:c r="AO552" s="3" t="s">
        <x:v>9</x:v>
      </x:c>
      <x:c r="AP552" s="3" t="s">
        <x:v>142</x:v>
      </x:c>
      <x:c r="AQ552" s="3" t="s">
        <x:v>357</x:v>
      </x:c>
      <x:c r="AR552" s="9" t="n">
        <x:v>692.9</x:v>
      </x:c>
      <x:c r="AS552" s="3" t="s">
        <x:v>121</x:v>
      </x:c>
      <x:c r="AT552" s="7" t="n">
        <x:v>46301.9166666667</x:v>
      </x:c>
    </x:row>
    <x:row r="553" ht="31.299999237060547" hidden="0">
      <x:c r="A553" s="3" t="s">
        <x:v>1094</x:v>
      </x:c>
      <x:c r="B553" s="3" t="s">
        <x:v>222</x:v>
      </x:c>
      <x:c r="C553" s="3" t="s">
        <x:v>223</x:v>
      </x:c>
      <x:c r="D553" s="3" t="s">
        <x:v>224</x:v>
      </x:c>
      <x:c r="E553" s="3" t="s">
        <x:v>249</x:v>
      </x:c>
      <x:c r="F553" s="3" t="s">
        <x:v>99</x:v>
      </x:c>
      <x:c r="G553" s="3" t="s">
        <x:v>535</x:v>
      </x:c>
      <x:c r="H553" s="3" t="s">
        <x:v>101</x:v>
      </x:c>
      <x:c r="I553" s="3" t="s">
        <x:v>102</x:v>
      </x:c>
      <x:c r="J553" s="3" t="s">
        <x:v>103</x:v>
      </x:c>
      <x:c r="K553" s="3" t="s">
        <x:v>104</x:v>
      </x:c>
      <x:c r="L553" s="3" t="s">
        <x:v>226</x:v>
      </x:c>
      <x:c r="M553" s="3" t="s">
        <x:v>227</x:v>
      </x:c>
      <x:c r="N553" s="3" t="s">
        <x:v>228</x:v>
      </x:c>
      <x:c r="O553" s="3" t="s">
        <x:v>229</x:v>
      </x:c>
      <x:c r="P553" s="3" t="s">
        <x:v>230</x:v>
      </x:c>
      <x:c r="Q553" s="3" t="s">
        <x:v>274</x:v>
      </x:c>
      <x:c r="R553" s="3" t="s">
        <x:v>176</x:v>
      </x:c>
      <x:c r="S553" s="3" t="s">
        <x:v>135</x:v>
      </x:c>
      <x:c r="T553" s="3" t="s">
        <x:v>135</x:v>
      </x:c>
      <x:c r="U553" s="3" t="s">
        <x:v>177</x:v>
      </x:c>
      <x:c r="V553" s="3" t="s">
        <x:v>178</x:v>
      </x:c>
      <x:c r="W553" s="3" t="s">
        <x:v>332</x:v>
      </x:c>
      <x:c r="X553" s="3" t="s">
        <x:v>180</x:v>
      </x:c>
      <x:c r="Y553" s="3" t="s">
        <x:v>333</x:v>
      </x:c>
      <x:c r="Z553" s="3" t="s">
        <x:v>182</x:v>
      </x:c>
      <x:c r="AA553" s="3" t="s">
        <x:v>118</x:v>
      </x:c>
      <x:c r="AB553" s="7" t="n">
        <x:v>46288.4618055556</x:v>
      </x:c>
      <x:c r="AC553" s="7" t="n">
        <x:v>46288.4659722222</x:v>
      </x:c>
      <x:c r="AD553" s="7" t="n">
        <x:v>46288.4694444445</x:v>
      </x:c>
      <x:c r="AE553" s="7" t="n">
        <x:v>46288.4979166667</x:v>
      </x:c>
      <x:c r="AF553" s="7" t="n">
        <x:v>46288.53125</x:v>
      </x:c>
      <x:c r="AG553" s="3" t="n">
        <x:v>52</x:v>
      </x:c>
      <x:c r="AH553" s="3" t="n">
        <x:v>39</x:v>
      </x:c>
      <x:c r="AI553" s="3" t="s">
        <x:v>135</x:v>
      </x:c>
      <x:c r="AJ553" s="3" t="s">
        <x:v>135</x:v>
      </x:c>
      <x:c r="AK553" s="3" t="n">
        <x:v>180</x:v>
      </x:c>
      <x:c r="AL553" s="3" t="n">
        <x:v>0</x:v>
      </x:c>
      <x:c r="AM553" s="8" t="n">
        <x:v>0.5056</x:v>
      </x:c>
      <x:c r="AN553" s="3" t="n">
        <x:v>0</x:v>
      </x:c>
      <x:c r="AO553" s="3" t="s">
        <x:v>9</x:v>
      </x:c>
      <x:c r="AP553" s="3" t="s">
        <x:v>142</x:v>
      </x:c>
      <x:c r="AQ553" s="3" t="s">
        <x:v>370</x:v>
      </x:c>
      <x:c r="AR553" s="9" t="n">
        <x:v>774.8</x:v>
      </x:c>
      <x:c r="AS553" s="3" t="s">
        <x:v>185</x:v>
      </x:c>
      <x:c r="AT553" s="7" t="n">
        <x:v>46301.9166666667</x:v>
      </x:c>
    </x:row>
    <x:row r="554" ht="31.299999237060547" hidden="0">
      <x:c r="A554" s="3" t="s">
        <x:v>1095</x:v>
      </x:c>
      <x:c r="B554" s="3" t="s">
        <x:v>83</x:v>
      </x:c>
      <x:c r="C554" s="3" t="s">
        <x:v>96</x:v>
      </x:c>
      <x:c r="D554" s="3" t="s">
        <x:v>97</x:v>
      </x:c>
      <x:c r="E554" s="3" t="s">
        <x:v>249</x:v>
      </x:c>
      <x:c r="F554" s="3" t="s">
        <x:v>169</x:v>
      </x:c>
      <x:c r="G554" s="3" t="s">
        <x:v>726</x:v>
      </x:c>
      <x:c r="H554" s="3" t="s">
        <x:v>343</x:v>
      </x:c>
      <x:c r="I554" s="3" t="s">
        <x:v>102</x:v>
      </x:c>
      <x:c r="J554" s="3" t="s">
        <x:v>103</x:v>
      </x:c>
      <x:c r="K554" s="3" t="s">
        <x:v>104</x:v>
      </x:c>
      <x:c r="L554" s="3" t="s">
        <x:v>105</x:v>
      </x:c>
      <x:c r="M554" s="3" t="s">
        <x:v>106</x:v>
      </x:c>
      <x:c r="N554" s="3" t="s">
        <x:v>107</x:v>
      </x:c>
      <x:c r="O554" s="3" t="s">
        <x:v>108</x:v>
      </x:c>
      <x:c r="P554" s="3" t="s">
        <x:v>109</x:v>
      </x:c>
      <x:c r="Q554" s="3" t="s">
        <x:v>250</x:v>
      </x:c>
      <x:c r="R554" s="3" t="s">
        <x:v>110</x:v>
      </x:c>
      <x:c r="S554" s="3" t="s">
        <x:v>111</x:v>
      </x:c>
      <x:c r="T554" s="3" t="s">
        <x:v>111</x:v>
      </x:c>
      <x:c r="U554" s="3" t="s">
        <x:v>112</x:v>
      </x:c>
      <x:c r="V554" s="3" t="s">
        <x:v>113</x:v>
      </x:c>
      <x:c r="W554" s="3" t="s">
        <x:v>419</x:v>
      </x:c>
      <x:c r="X554" s="3" t="s">
        <x:v>115</x:v>
      </x:c>
      <x:c r="Y554" s="3" t="s">
        <x:v>420</x:v>
      </x:c>
      <x:c r="Z554" s="3" t="s">
        <x:v>117</x:v>
      </x:c>
      <x:c r="AA554" s="3" t="s">
        <x:v>118</x:v>
      </x:c>
      <x:c r="AB554" s="7" t="n">
        <x:v>46288.5048611111</x:v>
      </x:c>
      <x:c r="AC554" s="7" t="n">
        <x:v>46288.5076388889</x:v>
      </x:c>
      <x:c r="AD554" s="7" t="n">
        <x:v>46288.5104166667</x:v>
      </x:c>
      <x:c r="AE554" s="7" t="n">
        <x:v>46288.5319444445</x:v>
      </x:c>
      <x:c r="AF554" s="7" t="n">
        <x:v>46288.5555555556</x:v>
      </x:c>
      <x:c r="AG554" s="3" t="n">
        <x:v>39</x:v>
      </x:c>
      <x:c r="AH554" s="3" t="n">
        <x:v>29</x:v>
      </x:c>
      <x:c r="AI554" s="3" t="s">
        <x:v>111</x:v>
      </x:c>
      <x:c r="AJ554" s="3" t="s">
        <x:v>111</x:v>
      </x:c>
      <x:c r="AK554" s="3" t="n">
        <x:v>60</x:v>
      </x:c>
      <x:c r="AL554" s="3" t="n">
        <x:v>0</x:v>
      </x:c>
      <x:c r="AM554" s="8" t="n">
        <x:v>1.1333</x:v>
      </x:c>
      <x:c r="AN554" s="3" t="n">
        <x:v>1</x:v>
      </x:c>
      <x:c r="AO554" s="3" t="s">
        <x:v>24</x:v>
      </x:c>
      <x:c r="AP554" s="3" t="s">
        <x:v>561</x:v>
      </x:c>
      <x:c r="AQ554" s="3" t="s">
        <x:v>562</x:v>
      </x:c>
      <x:c r="AR554" s="9" t="n">
        <x:v>964.3</x:v>
      </x:c>
      <x:c r="AS554" s="3" t="s">
        <x:v>185</x:v>
      </x:c>
      <x:c r="AT554" s="7" t="n">
        <x:v>46301.9166666667</x:v>
      </x:c>
    </x:row>
    <x:row r="555" ht="31.299999237060547" hidden="0">
      <x:c r="A555" s="3" t="s">
        <x:v>1096</x:v>
      </x:c>
      <x:c r="B555" s="3" t="s">
        <x:v>123</x:v>
      </x:c>
      <x:c r="C555" s="3" t="s">
        <x:v>124</x:v>
      </x:c>
      <x:c r="D555" s="3" t="s">
        <x:v>125</x:v>
      </x:c>
      <x:c r="E555" s="3" t="s">
        <x:v>249</x:v>
      </x:c>
      <x:c r="F555" s="3" t="s">
        <x:v>149</x:v>
      </x:c>
      <x:c r="G555" s="3" t="s">
        <x:v>364</x:v>
      </x:c>
      <x:c r="H555" s="3" t="s">
        <x:v>339</x:v>
      </x:c>
      <x:c r="I555" s="3" t="s">
        <x:v>102</x:v>
      </x:c>
      <x:c r="J555" s="3" t="s">
        <x:v>103</x:v>
      </x:c>
      <x:c r="K555" s="3" t="s">
        <x:v>104</x:v>
      </x:c>
      <x:c r="L555" s="3" t="s">
        <x:v>129</x:v>
      </x:c>
      <x:c r="M555" s="3" t="s">
        <x:v>130</x:v>
      </x:c>
      <x:c r="N555" s="3" t="s">
        <x:v>131</x:v>
      </x:c>
      <x:c r="O555" s="3" t="s">
        <x:v>132</x:v>
      </x:c>
      <x:c r="P555" s="3" t="s">
        <x:v>133</x:v>
      </x:c>
      <x:c r="Q555" s="3" t="s">
        <x:v>268</x:v>
      </x:c>
      <x:c r="R555" s="3" t="s">
        <x:v>196</x:v>
      </x:c>
      <x:c r="S555" s="3" t="s">
        <x:v>111</x:v>
      </x:c>
      <x:c r="T555" s="3" t="s">
        <x:v>111</x:v>
      </x:c>
      <x:c r="U555" s="3" t="s">
        <x:v>197</x:v>
      </x:c>
      <x:c r="V555" s="3" t="s">
        <x:v>198</x:v>
      </x:c>
      <x:c r="W555" s="3" t="s">
        <x:v>199</x:v>
      </x:c>
      <x:c r="X555" s="3" t="s">
        <x:v>366</x:v>
      </x:c>
      <x:c r="Y555" s="3" t="s">
        <x:v>527</x:v>
      </x:c>
      <x:c r="Z555" s="3" t="s">
        <x:v>201</x:v>
      </x:c>
      <x:c r="AA555" s="3" t="s">
        <x:v>368</x:v>
      </x:c>
      <x:c r="AB555" s="7" t="n">
        <x:v>46288.5409722222</x:v>
      </x:c>
      <x:c r="AC555" s="7" t="n">
        <x:v>46288.54375</x:v>
      </x:c>
      <x:c r="AD555" s="7" t="n">
        <x:v>46288.5451388889</x:v>
      </x:c>
      <x:c r="AE555" s="7" t="n">
        <x:v>46288.5604166667</x:v>
      </x:c>
      <x:c r="AF555" s="7" t="n">
        <x:v>46288.5930555556</x:v>
      </x:c>
      <x:c r="AG555" s="3" t="n">
        <x:v>28</x:v>
      </x:c>
      <x:c r="AH555" s="3" t="n">
        <x:v>43</x:v>
      </x:c>
      <x:c r="AI555" s="3" t="s">
        <x:v>135</x:v>
      </x:c>
      <x:c r="AJ555" s="3" t="s">
        <x:v>135</x:v>
      </x:c>
      <x:c r="AK555" s="3" t="n">
        <x:v>120</x:v>
      </x:c>
      <x:c r="AL555" s="3" t="n">
        <x:v>0</x:v>
      </x:c>
      <x:c r="AM555" s="8" t="n">
        <x:v>0.5917</x:v>
      </x:c>
      <x:c r="AN555" s="3" t="n">
        <x:v>2</x:v>
      </x:c>
      <x:c r="AO555" s="3" t="s">
        <x:v>14</x:v>
      </x:c>
      <x:c r="AP555" s="3" t="s">
        <x:v>573</x:v>
      </x:c>
      <x:c r="AQ555" s="3" t="s">
        <x:v>472</x:v>
      </x:c>
      <x:c r="AR555" s="9" t="n">
        <x:v>695.6</x:v>
      </x:c>
      <x:c r="AS555" s="3" t="s">
        <x:v>185</x:v>
      </x:c>
      <x:c r="AT555" s="7" t="n">
        <x:v>46301.9166666667</x:v>
      </x:c>
    </x:row>
    <x:row r="556" ht="31.299999237060547" hidden="0">
      <x:c r="A556" s="3" t="s">
        <x:v>1097</x:v>
      </x:c>
      <x:c r="B556" s="3" t="s">
        <x:v>222</x:v>
      </x:c>
      <x:c r="C556" s="3" t="s">
        <x:v>223</x:v>
      </x:c>
      <x:c r="D556" s="3" t="s">
        <x:v>224</x:v>
      </x:c>
      <x:c r="E556" s="3" t="s">
        <x:v>249</x:v>
      </x:c>
      <x:c r="F556" s="3" t="s">
        <x:v>99</x:v>
      </x:c>
      <x:c r="G556" s="3" t="s">
        <x:v>354</x:v>
      </x:c>
      <x:c r="H556" s="3" t="s">
        <x:v>101</x:v>
      </x:c>
      <x:c r="I556" s="3" t="s">
        <x:v>102</x:v>
      </x:c>
      <x:c r="J556" s="3" t="s">
        <x:v>103</x:v>
      </x:c>
      <x:c r="K556" s="3" t="s">
        <x:v>104</x:v>
      </x:c>
      <x:c r="L556" s="3" t="s">
        <x:v>226</x:v>
      </x:c>
      <x:c r="M556" s="3" t="s">
        <x:v>227</x:v>
      </x:c>
      <x:c r="N556" s="3" t="s">
        <x:v>228</x:v>
      </x:c>
      <x:c r="O556" s="3" t="s">
        <x:v>229</x:v>
      </x:c>
      <x:c r="P556" s="3" t="s">
        <x:v>230</x:v>
      </x:c>
      <x:c r="Q556" s="3" t="s">
        <x:v>274</x:v>
      </x:c>
      <x:c r="R556" s="3" t="s">
        <x:v>176</x:v>
      </x:c>
      <x:c r="S556" s="3" t="s">
        <x:v>135</x:v>
      </x:c>
      <x:c r="T556" s="3" t="s">
        <x:v>135</x:v>
      </x:c>
      <x:c r="U556" s="3" t="s">
        <x:v>177</x:v>
      </x:c>
      <x:c r="V556" s="3" t="s">
        <x:v>178</x:v>
      </x:c>
      <x:c r="W556" s="3" t="s">
        <x:v>355</x:v>
      </x:c>
      <x:c r="X556" s="3" t="s">
        <x:v>180</x:v>
      </x:c>
      <x:c r="Y556" s="3" t="s">
        <x:v>356</x:v>
      </x:c>
      <x:c r="Z556" s="3" t="s">
        <x:v>182</x:v>
      </x:c>
      <x:c r="AA556" s="3" t="s">
        <x:v>118</x:v>
      </x:c>
      <x:c r="AB556" s="7" t="n">
        <x:v>46288.5958333333</x:v>
      </x:c>
      <x:c r="AC556" s="7" t="n">
        <x:v>46288.5986111111</x:v>
      </x:c>
      <x:c r="AD556" s="7" t="n">
        <x:v>46288.6013888889</x:v>
      </x:c>
      <x:c r="AE556" s="7" t="n">
        <x:v>46288.6277777778</x:v>
      </x:c>
      <x:c r="AF556" s="7" t="n">
        <x:v>46288.6569444445</x:v>
      </x:c>
      <x:c r="AG556" s="3" t="n">
        <x:v>46</x:v>
      </x:c>
      <x:c r="AH556" s="3" t="n">
        <x:v>32</x:v>
      </x:c>
      <x:c r="AI556" s="3" t="s">
        <x:v>135</x:v>
      </x:c>
      <x:c r="AJ556" s="3" t="s">
        <x:v>135</x:v>
      </x:c>
      <x:c r="AK556" s="3" t="n">
        <x:v>180</x:v>
      </x:c>
      <x:c r="AL556" s="3" t="n">
        <x:v>0</x:v>
      </x:c>
      <x:c r="AM556" s="8" t="n">
        <x:v>0.4333</x:v>
      </x:c>
      <x:c r="AN556" s="3" t="n">
        <x:v>3</x:v>
      </x:c>
      <x:c r="AO556" s="3" t="s">
        <x:v>14</x:v>
      </x:c>
      <x:c r="AP556" s="3" t="s">
        <x:v>183</x:v>
      </x:c>
      <x:c r="AQ556" s="3" t="s">
        <x:v>1098</x:v>
      </x:c>
      <x:c r="AR556" s="9" t="n">
        <x:v>947.4</x:v>
      </x:c>
      <x:c r="AS556" s="3" t="s">
        <x:v>185</x:v>
      </x:c>
      <x:c r="AT556" s="7" t="n">
        <x:v>46301.9166666667</x:v>
      </x:c>
    </x:row>
    <x:row r="557" ht="31.299999237060547" hidden="0">
      <x:c r="A557" s="3" t="s">
        <x:v>1099</x:v>
      </x:c>
      <x:c r="B557" s="3" t="s">
        <x:v>433</x:v>
      </x:c>
      <x:c r="C557" s="3" t="s">
        <x:v>434</x:v>
      </x:c>
      <x:c r="D557" s="3" t="s">
        <x:v>435</x:v>
      </x:c>
      <x:c r="E557" s="3" t="s">
        <x:v>249</x:v>
      </x:c>
      <x:c r="F557" s="3" t="s">
        <x:v>149</x:v>
      </x:c>
      <x:c r="G557" s="3" t="s">
        <x:v>544</x:v>
      </x:c>
      <x:c r="H557" s="3" t="s">
        <x:v>301</x:v>
      </x:c>
      <x:c r="I557" s="3" t="s">
        <x:v>302</x:v>
      </x:c>
      <x:c r="J557" s="3" t="s">
        <x:v>303</x:v>
      </x:c>
      <x:c r="K557" s="3" t="s">
        <x:v>104</x:v>
      </x:c>
      <x:c r="L557" s="3" t="s">
        <x:v>437</x:v>
      </x:c>
      <x:c r="M557" s="3" t="s">
        <x:v>106</x:v>
      </x:c>
      <x:c r="N557" s="3" t="s">
        <x:v>438</x:v>
      </x:c>
      <x:c r="O557" s="3" t="s">
        <x:v>439</x:v>
      </x:c>
      <x:c r="P557" s="3" t="s">
        <x:v>440</x:v>
      </x:c>
      <x:c r="Q557" s="3" t="s">
        <x:v>441</x:v>
      </x:c>
      <x:c r="R557" s="3" t="s">
        <x:v>134</x:v>
      </x:c>
      <x:c r="S557" s="3" t="s">
        <x:v>135</x:v>
      </x:c>
      <x:c r="T557" s="3" t="s">
        <x:v>111</x:v>
      </x:c>
      <x:c r="U557" s="3" t="s">
        <x:v>136</x:v>
      </x:c>
      <x:c r="V557" s="3" t="s">
        <x:v>137</x:v>
      </x:c>
      <x:c r="W557" s="3" t="s">
        <x:v>407</x:v>
      </x:c>
      <x:c r="X557" s="3" t="s">
        <x:v>139</x:v>
      </x:c>
      <x:c r="Y557" s="3" t="s">
        <x:v>140</x:v>
      </x:c>
      <x:c r="Z557" s="3" t="s">
        <x:v>141</x:v>
      </x:c>
      <x:c r="AA557" s="3" t="s">
        <x:v>118</x:v>
      </x:c>
      <x:c r="AB557" s="7" t="n">
        <x:v>46288.6527777778</x:v>
      </x:c>
      <x:c r="AC557" s="7" t="n">
        <x:v>46288.6576388889</x:v>
      </x:c>
      <x:c r="AD557" s="7" t="n">
        <x:v>46288.6611111111</x:v>
      </x:c>
      <x:c r="AE557" s="7" t="n">
        <x:v>46288.6701388889</x:v>
      </x:c>
      <x:c r="AF557" s="7" t="n">
        <x:v>46288.7020833333</x:v>
      </x:c>
      <x:c r="AG557" s="3" t="n">
        <x:v>25</x:v>
      </x:c>
      <x:c r="AH557" s="3" t="n">
        <x:v>36</x:v>
      </x:c>
      <x:c r="AI557" s="3" t="s">
        <x:v>135</x:v>
      </x:c>
      <x:c r="AJ557" s="3" t="s">
        <x:v>135</x:v>
      </x:c>
      <x:c r="AK557" s="3" t="n">
        <x:v>180</x:v>
      </x:c>
      <x:c r="AL557" s="3" t="n">
        <x:v>0</x:v>
      </x:c>
      <x:c r="AM557" s="8" t="n">
        <x:v>0.3389</x:v>
      </x:c>
      <x:c r="AN557" s="3" t="n">
        <x:v>0</x:v>
      </x:c>
      <x:c r="AO557" s="3" t="s">
        <x:v>9</x:v>
      </x:c>
      <x:c r="AP557" s="3" t="s">
        <x:v>142</x:v>
      </x:c>
      <x:c r="AQ557" s="3" t="s">
        <x:v>120</x:v>
      </x:c>
      <x:c r="AR557" s="9" t="n">
        <x:v>631.7</x:v>
      </x:c>
      <x:c r="AS557" s="3" t="s">
        <x:v>144</x:v>
      </x:c>
      <x:c r="AT557" s="7" t="n">
        <x:v>46301.9166666667</x:v>
      </x:c>
    </x:row>
    <x:row r="558" ht="31.299999237060547" hidden="0">
      <x:c r="A558" s="3" t="s">
        <x:v>1100</x:v>
      </x:c>
      <x:c r="B558" s="3" t="s">
        <x:v>233</x:v>
      </x:c>
      <x:c r="C558" s="3" t="s">
        <x:v>234</x:v>
      </x:c>
      <x:c r="D558" s="3" t="s">
        <x:v>235</x:v>
      </x:c>
      <x:c r="E558" s="3" t="s">
        <x:v>249</x:v>
      </x:c>
      <x:c r="F558" s="3" t="s">
        <x:v>149</x:v>
      </x:c>
      <x:c r="G558" s="3" t="s">
        <x:v>726</x:v>
      </x:c>
      <x:c r="H558" s="3" t="s">
        <x:v>343</x:v>
      </x:c>
      <x:c r="I558" s="3" t="s">
        <x:v>102</x:v>
      </x:c>
      <x:c r="J558" s="3" t="s">
        <x:v>103</x:v>
      </x:c>
      <x:c r="K558" s="3" t="s">
        <x:v>104</x:v>
      </x:c>
      <x:c r="L558" s="3" t="s">
        <x:v>237</x:v>
      </x:c>
      <x:c r="M558" s="3" t="s">
        <x:v>172</x:v>
      </x:c>
      <x:c r="N558" s="3" t="s">
        <x:v>238</x:v>
      </x:c>
      <x:c r="O558" s="3" t="s">
        <x:v>239</x:v>
      </x:c>
      <x:c r="P558" s="3" t="s">
        <x:v>240</x:v>
      </x:c>
      <x:c r="Q558" s="3" t="s">
        <x:v>276</x:v>
      </x:c>
      <x:c r="R558" s="3" t="s">
        <x:v>110</x:v>
      </x:c>
      <x:c r="S558" s="3" t="s">
        <x:v>111</x:v>
      </x:c>
      <x:c r="T558" s="3" t="s">
        <x:v>111</x:v>
      </x:c>
      <x:c r="U558" s="3" t="s">
        <x:v>112</x:v>
      </x:c>
      <x:c r="V558" s="3" t="s">
        <x:v>113</x:v>
      </x:c>
      <x:c r="W558" s="3" t="s">
        <x:v>114</x:v>
      </x:c>
      <x:c r="X558" s="3" t="s">
        <x:v>115</x:v>
      </x:c>
      <x:c r="Y558" s="3" t="s">
        <x:v>116</x:v>
      </x:c>
      <x:c r="Z558" s="3" t="s">
        <x:v>117</x:v>
      </x:c>
      <x:c r="AA558" s="3" t="s">
        <x:v>118</x:v>
      </x:c>
      <x:c r="AB558" s="7" t="n">
        <x:v>46288.6611111111</x:v>
      </x:c>
      <x:c r="AC558" s="7" t="n">
        <x:v>46288.6659722222</x:v>
      </x:c>
      <x:c r="AD558" s="7" t="n">
        <x:v>46288.6701388889</x:v>
      </x:c>
      <x:c r="AE558" s="7" t="n">
        <x:v>46288.6756944444</x:v>
      </x:c>
      <x:c r="AF558" s="7" t="n">
        <x:v>46288.7229166667</x:v>
      </x:c>
      <x:c r="AG558" s="3" t="n">
        <x:v>21</x:v>
      </x:c>
      <x:c r="AH558" s="3" t="n">
        <x:v>60</x:v>
      </x:c>
      <x:c r="AI558" s="3" t="s">
        <x:v>135</x:v>
      </x:c>
      <x:c r="AJ558" s="3" t="s">
        <x:v>111</x:v>
      </x:c>
      <x:c r="AK558" s="3" t="n">
        <x:v>120</x:v>
      </x:c>
      <x:c r="AL558" s="3" t="n">
        <x:v>0</x:v>
      </x:c>
      <x:c r="AM558" s="8" t="n">
        <x:v>0.675</x:v>
      </x:c>
      <x:c r="AN558" s="3" t="n">
        <x:v>1</x:v>
      </x:c>
      <x:c r="AO558" s="3" t="s">
        <x:v>14</x:v>
      </x:c>
      <x:c r="AP558" s="3" t="s">
        <x:v>664</x:v>
      </x:c>
      <x:c r="AQ558" s="3" t="s">
        <x:v>501</x:v>
      </x:c>
      <x:c r="AR558" s="9" t="n">
        <x:v>786.5</x:v>
      </x:c>
      <x:c r="AS558" s="3" t="s">
        <x:v>121</x:v>
      </x:c>
      <x:c r="AT558" s="7" t="n">
        <x:v>46301.9166666667</x:v>
      </x:c>
    </x:row>
    <x:row r="559" ht="31.299999237060547" hidden="0">
      <x:c r="A559" s="3" t="s">
        <x:v>1101</x:v>
      </x:c>
      <x:c r="B559" s="3" t="s">
        <x:v>222</x:v>
      </x:c>
      <x:c r="C559" s="3" t="s">
        <x:v>223</x:v>
      </x:c>
      <x:c r="D559" s="3" t="s">
        <x:v>224</x:v>
      </x:c>
      <x:c r="E559" s="3" t="s">
        <x:v>249</x:v>
      </x:c>
      <x:c r="F559" s="3" t="s">
        <x:v>127</x:v>
      </x:c>
      <x:c r="G559" s="3" t="s">
        <x:v>416</x:v>
      </x:c>
      <x:c r="H559" s="3" t="s">
        <x:v>339</x:v>
      </x:c>
      <x:c r="I559" s="3" t="s">
        <x:v>102</x:v>
      </x:c>
      <x:c r="J559" s="3" t="s">
        <x:v>103</x:v>
      </x:c>
      <x:c r="K559" s="3" t="s">
        <x:v>104</x:v>
      </x:c>
      <x:c r="L559" s="3" t="s">
        <x:v>226</x:v>
      </x:c>
      <x:c r="M559" s="3" t="s">
        <x:v>227</x:v>
      </x:c>
      <x:c r="N559" s="3" t="s">
        <x:v>228</x:v>
      </x:c>
      <x:c r="O559" s="3" t="s">
        <x:v>229</x:v>
      </x:c>
      <x:c r="P559" s="3" t="s">
        <x:v>230</x:v>
      </x:c>
      <x:c r="Q559" s="3" t="s">
        <x:v>274</x:v>
      </x:c>
      <x:c r="R559" s="3" t="s">
        <x:v>373</x:v>
      </x:c>
      <x:c r="S559" s="3" t="s">
        <x:v>135</x:v>
      </x:c>
      <x:c r="T559" s="3" t="s">
        <x:v>111</x:v>
      </x:c>
      <x:c r="U559" s="3" t="s">
        <x:v>374</x:v>
      </x:c>
      <x:c r="V559" s="3" t="s">
        <x:v>178</x:v>
      </x:c>
      <x:c r="W559" s="3" t="s">
        <x:v>332</x:v>
      </x:c>
      <x:c r="X559" s="3" t="s">
        <x:v>180</x:v>
      </x:c>
      <x:c r="Y559" s="3" t="s">
        <x:v>333</x:v>
      </x:c>
      <x:c r="Z559" s="3" t="s">
        <x:v>375</x:v>
      </x:c>
      <x:c r="AA559" s="3" t="s">
        <x:v>118</x:v>
      </x:c>
      <x:c r="AB559" s="7" t="n">
        <x:v>46288.6645833333</x:v>
      </x:c>
      <x:c r="AC559" s="7" t="n">
        <x:v>46288.6659722222</x:v>
      </x:c>
      <x:c r="AD559" s="7" t="n">
        <x:v>46288.6673611111</x:v>
      </x:c>
      <x:c r="AE559" s="7" t="n">
        <x:v>46288.6875</x:v>
      </x:c>
      <x:c r="AF559" s="7" t="n">
        <x:v>46288.7305555556</x:v>
      </x:c>
      <x:c r="AG559" s="3" t="n">
        <x:v>33</x:v>
      </x:c>
      <x:c r="AH559" s="3" t="n">
        <x:v>56</x:v>
      </x:c>
      <x:c r="AI559" s="3" t="s">
        <x:v>135</x:v>
      </x:c>
      <x:c r="AJ559" s="3" t="s">
        <x:v>135</x:v>
      </x:c>
      <x:c r="AK559" s="3" t="n">
        <x:v>180</x:v>
      </x:c>
      <x:c r="AL559" s="3" t="n">
        <x:v>0</x:v>
      </x:c>
      <x:c r="AM559" s="8" t="n">
        <x:v>0.4944</x:v>
      </x:c>
      <x:c r="AN559" s="3" t="n">
        <x:v>0</x:v>
      </x:c>
      <x:c r="AO559" s="3" t="s">
        <x:v>9</x:v>
      </x:c>
      <x:c r="AP559" s="3" t="s">
        <x:v>142</x:v>
      </x:c>
      <x:c r="AQ559" s="3" t="s">
        <x:v>452</x:v>
      </x:c>
      <x:c r="AR559" s="9" t="n">
        <x:v>811.7</x:v>
      </x:c>
      <x:c r="AS559" s="3" t="s">
        <x:v>144</x:v>
      </x:c>
      <x:c r="AT559" s="7" t="n">
        <x:v>46301.9166666667</x:v>
      </x:c>
    </x:row>
    <x:row r="560" ht="31.299999237060547" hidden="0">
      <x:c r="A560" s="3" t="s">
        <x:v>1102</x:v>
      </x:c>
      <x:c r="B560" s="3" t="s">
        <x:v>166</x:v>
      </x:c>
      <x:c r="C560" s="3" t="s">
        <x:v>167</x:v>
      </x:c>
      <x:c r="D560" s="3" t="s">
        <x:v>168</x:v>
      </x:c>
      <x:c r="E560" s="3" t="s">
        <x:v>249</x:v>
      </x:c>
      <x:c r="F560" s="3" t="s">
        <x:v>99</x:v>
      </x:c>
      <x:c r="G560" s="3" t="s">
        <x:v>469</x:v>
      </x:c>
      <x:c r="H560" s="3" t="s">
        <x:v>301</x:v>
      </x:c>
      <x:c r="I560" s="3" t="s">
        <x:v>302</x:v>
      </x:c>
      <x:c r="J560" s="3" t="s">
        <x:v>303</x:v>
      </x:c>
      <x:c r="K560" s="3" t="s">
        <x:v>104</x:v>
      </x:c>
      <x:c r="L560" s="3" t="s">
        <x:v>171</x:v>
      </x:c>
      <x:c r="M560" s="3" t="s">
        <x:v>172</x:v>
      </x:c>
      <x:c r="N560" s="3" t="s">
        <x:v>173</x:v>
      </x:c>
      <x:c r="O560" s="3" t="s">
        <x:v>174</x:v>
      </x:c>
      <x:c r="P560" s="3" t="s">
        <x:v>175</x:v>
      </x:c>
      <x:c r="Q560" s="3" t="s">
        <x:v>271</x:v>
      </x:c>
      <x:c r="R560" s="3" t="s">
        <x:v>110</x:v>
      </x:c>
      <x:c r="S560" s="3" t="s">
        <x:v>111</x:v>
      </x:c>
      <x:c r="T560" s="3" t="s">
        <x:v>111</x:v>
      </x:c>
      <x:c r="U560" s="3" t="s">
        <x:v>112</x:v>
      </x:c>
      <x:c r="V560" s="3" t="s">
        <x:v>113</x:v>
      </x:c>
      <x:c r="W560" s="3" t="s">
        <x:v>419</x:v>
      </x:c>
      <x:c r="X560" s="3" t="s">
        <x:v>115</x:v>
      </x:c>
      <x:c r="Y560" s="3" t="s">
        <x:v>420</x:v>
      </x:c>
      <x:c r="Z560" s="3" t="s">
        <x:v>117</x:v>
      </x:c>
      <x:c r="AA560" s="3" t="s">
        <x:v>118</x:v>
      </x:c>
      <x:c r="AB560" s="7" t="n">
        <x:v>46288.68125</x:v>
      </x:c>
      <x:c r="AC560" s="7" t="n">
        <x:v>46288.6833333333</x:v>
      </x:c>
      <x:c r="AD560" s="7" t="n">
        <x:v>46288.6847222222</x:v>
      </x:c>
      <x:c r="AE560" s="7" t="n">
        <x:v>46288.6909722222</x:v>
      </x:c>
      <x:c r="AF560" s="7" t="n">
        <x:v>46288.7347222222</x:v>
      </x:c>
      <x:c r="AG560" s="3" t="n">
        <x:v>14</x:v>
      </x:c>
      <x:c r="AH560" s="3" t="n">
        <x:v>53</x:v>
      </x:c>
      <x:c r="AI560" s="3" t="s">
        <x:v>135</x:v>
      </x:c>
      <x:c r="AJ560" s="3" t="s">
        <x:v>135</x:v>
      </x:c>
      <x:c r="AK560" s="3" t="n">
        <x:v>120</x:v>
      </x:c>
      <x:c r="AL560" s="3" t="n">
        <x:v>0</x:v>
      </x:c>
      <x:c r="AM560" s="8" t="n">
        <x:v>0.5583</x:v>
      </x:c>
      <x:c r="AN560" s="3" t="n">
        <x:v>1</x:v>
      </x:c>
      <x:c r="AO560" s="3" t="s">
        <x:v>9</x:v>
      </x:c>
      <x:c r="AP560" s="3" t="s">
        <x:v>500</x:v>
      </x:c>
      <x:c r="AQ560" s="3" t="s">
        <x:v>501</x:v>
      </x:c>
      <x:c r="AR560" s="9" t="n">
        <x:v>1084.6</x:v>
      </x:c>
      <x:c r="AS560" s="3" t="s">
        <x:v>185</x:v>
      </x:c>
      <x:c r="AT560" s="7" t="n">
        <x:v>46301.9166666667</x:v>
      </x:c>
    </x:row>
    <x:row r="561" ht="31.299999237060547" hidden="0">
      <x:c r="A561" s="3" t="s">
        <x:v>1103</x:v>
      </x:c>
      <x:c r="B561" s="3" t="s">
        <x:v>123</x:v>
      </x:c>
      <x:c r="C561" s="3" t="s">
        <x:v>124</x:v>
      </x:c>
      <x:c r="D561" s="3" t="s">
        <x:v>125</x:v>
      </x:c>
      <x:c r="E561" s="3" t="s">
        <x:v>249</x:v>
      </x:c>
      <x:c r="F561" s="3" t="s">
        <x:v>99</x:v>
      </x:c>
      <x:c r="G561" s="3" t="s">
        <x:v>477</x:v>
      </x:c>
      <x:c r="H561" s="3" t="s">
        <x:v>343</x:v>
      </x:c>
      <x:c r="I561" s="3" t="s">
        <x:v>102</x:v>
      </x:c>
      <x:c r="J561" s="3" t="s">
        <x:v>103</x:v>
      </x:c>
      <x:c r="K561" s="3" t="s">
        <x:v>104</x:v>
      </x:c>
      <x:c r="L561" s="3" t="s">
        <x:v>129</x:v>
      </x:c>
      <x:c r="M561" s="3" t="s">
        <x:v>130</x:v>
      </x:c>
      <x:c r="N561" s="3" t="s">
        <x:v>131</x:v>
      </x:c>
      <x:c r="O561" s="3" t="s">
        <x:v>132</x:v>
      </x:c>
      <x:c r="P561" s="3" t="s">
        <x:v>133</x:v>
      </x:c>
      <x:c r="Q561" s="3" t="s">
        <x:v>268</x:v>
      </x:c>
      <x:c r="R561" s="3" t="s">
        <x:v>214</x:v>
      </x:c>
      <x:c r="S561" s="3" t="s">
        <x:v>135</x:v>
      </x:c>
      <x:c r="T561" s="3" t="s">
        <x:v>111</x:v>
      </x:c>
      <x:c r="U561" s="3" t="s">
        <x:v>215</x:v>
      </x:c>
      <x:c r="V561" s="3" t="s">
        <x:v>216</x:v>
      </x:c>
      <x:c r="W561" s="3" t="s">
        <x:v>429</x:v>
      </x:c>
      <x:c r="X561" s="3" t="s">
        <x:v>430</x:v>
      </x:c>
      <x:c r="Y561" s="3" t="s">
        <x:v>431</x:v>
      </x:c>
      <x:c r="Z561" s="3" t="s">
        <x:v>219</x:v>
      </x:c>
      <x:c r="AA561" s="3" t="s">
        <x:v>118</x:v>
      </x:c>
      <x:c r="AB561" s="7" t="n">
        <x:v>46288.6875</x:v>
      </x:c>
      <x:c r="AC561" s="7" t="n">
        <x:v>46288.6888888889</x:v>
      </x:c>
      <x:c r="AD561" s="7" t="n">
        <x:v>46288.6951388889</x:v>
      </x:c>
      <x:c r="AE561" s="7" t="n">
        <x:v>46288.7097222222</x:v>
      </x:c>
      <x:c r="AF561" s="7" t="n">
        <x:v>46288.75</x:v>
      </x:c>
      <x:c r="AG561" s="3" t="n">
        <x:v>32</x:v>
      </x:c>
      <x:c r="AH561" s="3" t="n">
        <x:v>48</x:v>
      </x:c>
      <x:c r="AI561" s="3" t="s">
        <x:v>135</x:v>
      </x:c>
      <x:c r="AJ561" s="3" t="s">
        <x:v>135</x:v>
      </x:c>
      <x:c r="AK561" s="3" t="n">
        <x:v>180</x:v>
      </x:c>
      <x:c r="AL561" s="3" t="n">
        <x:v>0</x:v>
      </x:c>
      <x:c r="AM561" s="8" t="n">
        <x:v>0.4444</x:v>
      </x:c>
      <x:c r="AN561" s="3" t="n">
        <x:v>1</x:v>
      </x:c>
      <x:c r="AO561" s="3" t="s">
        <x:v>9</x:v>
      </x:c>
      <x:c r="AP561" s="3" t="s">
        <x:v>500</x:v>
      </x:c>
      <x:c r="AQ561" s="3" t="s">
        <x:v>472</x:v>
      </x:c>
      <x:c r="AR561" s="9" t="n">
        <x:v>749.6</x:v>
      </x:c>
      <x:c r="AS561" s="3" t="s">
        <x:v>121</x:v>
      </x:c>
      <x:c r="AT561" s="7" t="n">
        <x:v>46301.9166666667</x:v>
      </x:c>
    </x:row>
    <x:row r="562" ht="31.299999237060547" hidden="0">
      <x:c r="A562" s="3" t="s">
        <x:v>1104</x:v>
      </x:c>
      <x:c r="B562" s="3" t="s">
        <x:v>433</x:v>
      </x:c>
      <x:c r="C562" s="3" t="s">
        <x:v>434</x:v>
      </x:c>
      <x:c r="D562" s="3" t="s">
        <x:v>435</x:v>
      </x:c>
      <x:c r="E562" s="3" t="s">
        <x:v>249</x:v>
      </x:c>
      <x:c r="F562" s="3" t="s">
        <x:v>99</x:v>
      </x:c>
      <x:c r="G562" s="3" t="s">
        <x:v>390</x:v>
      </x:c>
      <x:c r="H562" s="3" t="s">
        <x:v>301</x:v>
      </x:c>
      <x:c r="I562" s="3" t="s">
        <x:v>302</x:v>
      </x:c>
      <x:c r="J562" s="3" t="s">
        <x:v>303</x:v>
      </x:c>
      <x:c r="K562" s="3" t="s">
        <x:v>104</x:v>
      </x:c>
      <x:c r="L562" s="3" t="s">
        <x:v>437</x:v>
      </x:c>
      <x:c r="M562" s="3" t="s">
        <x:v>106</x:v>
      </x:c>
      <x:c r="N562" s="3" t="s">
        <x:v>438</x:v>
      </x:c>
      <x:c r="O562" s="3" t="s">
        <x:v>439</x:v>
      </x:c>
      <x:c r="P562" s="3" t="s">
        <x:v>440</x:v>
      </x:c>
      <x:c r="Q562" s="3" t="s">
        <x:v>441</x:v>
      </x:c>
      <x:c r="R562" s="3" t="s">
        <x:v>391</x:v>
      </x:c>
      <x:c r="S562" s="3" t="s">
        <x:v>135</x:v>
      </x:c>
      <x:c r="T562" s="3" t="s">
        <x:v>135</x:v>
      </x:c>
      <x:c r="U562" s="3" t="s">
        <x:v>392</x:v>
      </x:c>
      <x:c r="V562" s="3" t="s">
        <x:v>312</x:v>
      </x:c>
      <x:c r="W562" s="3" t="s">
        <x:v>382</x:v>
      </x:c>
      <x:c r="X562" s="3" t="s">
        <x:v>314</x:v>
      </x:c>
      <x:c r="Y562" s="3" t="s">
        <x:v>383</x:v>
      </x:c>
      <x:c r="Z562" s="3" t="s">
        <x:v>393</x:v>
      </x:c>
      <x:c r="AA562" s="3" t="s">
        <x:v>394</x:v>
      </x:c>
      <x:c r="AB562" s="7" t="n">
        <x:v>46288.6902777778</x:v>
      </x:c>
      <x:c r="AC562" s="7" t="n">
        <x:v>46288.6944444444</x:v>
      </x:c>
      <x:c r="AD562" s="7" t="n">
        <x:v>46288.6972222222</x:v>
      </x:c>
      <x:c r="AE562" s="7" t="n">
        <x:v>46288.7145833333</x:v>
      </x:c>
      <x:c r="AF562" s="7" t="n">
        <x:v>46288.7506944445</x:v>
      </x:c>
      <x:c r="AG562" s="3" t="n">
        <x:v>35</x:v>
      </x:c>
      <x:c r="AH562" s="3" t="n">
        <x:v>48</x:v>
      </x:c>
      <x:c r="AI562" s="3" t="s">
        <x:v>135</x:v>
      </x:c>
      <x:c r="AJ562" s="3" t="s">
        <x:v>135</x:v>
      </x:c>
      <x:c r="AK562" s="3" t="n">
        <x:v>180</x:v>
      </x:c>
      <x:c r="AL562" s="3" t="n">
        <x:v>0</x:v>
      </x:c>
      <x:c r="AM562" s="8" t="n">
        <x:v>0.4611</x:v>
      </x:c>
      <x:c r="AN562" s="3" t="n">
        <x:v>6</x:v>
      </x:c>
      <x:c r="AO562" s="3" t="s">
        <x:v>14</x:v>
      </x:c>
      <x:c r="AP562" s="3" t="s">
        <x:v>1105</x:v>
      </x:c>
      <x:c r="AQ562" s="3" t="s">
        <x:v>820</x:v>
      </x:c>
      <x:c r="AR562" s="9" t="n">
        <x:v>1013.1</x:v>
      </x:c>
      <x:c r="AS562" s="3" t="s">
        <x:v>185</x:v>
      </x:c>
      <x:c r="AT562" s="7" t="n">
        <x:v>46301.9166666667</x:v>
      </x:c>
    </x:row>
    <x:row r="563" ht="31.299999237060547" hidden="0">
      <x:c r="A563" s="3" t="s">
        <x:v>1106</x:v>
      </x:c>
      <x:c r="B563" s="3" t="s">
        <x:v>146</x:v>
      </x:c>
      <x:c r="C563" s="3" t="s">
        <x:v>147</x:v>
      </x:c>
      <x:c r="D563" s="3" t="s">
        <x:v>148</x:v>
      </x:c>
      <x:c r="E563" s="3" t="s">
        <x:v>249</x:v>
      </x:c>
      <x:c r="F563" s="3" t="s">
        <x:v>149</x:v>
      </x:c>
      <x:c r="G563" s="3" t="s">
        <x:v>410</x:v>
      </x:c>
      <x:c r="H563" s="3" t="s">
        <x:v>343</x:v>
      </x:c>
      <x:c r="I563" s="3" t="s">
        <x:v>102</x:v>
      </x:c>
      <x:c r="J563" s="3" t="s">
        <x:v>103</x:v>
      </x:c>
      <x:c r="K563" s="3" t="s">
        <x:v>104</x:v>
      </x:c>
      <x:c r="L563" s="3" t="s">
        <x:v>151</x:v>
      </x:c>
      <x:c r="M563" s="3" t="s">
        <x:v>152</x:v>
      </x:c>
      <x:c r="N563" s="3" t="s">
        <x:v>153</x:v>
      </x:c>
      <x:c r="O563" s="3" t="s">
        <x:v>154</x:v>
      </x:c>
      <x:c r="P563" s="3" t="s">
        <x:v>155</x:v>
      </x:c>
      <x:c r="Q563" s="3" t="s">
        <x:v>270</x:v>
      </x:c>
      <x:c r="R563" s="3" t="s">
        <x:v>344</x:v>
      </x:c>
      <x:c r="S563" s="3" t="s">
        <x:v>111</x:v>
      </x:c>
      <x:c r="T563" s="3" t="s">
        <x:v>111</x:v>
      </x:c>
      <x:c r="U563" s="3" t="s">
        <x:v>345</x:v>
      </x:c>
      <x:c r="V563" s="3" t="s">
        <x:v>178</x:v>
      </x:c>
      <x:c r="W563" s="3" t="s">
        <x:v>179</x:v>
      </x:c>
      <x:c r="X563" s="3" t="s">
        <x:v>180</x:v>
      </x:c>
      <x:c r="Y563" s="3" t="s">
        <x:v>414</x:v>
      </x:c>
      <x:c r="Z563" s="3" t="s">
        <x:v>346</x:v>
      </x:c>
      <x:c r="AA563" s="3" t="s">
        <x:v>118</x:v>
      </x:c>
      <x:c r="AB563" s="7" t="n">
        <x:v>46288.7430555556</x:v>
      </x:c>
      <x:c r="AC563" s="7" t="n">
        <x:v>46288.7458333333</x:v>
      </x:c>
      <x:c r="AD563" s="7" t="n">
        <x:v>46288.7486111111</x:v>
      </x:c>
      <x:c r="AE563" s="7" t="n">
        <x:v>46288.7576388889</x:v>
      </x:c>
      <x:c r="AF563" s="7" t="n">
        <x:v>46288.8006944444</x:v>
      </x:c>
      <x:c r="AG563" s="3" t="n">
        <x:v>21</x:v>
      </x:c>
      <x:c r="AH563" s="3" t="n">
        <x:v>53</x:v>
      </x:c>
      <x:c r="AI563" s="3" t="s">
        <x:v>135</x:v>
      </x:c>
      <x:c r="AJ563" s="3" t="s">
        <x:v>135</x:v>
      </x:c>
      <x:c r="AK563" s="3" t="n">
        <x:v>120</x:v>
      </x:c>
      <x:c r="AL563" s="3" t="n">
        <x:v>0</x:v>
      </x:c>
      <x:c r="AM563" s="8" t="n">
        <x:v>0.6167</x:v>
      </x:c>
      <x:c r="AN563" s="3" t="n">
        <x:v>0</x:v>
      </x:c>
      <x:c r="AO563" s="3" t="s">
        <x:v>14</x:v>
      </x:c>
      <x:c r="AP563" s="3" t="s">
        <x:v>347</x:v>
      </x:c>
      <x:c r="AQ563" s="3" t="s">
        <x:v>411</x:v>
      </x:c>
      <x:c r="AR563" s="9" t="n">
        <x:v>736.1</x:v>
      </x:c>
      <x:c r="AS563" s="3" t="s">
        <x:v>185</x:v>
      </x:c>
      <x:c r="AT563" s="7" t="n">
        <x:v>46301.9166666667</x:v>
      </x:c>
    </x:row>
    <x:row r="564" ht="31.299999237060547" hidden="0">
      <x:c r="A564" s="3" t="s">
        <x:v>1107</x:v>
      </x:c>
      <x:c r="B564" s="3" t="s">
        <x:v>205</x:v>
      </x:c>
      <x:c r="C564" s="3" t="s">
        <x:v>206</x:v>
      </x:c>
      <x:c r="D564" s="3" t="s">
        <x:v>207</x:v>
      </x:c>
      <x:c r="E564" s="3" t="s">
        <x:v>249</x:v>
      </x:c>
      <x:c r="F564" s="3" t="s">
        <x:v>169</x:v>
      </x:c>
      <x:c r="G564" s="3" t="s">
        <x:v>416</x:v>
      </x:c>
      <x:c r="H564" s="3" t="s">
        <x:v>339</x:v>
      </x:c>
      <x:c r="I564" s="3" t="s">
        <x:v>102</x:v>
      </x:c>
      <x:c r="J564" s="3" t="s">
        <x:v>103</x:v>
      </x:c>
      <x:c r="K564" s="3" t="s">
        <x:v>104</x:v>
      </x:c>
      <x:c r="L564" s="3" t="s">
        <x:v>209</x:v>
      </x:c>
      <x:c r="M564" s="3" t="s">
        <x:v>210</x:v>
      </x:c>
      <x:c r="N564" s="3" t="s">
        <x:v>211</x:v>
      </x:c>
      <x:c r="O564" s="3" t="s">
        <x:v>212</x:v>
      </x:c>
      <x:c r="P564" s="3" t="s">
        <x:v>213</x:v>
      </x:c>
      <x:c r="Q564" s="3" t="s">
        <x:v>254</x:v>
      </x:c>
      <x:c r="R564" s="3" t="s">
        <x:v>373</x:v>
      </x:c>
      <x:c r="S564" s="3" t="s">
        <x:v>135</x:v>
      </x:c>
      <x:c r="T564" s="3" t="s">
        <x:v>111</x:v>
      </x:c>
      <x:c r="U564" s="3" t="s">
        <x:v>374</x:v>
      </x:c>
      <x:c r="V564" s="3" t="s">
        <x:v>178</x:v>
      </x:c>
      <x:c r="W564" s="3" t="s">
        <x:v>332</x:v>
      </x:c>
      <x:c r="X564" s="3" t="s">
        <x:v>180</x:v>
      </x:c>
      <x:c r="Y564" s="3" t="s">
        <x:v>333</x:v>
      </x:c>
      <x:c r="Z564" s="3" t="s">
        <x:v>375</x:v>
      </x:c>
      <x:c r="AA564" s="3" t="s">
        <x:v>118</x:v>
      </x:c>
      <x:c r="AB564" s="7" t="n">
        <x:v>46288.7652777778</x:v>
      </x:c>
      <x:c r="AC564" s="7" t="n">
        <x:v>46288.7673611111</x:v>
      </x:c>
      <x:c r="AD564" s="7" t="n">
        <x:v>46288.7694444444</x:v>
      </x:c>
      <x:c r="AE564" s="7" t="n">
        <x:v>46288.7965277778</x:v>
      </x:c>
      <x:c r="AF564" s="7" t="n">
        <x:v>46288.8118055556</x:v>
      </x:c>
      <x:c r="AG564" s="3" t="n">
        <x:v>45</x:v>
      </x:c>
      <x:c r="AH564" s="3" t="n">
        <x:v>17</x:v>
      </x:c>
      <x:c r="AI564" s="3" t="s">
        <x:v>135</x:v>
      </x:c>
      <x:c r="AJ564" s="3" t="s">
        <x:v>135</x:v>
      </x:c>
      <x:c r="AK564" s="3" t="n">
        <x:v>180</x:v>
      </x:c>
      <x:c r="AL564" s="3" t="n">
        <x:v>0</x:v>
      </x:c>
      <x:c r="AM564" s="8" t="n">
        <x:v>0.3444</x:v>
      </x:c>
      <x:c r="AN564" s="3" t="n">
        <x:v>2</x:v>
      </x:c>
      <x:c r="AO564" s="3" t="s">
        <x:v>14</x:v>
      </x:c>
      <x:c r="AP564" s="3" t="s">
        <x:v>573</x:v>
      </x:c>
      <x:c r="AQ564" s="3" t="s">
        <x:v>697</x:v>
      </x:c>
      <x:c r="AR564" s="9" t="n">
        <x:v>584.9</x:v>
      </x:c>
      <x:c r="AS564" s="3" t="s">
        <x:v>121</x:v>
      </x:c>
      <x:c r="AT564" s="7" t="n">
        <x:v>46301.9166666667</x:v>
      </x:c>
    </x:row>
    <x:row r="565" ht="31.299999237060547" hidden="0">
      <x:c r="A565" s="3" t="s">
        <x:v>1108</x:v>
      </x:c>
      <x:c r="B565" s="3" t="s">
        <x:v>83</x:v>
      </x:c>
      <x:c r="C565" s="3" t="s">
        <x:v>96</x:v>
      </x:c>
      <x:c r="D565" s="3" t="s">
        <x:v>97</x:v>
      </x:c>
      <x:c r="E565" s="3" t="s">
        <x:v>249</x:v>
      </x:c>
      <x:c r="F565" s="3" t="s">
        <x:v>99</x:v>
      </x:c>
      <x:c r="G565" s="3" t="s">
        <x:v>461</x:v>
      </x:c>
      <x:c r="H565" s="3" t="s">
        <x:v>101</x:v>
      </x:c>
      <x:c r="I565" s="3" t="s">
        <x:v>102</x:v>
      </x:c>
      <x:c r="J565" s="3" t="s">
        <x:v>103</x:v>
      </x:c>
      <x:c r="K565" s="3" t="s">
        <x:v>104</x:v>
      </x:c>
      <x:c r="L565" s="3" t="s">
        <x:v>105</x:v>
      </x:c>
      <x:c r="M565" s="3" t="s">
        <x:v>106</x:v>
      </x:c>
      <x:c r="N565" s="3" t="s">
        <x:v>107</x:v>
      </x:c>
      <x:c r="O565" s="3" t="s">
        <x:v>108</x:v>
      </x:c>
      <x:c r="P565" s="3" t="s">
        <x:v>109</x:v>
      </x:c>
      <x:c r="Q565" s="3" t="s">
        <x:v>250</x:v>
      </x:c>
      <x:c r="R565" s="3" t="s">
        <x:v>156</x:v>
      </x:c>
      <x:c r="S565" s="3" t="s">
        <x:v>135</x:v>
      </x:c>
      <x:c r="T565" s="3" t="s">
        <x:v>111</x:v>
      </x:c>
      <x:c r="U565" s="3" t="s">
        <x:v>157</x:v>
      </x:c>
      <x:c r="V565" s="3" t="s">
        <x:v>158</x:v>
      </x:c>
      <x:c r="W565" s="3" t="s">
        <x:v>450</x:v>
      </x:c>
      <x:c r="X565" s="3" t="s">
        <x:v>160</x:v>
      </x:c>
      <x:c r="Y565" s="3" t="s">
        <x:v>451</x:v>
      </x:c>
      <x:c r="Z565" s="3" t="s">
        <x:v>162</x:v>
      </x:c>
      <x:c r="AA565" s="3" t="s">
        <x:v>118</x:v>
      </x:c>
      <x:c r="AB565" s="7" t="n">
        <x:v>46288.7715277778</x:v>
      </x:c>
      <x:c r="AC565" s="7" t="n">
        <x:v>46288.775</x:v>
      </x:c>
      <x:c r="AD565" s="7" t="n">
        <x:v>46288.78125</x:v>
      </x:c>
      <x:c r="AE565" s="7" t="n">
        <x:v>46288.79375</x:v>
      </x:c>
      <x:c r="AF565" s="7" t="n">
        <x:v>46288.8111111111</x:v>
      </x:c>
      <x:c r="AG565" s="3" t="n">
        <x:v>32</x:v>
      </x:c>
      <x:c r="AH565" s="3" t="n">
        <x:v>18</x:v>
      </x:c>
      <x:c r="AI565" s="3" t="s">
        <x:v>111</x:v>
      </x:c>
      <x:c r="AJ565" s="3" t="s">
        <x:v>111</x:v>
      </x:c>
      <x:c r="AK565" s="3" t="n">
        <x:v>60</x:v>
      </x:c>
      <x:c r="AL565" s="3" t="n">
        <x:v>0</x:v>
      </x:c>
      <x:c r="AM565" s="8" t="n">
        <x:v>0.8333</x:v>
      </x:c>
      <x:c r="AN565" s="3" t="n">
        <x:v>0</x:v>
      </x:c>
      <x:c r="AO565" s="3" t="s">
        <x:v>19</x:v>
      </x:c>
      <x:c r="AP565" s="3" t="s">
        <x:v>699</x:v>
      </x:c>
      <x:c r="AQ565" s="3" t="s">
        <x:v>422</x:v>
      </x:c>
      <x:c r="AR565" s="9" t="n">
        <x:v>853.6</x:v>
      </x:c>
      <x:c r="AS565" s="3" t="s">
        <x:v>121</x:v>
      </x:c>
      <x:c r="AT565" s="7" t="n">
        <x:v>46301.9166666667</x:v>
      </x:c>
    </x:row>
    <x:row r="566" ht="31.299999237060547" hidden="0">
      <x:c r="A566" s="3" t="s">
        <x:v>1109</x:v>
      </x:c>
      <x:c r="B566" s="3" t="s">
        <x:v>187</x:v>
      </x:c>
      <x:c r="C566" s="3" t="s">
        <x:v>188</x:v>
      </x:c>
      <x:c r="D566" s="3" t="s">
        <x:v>189</x:v>
      </x:c>
      <x:c r="E566" s="3" t="s">
        <x:v>249</x:v>
      </x:c>
      <x:c r="F566" s="3" t="s">
        <x:v>99</x:v>
      </x:c>
      <x:c r="G566" s="3" t="s">
        <x:v>754</x:v>
      </x:c>
      <x:c r="H566" s="3" t="s">
        <x:v>101</x:v>
      </x:c>
      <x:c r="I566" s="3" t="s">
        <x:v>102</x:v>
      </x:c>
      <x:c r="J566" s="3" t="s">
        <x:v>103</x:v>
      </x:c>
      <x:c r="K566" s="3" t="s">
        <x:v>104</x:v>
      </x:c>
      <x:c r="L566" s="3" t="s">
        <x:v>191</x:v>
      </x:c>
      <x:c r="M566" s="3" t="s">
        <x:v>192</x:v>
      </x:c>
      <x:c r="N566" s="3" t="s">
        <x:v>193</x:v>
      </x:c>
      <x:c r="O566" s="3" t="s">
        <x:v>194</x:v>
      </x:c>
      <x:c r="P566" s="3" t="s">
        <x:v>195</x:v>
      </x:c>
      <x:c r="Q566" s="3" t="s">
        <x:v>273</x:v>
      </x:c>
      <x:c r="R566" s="3" t="s">
        <x:v>310</x:v>
      </x:c>
      <x:c r="S566" s="3" t="s">
        <x:v>135</x:v>
      </x:c>
      <x:c r="T566" s="3" t="s">
        <x:v>111</x:v>
      </x:c>
      <x:c r="U566" s="3" t="s">
        <x:v>311</x:v>
      </x:c>
      <x:c r="V566" s="3" t="s">
        <x:v>312</x:v>
      </x:c>
      <x:c r="W566" s="3" t="s">
        <x:v>382</x:v>
      </x:c>
      <x:c r="X566" s="3" t="s">
        <x:v>314</x:v>
      </x:c>
      <x:c r="Y566" s="3" t="s">
        <x:v>383</x:v>
      </x:c>
      <x:c r="Z566" s="3" t="s">
        <x:v>316</x:v>
      </x:c>
      <x:c r="AA566" s="3" t="s">
        <x:v>317</x:v>
      </x:c>
      <x:c r="AB566" s="7" t="n">
        <x:v>46288.7951388889</x:v>
      </x:c>
      <x:c r="AC566" s="7" t="n">
        <x:v>46288.7986111111</x:v>
      </x:c>
      <x:c r="AD566" s="7" t="n">
        <x:v>46288.8027777778</x:v>
      </x:c>
      <x:c r="AE566" s="7" t="n">
        <x:v>46288.81875</x:v>
      </x:c>
      <x:c r="AF566" s="7" t="n">
        <x:v>46288.8715277778</x:v>
      </x:c>
      <x:c r="AG566" s="3" t="n">
        <x:v>34</x:v>
      </x:c>
      <x:c r="AH566" s="3" t="n">
        <x:v>68</x:v>
      </x:c>
      <x:c r="AI566" s="3" t="s">
        <x:v>135</x:v>
      </x:c>
      <x:c r="AJ566" s="3" t="s">
        <x:v>111</x:v>
      </x:c>
      <x:c r="AK566" s="3" t="n">
        <x:v>150</x:v>
      </x:c>
      <x:c r="AL566" s="3" t="n">
        <x:v>0</x:v>
      </x:c>
      <x:c r="AM566" s="8" t="n">
        <x:v>0.68</x:v>
      </x:c>
      <x:c r="AN566" s="3" t="n">
        <x:v>1</x:v>
      </x:c>
      <x:c r="AO566" s="3" t="s">
        <x:v>14</x:v>
      </x:c>
      <x:c r="AP566" s="3" t="s">
        <x:v>664</x:v>
      </x:c>
      <x:c r="AQ566" s="3" t="s">
        <x:v>689</x:v>
      </x:c>
      <x:c r="AR566" s="9" t="n">
        <x:v>1282.6</x:v>
      </x:c>
      <x:c r="AS566" s="3" t="s">
        <x:v>185</x:v>
      </x:c>
      <x:c r="AT566" s="7" t="n">
        <x:v>46301.9166666667</x:v>
      </x:c>
    </x:row>
    <x:row r="567" ht="31.299999237060547" hidden="0">
      <x:c r="A567" s="3" t="s">
        <x:v>1110</x:v>
      </x:c>
      <x:c r="B567" s="3" t="s">
        <x:v>146</x:v>
      </x:c>
      <x:c r="C567" s="3" t="s">
        <x:v>147</x:v>
      </x:c>
      <x:c r="D567" s="3" t="s">
        <x:v>148</x:v>
      </x:c>
      <x:c r="E567" s="3" t="s">
        <x:v>249</x:v>
      </x:c>
      <x:c r="F567" s="3" t="s">
        <x:v>99</x:v>
      </x:c>
      <x:c r="G567" s="3" t="s">
        <x:v>379</x:v>
      </x:c>
      <x:c r="H567" s="3" t="s">
        <x:v>339</x:v>
      </x:c>
      <x:c r="I567" s="3" t="s">
        <x:v>102</x:v>
      </x:c>
      <x:c r="J567" s="3" t="s">
        <x:v>103</x:v>
      </x:c>
      <x:c r="K567" s="3" t="s">
        <x:v>104</x:v>
      </x:c>
      <x:c r="L567" s="3" t="s">
        <x:v>151</x:v>
      </x:c>
      <x:c r="M567" s="3" t="s">
        <x:v>152</x:v>
      </x:c>
      <x:c r="N567" s="3" t="s">
        <x:v>153</x:v>
      </x:c>
      <x:c r="O567" s="3" t="s">
        <x:v>154</x:v>
      </x:c>
      <x:c r="P567" s="3" t="s">
        <x:v>155</x:v>
      </x:c>
      <x:c r="Q567" s="3" t="s">
        <x:v>270</x:v>
      </x:c>
      <x:c r="R567" s="3" t="s">
        <x:v>380</x:v>
      </x:c>
      <x:c r="S567" s="3" t="s">
        <x:v>111</x:v>
      </x:c>
      <x:c r="T567" s="3" t="s">
        <x:v>111</x:v>
      </x:c>
      <x:c r="U567" s="3" t="s">
        <x:v>381</x:v>
      </x:c>
      <x:c r="V567" s="3" t="s">
        <x:v>312</x:v>
      </x:c>
      <x:c r="W567" s="3" t="s">
        <x:v>313</x:v>
      </x:c>
      <x:c r="X567" s="3" t="s">
        <x:v>314</x:v>
      </x:c>
      <x:c r="Y567" s="3" t="s">
        <x:v>315</x:v>
      </x:c>
      <x:c r="Z567" s="3" t="s">
        <x:v>384</x:v>
      </x:c>
      <x:c r="AA567" s="3" t="s">
        <x:v>385</x:v>
      </x:c>
      <x:c r="AB567" s="7" t="n">
        <x:v>46288.8173611111</x:v>
      </x:c>
      <x:c r="AC567" s="7" t="n">
        <x:v>46288.8201388889</x:v>
      </x:c>
      <x:c r="AD567" s="7" t="n">
        <x:v>46288.8256944444</x:v>
      </x:c>
      <x:c r="AE567" s="7" t="n">
        <x:v>46288.8520833333</x:v>
      </x:c>
      <x:c r="AF567" s="7" t="n">
        <x:v>46288.8909722222</x:v>
      </x:c>
      <x:c r="AG567" s="3" t="n">
        <x:v>50</x:v>
      </x:c>
      <x:c r="AH567" s="3" t="n">
        <x:v>46</x:v>
      </x:c>
      <x:c r="AI567" s="3" t="s">
        <x:v>135</x:v>
      </x:c>
      <x:c r="AJ567" s="3" t="s">
        <x:v>135</x:v>
      </x:c>
      <x:c r="AK567" s="3" t="n">
        <x:v>120</x:v>
      </x:c>
      <x:c r="AL567" s="3" t="n">
        <x:v>0</x:v>
      </x:c>
      <x:c r="AM567" s="8" t="n">
        <x:v>0.8</x:v>
      </x:c>
      <x:c r="AN567" s="3" t="n">
        <x:v>1</x:v>
      </x:c>
      <x:c r="AO567" s="3" t="s">
        <x:v>14</x:v>
      </x:c>
      <x:c r="AP567" s="3" t="s">
        <x:v>471</x:v>
      </x:c>
      <x:c r="AQ567" s="3" t="s">
        <x:v>533</x:v>
      </x:c>
      <x:c r="AR567" s="9" t="n">
        <x:v>816.2</x:v>
      </x:c>
      <x:c r="AS567" s="3" t="s">
        <x:v>185</x:v>
      </x:c>
      <x:c r="AT567" s="7" t="n">
        <x:v>46301.9166666667</x:v>
      </x:c>
    </x:row>
    <x:row r="568" ht="31.299999237060547" hidden="0">
      <x:c r="A568" s="3" t="s">
        <x:v>1111</x:v>
      </x:c>
      <x:c r="B568" s="3" t="s">
        <x:v>166</x:v>
      </x:c>
      <x:c r="C568" s="3" t="s">
        <x:v>167</x:v>
      </x:c>
      <x:c r="D568" s="3" t="s">
        <x:v>168</x:v>
      </x:c>
      <x:c r="E568" s="3" t="s">
        <x:v>249</x:v>
      </x:c>
      <x:c r="F568" s="3" t="s">
        <x:v>149</x:v>
      </x:c>
      <x:c r="G568" s="3" t="s">
        <x:v>377</x:v>
      </x:c>
      <x:c r="H568" s="3" t="s">
        <x:v>343</x:v>
      </x:c>
      <x:c r="I568" s="3" t="s">
        <x:v>102</x:v>
      </x:c>
      <x:c r="J568" s="3" t="s">
        <x:v>103</x:v>
      </x:c>
      <x:c r="K568" s="3" t="s">
        <x:v>104</x:v>
      </x:c>
      <x:c r="L568" s="3" t="s">
        <x:v>171</x:v>
      </x:c>
      <x:c r="M568" s="3" t="s">
        <x:v>172</x:v>
      </x:c>
      <x:c r="N568" s="3" t="s">
        <x:v>173</x:v>
      </x:c>
      <x:c r="O568" s="3" t="s">
        <x:v>174</x:v>
      </x:c>
      <x:c r="P568" s="3" t="s">
        <x:v>175</x:v>
      </x:c>
      <x:c r="Q568" s="3" t="s">
        <x:v>271</x:v>
      </x:c>
      <x:c r="R568" s="3" t="s">
        <x:v>330</x:v>
      </x:c>
      <x:c r="S568" s="3" t="s">
        <x:v>135</x:v>
      </x:c>
      <x:c r="T568" s="3" t="s">
        <x:v>111</x:v>
      </x:c>
      <x:c r="U568" s="3" t="s">
        <x:v>331</x:v>
      </x:c>
      <x:c r="V568" s="3" t="s">
        <x:v>178</x:v>
      </x:c>
      <x:c r="W568" s="3" t="s">
        <x:v>332</x:v>
      </x:c>
      <x:c r="X568" s="3" t="s">
        <x:v>180</x:v>
      </x:c>
      <x:c r="Y568" s="3" t="s">
        <x:v>333</x:v>
      </x:c>
      <x:c r="Z568" s="3" t="s">
        <x:v>334</x:v>
      </x:c>
      <x:c r="AA568" s="3" t="s">
        <x:v>118</x:v>
      </x:c>
      <x:c r="AB568" s="7" t="n">
        <x:v>46289.3444444445</x:v>
      </x:c>
      <x:c r="AC568" s="7" t="n">
        <x:v>46289.3479166667</x:v>
      </x:c>
      <x:c r="AD568" s="7" t="n">
        <x:v>46289.3541666667</x:v>
      </x:c>
      <x:c r="AE568" s="7" t="n">
        <x:v>46289.3708333333</x:v>
      </x:c>
      <x:c r="AF568" s="7" t="n">
        <x:v>46289.4263888889</x:v>
      </x:c>
      <x:c r="AG568" s="3" t="n">
        <x:v>38</x:v>
      </x:c>
      <x:c r="AH568" s="3" t="n">
        <x:v>76</x:v>
      </x:c>
      <x:c r="AI568" s="3" t="s">
        <x:v>135</x:v>
      </x:c>
      <x:c r="AJ568" s="3" t="s">
        <x:v>135</x:v>
      </x:c>
      <x:c r="AK568" s="3" t="n">
        <x:v>150</x:v>
      </x:c>
      <x:c r="AL568" s="3" t="n">
        <x:v>0</x:v>
      </x:c>
      <x:c r="AM568" s="8" t="n">
        <x:v>0.76</x:v>
      </x:c>
      <x:c r="AN568" s="3" t="n">
        <x:v>0</x:v>
      </x:c>
      <x:c r="AO568" s="3" t="s">
        <x:v>14</x:v>
      </x:c>
      <x:c r="AP568" s="3" t="s">
        <x:v>347</x:v>
      </x:c>
      <x:c r="AQ568" s="3" t="s">
        <x:v>340</x:v>
      </x:c>
      <x:c r="AR568" s="9" t="n">
        <x:v>1358.2</x:v>
      </x:c>
      <x:c r="AS568" s="3" t="s">
        <x:v>185</x:v>
      </x:c>
      <x:c r="AT568" s="7" t="n">
        <x:v>46301.9166666667</x:v>
      </x:c>
    </x:row>
    <x:row r="569" ht="31.299999237060547" hidden="0">
      <x:c r="A569" s="3" t="s">
        <x:v>1112</x:v>
      </x:c>
      <x:c r="B569" s="3" t="s">
        <x:v>83</x:v>
      </x:c>
      <x:c r="C569" s="3" t="s">
        <x:v>96</x:v>
      </x:c>
      <x:c r="D569" s="3" t="s">
        <x:v>97</x:v>
      </x:c>
      <x:c r="E569" s="3" t="s">
        <x:v>249</x:v>
      </x:c>
      <x:c r="F569" s="3" t="s">
        <x:v>99</x:v>
      </x:c>
      <x:c r="G569" s="3" t="s">
        <x:v>354</x:v>
      </x:c>
      <x:c r="H569" s="3" t="s">
        <x:v>101</x:v>
      </x:c>
      <x:c r="I569" s="3" t="s">
        <x:v>102</x:v>
      </x:c>
      <x:c r="J569" s="3" t="s">
        <x:v>103</x:v>
      </x:c>
      <x:c r="K569" s="3" t="s">
        <x:v>104</x:v>
      </x:c>
      <x:c r="L569" s="3" t="s">
        <x:v>105</x:v>
      </x:c>
      <x:c r="M569" s="3" t="s">
        <x:v>106</x:v>
      </x:c>
      <x:c r="N569" s="3" t="s">
        <x:v>107</x:v>
      </x:c>
      <x:c r="O569" s="3" t="s">
        <x:v>108</x:v>
      </x:c>
      <x:c r="P569" s="3" t="s">
        <x:v>109</x:v>
      </x:c>
      <x:c r="Q569" s="3" t="s">
        <x:v>250</x:v>
      </x:c>
      <x:c r="R569" s="3" t="s">
        <x:v>176</x:v>
      </x:c>
      <x:c r="S569" s="3" t="s">
        <x:v>135</x:v>
      </x:c>
      <x:c r="T569" s="3" t="s">
        <x:v>135</x:v>
      </x:c>
      <x:c r="U569" s="3" t="s">
        <x:v>177</x:v>
      </x:c>
      <x:c r="V569" s="3" t="s">
        <x:v>178</x:v>
      </x:c>
      <x:c r="W569" s="3" t="s">
        <x:v>332</x:v>
      </x:c>
      <x:c r="X569" s="3" t="s">
        <x:v>180</x:v>
      </x:c>
      <x:c r="Y569" s="3" t="s">
        <x:v>333</x:v>
      </x:c>
      <x:c r="Z569" s="3" t="s">
        <x:v>182</x:v>
      </x:c>
      <x:c r="AA569" s="3" t="s">
        <x:v>118</x:v>
      </x:c>
      <x:c r="AB569" s="7" t="n">
        <x:v>46289.3444444445</x:v>
      </x:c>
      <x:c r="AC569" s="7" t="n">
        <x:v>46289.3465277778</x:v>
      </x:c>
      <x:c r="AD569" s="7" t="n">
        <x:v>46289.35</x:v>
      </x:c>
      <x:c r="AE569" s="7" t="n">
        <x:v>46289.3625</x:v>
      </x:c>
      <x:c r="AF569" s="7" t="n">
        <x:v>46289.3888888889</x:v>
      </x:c>
      <x:c r="AG569" s="3" t="n">
        <x:v>26</x:v>
      </x:c>
      <x:c r="AH569" s="3" t="n">
        <x:v>33</x:v>
      </x:c>
      <x:c r="AI569" s="3" t="s">
        <x:v>111</x:v>
      </x:c>
      <x:c r="AJ569" s="3" t="s">
        <x:v>111</x:v>
      </x:c>
      <x:c r="AK569" s="3" t="n">
        <x:v>60</x:v>
      </x:c>
      <x:c r="AL569" s="3" t="n">
        <x:v>0</x:v>
      </x:c>
      <x:c r="AM569" s="8" t="n">
        <x:v>0.9833</x:v>
      </x:c>
      <x:c r="AN569" s="3" t="n">
        <x:v>3</x:v>
      </x:c>
      <x:c r="AO569" s="3" t="s">
        <x:v>24</x:v>
      </x:c>
      <x:c r="AP569" s="3" t="s">
        <x:v>1113</x:v>
      </x:c>
      <x:c r="AQ569" s="3" t="s">
        <x:v>1114</x:v>
      </x:c>
      <x:c r="AR569" s="9" t="n">
        <x:v>1184.6</x:v>
      </x:c>
      <x:c r="AS569" s="3" t="s">
        <x:v>185</x:v>
      </x:c>
      <x:c r="AT569" s="7" t="n">
        <x:v>46301.9166666667</x:v>
      </x:c>
    </x:row>
    <x:row r="570" ht="31.299999237060547" hidden="0">
      <x:c r="A570" s="3" t="s">
        <x:v>1115</x:v>
      </x:c>
      <x:c r="B570" s="3" t="s">
        <x:v>166</x:v>
      </x:c>
      <x:c r="C570" s="3" t="s">
        <x:v>167</x:v>
      </x:c>
      <x:c r="D570" s="3" t="s">
        <x:v>168</x:v>
      </x:c>
      <x:c r="E570" s="3" t="s">
        <x:v>249</x:v>
      </x:c>
      <x:c r="F570" s="3" t="s">
        <x:v>99</x:v>
      </x:c>
      <x:c r="G570" s="3" t="s">
        <x:v>418</x:v>
      </x:c>
      <x:c r="H570" s="3" t="s">
        <x:v>343</x:v>
      </x:c>
      <x:c r="I570" s="3" t="s">
        <x:v>102</x:v>
      </x:c>
      <x:c r="J570" s="3" t="s">
        <x:v>103</x:v>
      </x:c>
      <x:c r="K570" s="3" t="s">
        <x:v>104</x:v>
      </x:c>
      <x:c r="L570" s="3" t="s">
        <x:v>171</x:v>
      </x:c>
      <x:c r="M570" s="3" t="s">
        <x:v>172</x:v>
      </x:c>
      <x:c r="N570" s="3" t="s">
        <x:v>173</x:v>
      </x:c>
      <x:c r="O570" s="3" t="s">
        <x:v>174</x:v>
      </x:c>
      <x:c r="P570" s="3" t="s">
        <x:v>175</x:v>
      </x:c>
      <x:c r="Q570" s="3" t="s">
        <x:v>271</x:v>
      </x:c>
      <x:c r="R570" s="3" t="s">
        <x:v>110</x:v>
      </x:c>
      <x:c r="S570" s="3" t="s">
        <x:v>111</x:v>
      </x:c>
      <x:c r="T570" s="3" t="s">
        <x:v>111</x:v>
      </x:c>
      <x:c r="U570" s="3" t="s">
        <x:v>112</x:v>
      </x:c>
      <x:c r="V570" s="3" t="s">
        <x:v>113</x:v>
      </x:c>
      <x:c r="W570" s="3" t="s">
        <x:v>419</x:v>
      </x:c>
      <x:c r="X570" s="3" t="s">
        <x:v>115</x:v>
      </x:c>
      <x:c r="Y570" s="3" t="s">
        <x:v>420</x:v>
      </x:c>
      <x:c r="Z570" s="3" t="s">
        <x:v>117</x:v>
      </x:c>
      <x:c r="AA570" s="3" t="s">
        <x:v>118</x:v>
      </x:c>
      <x:c r="AB570" s="7" t="n">
        <x:v>46289.3604166667</x:v>
      </x:c>
      <x:c r="AC570" s="7" t="n">
        <x:v>46289.3631944444</x:v>
      </x:c>
      <x:c r="AD570" s="7" t="n">
        <x:v>46289.3694444444</x:v>
      </x:c>
      <x:c r="AE570" s="7" t="n">
        <x:v>46289.3902777778</x:v>
      </x:c>
      <x:c r="AF570" s="7" t="n">
        <x:v>46289.45625</x:v>
      </x:c>
      <x:c r="AG570" s="3" t="n">
        <x:v>43</x:v>
      </x:c>
      <x:c r="AH570" s="3" t="n">
        <x:v>86</x:v>
      </x:c>
      <x:c r="AI570" s="3" t="s">
        <x:v>135</x:v>
      </x:c>
      <x:c r="AJ570" s="3" t="s">
        <x:v>135</x:v>
      </x:c>
      <x:c r="AK570" s="3" t="n">
        <x:v>120</x:v>
      </x:c>
      <x:c r="AL570" s="3" t="n">
        <x:v>0</x:v>
      </x:c>
      <x:c r="AM570" s="8" t="n">
        <x:v>1.075</x:v>
      </x:c>
      <x:c r="AN570" s="3" t="n">
        <x:v>0</x:v>
      </x:c>
      <x:c r="AO570" s="3" t="s">
        <x:v>19</x:v>
      </x:c>
      <x:c r="AP570" s="3" t="s">
        <x:v>495</x:v>
      </x:c>
      <x:c r="AQ570" s="3" t="s">
        <x:v>340</x:v>
      </x:c>
      <x:c r="AR570" s="9" t="n">
        <x:v>1452.7</x:v>
      </x:c>
      <x:c r="AS570" s="3" t="s">
        <x:v>185</x:v>
      </x:c>
      <x:c r="AT570" s="7" t="n">
        <x:v>46301.9166666667</x:v>
      </x:c>
    </x:row>
    <x:row r="571" ht="31.299999237060547" hidden="0">
      <x:c r="A571" s="3" t="s">
        <x:v>1116</x:v>
      </x:c>
      <x:c r="B571" s="3" t="s">
        <x:v>222</x:v>
      </x:c>
      <x:c r="C571" s="3" t="s">
        <x:v>223</x:v>
      </x:c>
      <x:c r="D571" s="3" t="s">
        <x:v>224</x:v>
      </x:c>
      <x:c r="E571" s="3" t="s">
        <x:v>249</x:v>
      </x:c>
      <x:c r="F571" s="3" t="s">
        <x:v>99</x:v>
      </x:c>
      <x:c r="G571" s="3" t="s">
        <x:v>458</x:v>
      </x:c>
      <x:c r="H571" s="3" t="s">
        <x:v>339</x:v>
      </x:c>
      <x:c r="I571" s="3" t="s">
        <x:v>102</x:v>
      </x:c>
      <x:c r="J571" s="3" t="s">
        <x:v>103</x:v>
      </x:c>
      <x:c r="K571" s="3" t="s">
        <x:v>104</x:v>
      </x:c>
      <x:c r="L571" s="3" t="s">
        <x:v>226</x:v>
      </x:c>
      <x:c r="M571" s="3" t="s">
        <x:v>227</x:v>
      </x:c>
      <x:c r="N571" s="3" t="s">
        <x:v>228</x:v>
      </x:c>
      <x:c r="O571" s="3" t="s">
        <x:v>229</x:v>
      </x:c>
      <x:c r="P571" s="3" t="s">
        <x:v>230</x:v>
      </x:c>
      <x:c r="Q571" s="3" t="s">
        <x:v>274</x:v>
      </x:c>
      <x:c r="R571" s="3" t="s">
        <x:v>391</x:v>
      </x:c>
      <x:c r="S571" s="3" t="s">
        <x:v>135</x:v>
      </x:c>
      <x:c r="T571" s="3" t="s">
        <x:v>135</x:v>
      </x:c>
      <x:c r="U571" s="3" t="s">
        <x:v>392</x:v>
      </x:c>
      <x:c r="V571" s="3" t="s">
        <x:v>312</x:v>
      </x:c>
      <x:c r="W571" s="3" t="s">
        <x:v>351</x:v>
      </x:c>
      <x:c r="X571" s="3" t="s">
        <x:v>314</x:v>
      </x:c>
      <x:c r="Y571" s="3" t="s">
        <x:v>352</x:v>
      </x:c>
      <x:c r="Z571" s="3" t="s">
        <x:v>393</x:v>
      </x:c>
      <x:c r="AA571" s="3" t="s">
        <x:v>394</x:v>
      </x:c>
      <x:c r="AB571" s="7" t="n">
        <x:v>46289.4340277778</x:v>
      </x:c>
      <x:c r="AC571" s="7" t="n">
        <x:v>46289.4375</x:v>
      </x:c>
      <x:c r="AD571" s="7" t="n">
        <x:v>46289.4388888889</x:v>
      </x:c>
      <x:c r="AE571" s="7" t="n">
        <x:v>46289.4555555556</x:v>
      </x:c>
      <x:c r="AF571" s="7" t="n">
        <x:v>46289.4756944444</x:v>
      </x:c>
      <x:c r="AG571" s="3" t="n">
        <x:v>31</x:v>
      </x:c>
      <x:c r="AH571" s="3" t="n">
        <x:v>24</x:v>
      </x:c>
      <x:c r="AI571" s="3" t="s">
        <x:v>135</x:v>
      </x:c>
      <x:c r="AJ571" s="3" t="s">
        <x:v>135</x:v>
      </x:c>
      <x:c r="AK571" s="3" t="n">
        <x:v>180</x:v>
      </x:c>
      <x:c r="AL571" s="3" t="n">
        <x:v>0</x:v>
      </x:c>
      <x:c r="AM571" s="8" t="n">
        <x:v>0.3056</x:v>
      </x:c>
      <x:c r="AN571" s="3" t="n">
        <x:v>1</x:v>
      </x:c>
      <x:c r="AO571" s="3" t="s">
        <x:v>9</x:v>
      </x:c>
      <x:c r="AP571" s="3" t="s">
        <x:v>500</x:v>
      </x:c>
      <x:c r="AQ571" s="3" t="s">
        <x:v>546</x:v>
      </x:c>
      <x:c r="AR571" s="9" t="n">
        <x:v>572.3</x:v>
      </x:c>
      <x:c r="AS571" s="3" t="s">
        <x:v>121</x:v>
      </x:c>
      <x:c r="AT571" s="7" t="n">
        <x:v>46301.9166666667</x:v>
      </x:c>
    </x:row>
    <x:row r="572" ht="31.299999237060547" hidden="0">
      <x:c r="A572" s="3" t="s">
        <x:v>1117</x:v>
      </x:c>
      <x:c r="B572" s="3" t="s">
        <x:v>123</x:v>
      </x:c>
      <x:c r="C572" s="3" t="s">
        <x:v>124</x:v>
      </x:c>
      <x:c r="D572" s="3" t="s">
        <x:v>125</x:v>
      </x:c>
      <x:c r="E572" s="3" t="s">
        <x:v>249</x:v>
      </x:c>
      <x:c r="F572" s="3" t="s">
        <x:v>169</x:v>
      </x:c>
      <x:c r="G572" s="3" t="s">
        <x:v>447</x:v>
      </x:c>
      <x:c r="H572" s="3" t="s">
        <x:v>343</x:v>
      </x:c>
      <x:c r="I572" s="3" t="s">
        <x:v>102</x:v>
      </x:c>
      <x:c r="J572" s="3" t="s">
        <x:v>103</x:v>
      </x:c>
      <x:c r="K572" s="3" t="s">
        <x:v>104</x:v>
      </x:c>
      <x:c r="L572" s="3" t="s">
        <x:v>129</x:v>
      </x:c>
      <x:c r="M572" s="3" t="s">
        <x:v>130</x:v>
      </x:c>
      <x:c r="N572" s="3" t="s">
        <x:v>131</x:v>
      </x:c>
      <x:c r="O572" s="3" t="s">
        <x:v>132</x:v>
      </x:c>
      <x:c r="P572" s="3" t="s">
        <x:v>133</x:v>
      </x:c>
      <x:c r="Q572" s="3" t="s">
        <x:v>268</x:v>
      </x:c>
      <x:c r="R572" s="3" t="s">
        <x:v>344</x:v>
      </x:c>
      <x:c r="S572" s="3" t="s">
        <x:v>111</x:v>
      </x:c>
      <x:c r="T572" s="3" t="s">
        <x:v>111</x:v>
      </x:c>
      <x:c r="U572" s="3" t="s">
        <x:v>345</x:v>
      </x:c>
      <x:c r="V572" s="3" t="s">
        <x:v>178</x:v>
      </x:c>
      <x:c r="W572" s="3" t="s">
        <x:v>179</x:v>
      </x:c>
      <x:c r="X572" s="3" t="s">
        <x:v>180</x:v>
      </x:c>
      <x:c r="Y572" s="3" t="s">
        <x:v>414</x:v>
      </x:c>
      <x:c r="Z572" s="3" t="s">
        <x:v>346</x:v>
      </x:c>
      <x:c r="AA572" s="3" t="s">
        <x:v>118</x:v>
      </x:c>
      <x:c r="AB572" s="7" t="n">
        <x:v>46289.4673611111</x:v>
      </x:c>
      <x:c r="AC572" s="7" t="n">
        <x:v>46289.4694444445</x:v>
      </x:c>
      <x:c r="AD572" s="7" t="n">
        <x:v>46289.475</x:v>
      </x:c>
      <x:c r="AE572" s="7" t="n">
        <x:v>46289.4805555556</x:v>
      </x:c>
      <x:c r="AF572" s="7" t="n">
        <x:v>46289.5208333333</x:v>
      </x:c>
      <x:c r="AG572" s="3" t="n">
        <x:v>19</x:v>
      </x:c>
      <x:c r="AH572" s="3" t="n">
        <x:v>52</x:v>
      </x:c>
      <x:c r="AI572" s="3" t="s">
        <x:v>135</x:v>
      </x:c>
      <x:c r="AJ572" s="3" t="s">
        <x:v>135</x:v>
      </x:c>
      <x:c r="AK572" s="3" t="n">
        <x:v>120</x:v>
      </x:c>
      <x:c r="AL572" s="3" t="n">
        <x:v>0</x:v>
      </x:c>
      <x:c r="AM572" s="8" t="n">
        <x:v>0.5917</x:v>
      </x:c>
      <x:c r="AN572" s="3" t="n">
        <x:v>2</x:v>
      </x:c>
      <x:c r="AO572" s="3" t="s">
        <x:v>14</x:v>
      </x:c>
      <x:c r="AP572" s="3" t="s">
        <x:v>573</x:v>
      </x:c>
      <x:c r="AQ572" s="3" t="s">
        <x:v>472</x:v>
      </x:c>
      <x:c r="AR572" s="9" t="n">
        <x:v>719.9</x:v>
      </x:c>
      <x:c r="AS572" s="3" t="s">
        <x:v>121</x:v>
      </x:c>
      <x:c r="AT572" s="7" t="n">
        <x:v>46301.9166666667</x:v>
      </x:c>
    </x:row>
    <x:row r="573" ht="31.299999237060547" hidden="0">
      <x:c r="A573" s="3" t="s">
        <x:v>1118</x:v>
      </x:c>
      <x:c r="B573" s="3" t="s">
        <x:v>83</x:v>
      </x:c>
      <x:c r="C573" s="3" t="s">
        <x:v>96</x:v>
      </x:c>
      <x:c r="D573" s="3" t="s">
        <x:v>97</x:v>
      </x:c>
      <x:c r="E573" s="3" t="s">
        <x:v>249</x:v>
      </x:c>
      <x:c r="F573" s="3" t="s">
        <x:v>127</x:v>
      </x:c>
      <x:c r="G573" s="3" t="s">
        <x:v>349</x:v>
      </x:c>
      <x:c r="H573" s="3" t="s">
        <x:v>343</x:v>
      </x:c>
      <x:c r="I573" s="3" t="s">
        <x:v>102</x:v>
      </x:c>
      <x:c r="J573" s="3" t="s">
        <x:v>103</x:v>
      </x:c>
      <x:c r="K573" s="3" t="s">
        <x:v>104</x:v>
      </x:c>
      <x:c r="L573" s="3" t="s">
        <x:v>105</x:v>
      </x:c>
      <x:c r="M573" s="3" t="s">
        <x:v>106</x:v>
      </x:c>
      <x:c r="N573" s="3" t="s">
        <x:v>107</x:v>
      </x:c>
      <x:c r="O573" s="3" t="s">
        <x:v>108</x:v>
      </x:c>
      <x:c r="P573" s="3" t="s">
        <x:v>109</x:v>
      </x:c>
      <x:c r="Q573" s="3" t="s">
        <x:v>250</x:v>
      </x:c>
      <x:c r="R573" s="3" t="s">
        <x:v>344</x:v>
      </x:c>
      <x:c r="S573" s="3" t="s">
        <x:v>111</x:v>
      </x:c>
      <x:c r="T573" s="3" t="s">
        <x:v>111</x:v>
      </x:c>
      <x:c r="U573" s="3" t="s">
        <x:v>345</x:v>
      </x:c>
      <x:c r="V573" s="3" t="s">
        <x:v>178</x:v>
      </x:c>
      <x:c r="W573" s="3" t="s">
        <x:v>355</x:v>
      </x:c>
      <x:c r="X573" s="3" t="s">
        <x:v>180</x:v>
      </x:c>
      <x:c r="Y573" s="3" t="s">
        <x:v>356</x:v>
      </x:c>
      <x:c r="Z573" s="3" t="s">
        <x:v>346</x:v>
      </x:c>
      <x:c r="AA573" s="3" t="s">
        <x:v>118</x:v>
      </x:c>
      <x:c r="AB573" s="7" t="n">
        <x:v>46289.5493055556</x:v>
      </x:c>
      <x:c r="AC573" s="7" t="n">
        <x:v>46289.5527777778</x:v>
      </x:c>
      <x:c r="AD573" s="7" t="n">
        <x:v>46289.55625</x:v>
      </x:c>
      <x:c r="AE573" s="7" t="n">
        <x:v>46289.5694444444</x:v>
      </x:c>
      <x:c r="AF573" s="7" t="n">
        <x:v>46289.6055555556</x:v>
      </x:c>
      <x:c r="AG573" s="3" t="n">
        <x:v>29</x:v>
      </x:c>
      <x:c r="AH573" s="3" t="n">
        <x:v>42</x:v>
      </x:c>
      <x:c r="AI573" s="3" t="s">
        <x:v>111</x:v>
      </x:c>
      <x:c r="AJ573" s="3" t="s">
        <x:v>111</x:v>
      </x:c>
      <x:c r="AK573" s="3" t="n">
        <x:v>60</x:v>
      </x:c>
      <x:c r="AL573" s="3" t="n">
        <x:v>0</x:v>
      </x:c>
      <x:c r="AM573" s="8" t="n">
        <x:v>1.1833</x:v>
      </x:c>
      <x:c r="AN573" s="3" t="n">
        <x:v>4</x:v>
      </x:c>
      <x:c r="AO573" s="3" t="s">
        <x:v>24</x:v>
      </x:c>
      <x:c r="AP573" s="3" t="s">
        <x:v>1053</x:v>
      </x:c>
      <x:c r="AQ573" s="3" t="s">
        <x:v>1033</x:v>
      </x:c>
      <x:c r="AR573" s="9" t="n">
        <x:v>1262.9</x:v>
      </x:c>
      <x:c r="AS573" s="3" t="s">
        <x:v>185</x:v>
      </x:c>
      <x:c r="AT573" s="7" t="n">
        <x:v>46301.9166666667</x:v>
      </x:c>
    </x:row>
    <x:row r="574" ht="31.299999237060547" hidden="0">
      <x:c r="A574" s="3" t="s">
        <x:v>1119</x:v>
      </x:c>
      <x:c r="B574" s="3" t="s">
        <x:v>297</x:v>
      </x:c>
      <x:c r="C574" s="3" t="s">
        <x:v>298</x:v>
      </x:c>
      <x:c r="D574" s="3" t="s">
        <x:v>299</x:v>
      </x:c>
      <x:c r="E574" s="3" t="s">
        <x:v>249</x:v>
      </x:c>
      <x:c r="F574" s="3" t="s">
        <x:v>169</x:v>
      </x:c>
      <x:c r="G574" s="3" t="s">
        <x:v>598</x:v>
      </x:c>
      <x:c r="H574" s="3" t="s">
        <x:v>301</x:v>
      </x:c>
      <x:c r="I574" s="3" t="s">
        <x:v>302</x:v>
      </x:c>
      <x:c r="J574" s="3" t="s">
        <x:v>303</x:v>
      </x:c>
      <x:c r="K574" s="3" t="s">
        <x:v>104</x:v>
      </x:c>
      <x:c r="L574" s="3" t="s">
        <x:v>304</x:v>
      </x:c>
      <x:c r="M574" s="3" t="s">
        <x:v>305</x:v>
      </x:c>
      <x:c r="N574" s="3" t="s">
        <x:v>306</x:v>
      </x:c>
      <x:c r="O574" s="3" t="s">
        <x:v>307</x:v>
      </x:c>
      <x:c r="P574" s="3" t="s">
        <x:v>308</x:v>
      </x:c>
      <x:c r="Q574" s="3" t="s">
        <x:v>309</x:v>
      </x:c>
      <x:c r="R574" s="3" t="s">
        <x:v>196</x:v>
      </x:c>
      <x:c r="S574" s="3" t="s">
        <x:v>111</x:v>
      </x:c>
      <x:c r="T574" s="3" t="s">
        <x:v>111</x:v>
      </x:c>
      <x:c r="U574" s="3" t="s">
        <x:v>197</x:v>
      </x:c>
      <x:c r="V574" s="3" t="s">
        <x:v>198</x:v>
      </x:c>
      <x:c r="W574" s="3" t="s">
        <x:v>199</x:v>
      </x:c>
      <x:c r="X574" s="3" t="s">
        <x:v>366</x:v>
      </x:c>
      <x:c r="Y574" s="3" t="s">
        <x:v>527</x:v>
      </x:c>
      <x:c r="Z574" s="3" t="s">
        <x:v>201</x:v>
      </x:c>
      <x:c r="AA574" s="3" t="s">
        <x:v>368</x:v>
      </x:c>
      <x:c r="AB574" s="7" t="n">
        <x:v>46289.5930555556</x:v>
      </x:c>
      <x:c r="AC574" s="7" t="n">
        <x:v>46289.5965277778</x:v>
      </x:c>
      <x:c r="AD574" s="7" t="n">
        <x:v>46289.6020833333</x:v>
      </x:c>
      <x:c r="AE574" s="7" t="n">
        <x:v>46289.6243055556</x:v>
      </x:c>
      <x:c r="AF574" s="7" t="n">
        <x:v>46289.6805555556</x:v>
      </x:c>
      <x:c r="AG574" s="3" t="n">
        <x:v>45</x:v>
      </x:c>
      <x:c r="AH574" s="3" t="n">
        <x:v>72</x:v>
      </x:c>
      <x:c r="AI574" s="3" t="s">
        <x:v>135</x:v>
      </x:c>
      <x:c r="AJ574" s="3" t="s">
        <x:v>111</x:v>
      </x:c>
      <x:c r="AK574" s="3" t="n">
        <x:v>120</x:v>
      </x:c>
      <x:c r="AL574" s="3" t="n">
        <x:v>0</x:v>
      </x:c>
      <x:c r="AM574" s="8" t="n">
        <x:v>0.975</x:v>
      </x:c>
      <x:c r="AN574" s="3" t="n">
        <x:v>1</x:v>
      </x:c>
      <x:c r="AO574" s="3" t="s">
        <x:v>19</x:v>
      </x:c>
      <x:c r="AP574" s="3" t="s">
        <x:v>515</x:v>
      </x:c>
      <x:c r="AQ574" s="3" t="s">
        <x:v>603</x:v>
      </x:c>
      <x:c r="AR574" s="9" t="n">
        <x:v>1360.9</x:v>
      </x:c>
      <x:c r="AS574" s="3" t="s">
        <x:v>185</x:v>
      </x:c>
      <x:c r="AT574" s="7" t="n">
        <x:v>46301.9166666667</x:v>
      </x:c>
    </x:row>
    <x:row r="575" ht="31.299999237060547" hidden="0">
      <x:c r="A575" s="3" t="s">
        <x:v>1120</x:v>
      </x:c>
      <x:c r="B575" s="3" t="s">
        <x:v>123</x:v>
      </x:c>
      <x:c r="C575" s="3" t="s">
        <x:v>124</x:v>
      </x:c>
      <x:c r="D575" s="3" t="s">
        <x:v>125</x:v>
      </x:c>
      <x:c r="E575" s="3" t="s">
        <x:v>249</x:v>
      </x:c>
      <x:c r="F575" s="3" t="s">
        <x:v>99</x:v>
      </x:c>
      <x:c r="G575" s="3" t="s">
        <x:v>486</x:v>
      </x:c>
      <x:c r="H575" s="3" t="s">
        <x:v>101</x:v>
      </x:c>
      <x:c r="I575" s="3" t="s">
        <x:v>102</x:v>
      </x:c>
      <x:c r="J575" s="3" t="s">
        <x:v>103</x:v>
      </x:c>
      <x:c r="K575" s="3" t="s">
        <x:v>104</x:v>
      </x:c>
      <x:c r="L575" s="3" t="s">
        <x:v>129</x:v>
      </x:c>
      <x:c r="M575" s="3" t="s">
        <x:v>130</x:v>
      </x:c>
      <x:c r="N575" s="3" t="s">
        <x:v>131</x:v>
      </x:c>
      <x:c r="O575" s="3" t="s">
        <x:v>132</x:v>
      </x:c>
      <x:c r="P575" s="3" t="s">
        <x:v>133</x:v>
      </x:c>
      <x:c r="Q575" s="3" t="s">
        <x:v>268</x:v>
      </x:c>
      <x:c r="R575" s="3" t="s">
        <x:v>176</x:v>
      </x:c>
      <x:c r="S575" s="3" t="s">
        <x:v>135</x:v>
      </x:c>
      <x:c r="T575" s="3" t="s">
        <x:v>135</x:v>
      </x:c>
      <x:c r="U575" s="3" t="s">
        <x:v>177</x:v>
      </x:c>
      <x:c r="V575" s="3" t="s">
        <x:v>178</x:v>
      </x:c>
      <x:c r="W575" s="3" t="s">
        <x:v>332</x:v>
      </x:c>
      <x:c r="X575" s="3" t="s">
        <x:v>180</x:v>
      </x:c>
      <x:c r="Y575" s="3" t="s">
        <x:v>333</x:v>
      </x:c>
      <x:c r="Z575" s="3" t="s">
        <x:v>182</x:v>
      </x:c>
      <x:c r="AA575" s="3" t="s">
        <x:v>118</x:v>
      </x:c>
      <x:c r="AB575" s="7" t="n">
        <x:v>46289.6111111111</x:v>
      </x:c>
      <x:c r="AC575" s="7" t="n">
        <x:v>46289.6131944444</x:v>
      </x:c>
      <x:c r="AD575" s="7" t="n">
        <x:v>46289.6145833333</x:v>
      </x:c>
      <x:c r="AE575" s="7" t="n">
        <x:v>46289.6368055556</x:v>
      </x:c>
      <x:c r="AF575" s="7" t="n">
        <x:v>46289.6625</x:v>
      </x:c>
      <x:c r="AG575" s="3" t="n">
        <x:v>37</x:v>
      </x:c>
      <x:c r="AH575" s="3" t="n">
        <x:v>31</x:v>
      </x:c>
      <x:c r="AI575" s="3" t="s">
        <x:v>135</x:v>
      </x:c>
      <x:c r="AJ575" s="3" t="s">
        <x:v>135</x:v>
      </x:c>
      <x:c r="AK575" s="3" t="n">
        <x:v>180</x:v>
      </x:c>
      <x:c r="AL575" s="3" t="n">
        <x:v>0</x:v>
      </x:c>
      <x:c r="AM575" s="8" t="n">
        <x:v>0.3778</x:v>
      </x:c>
      <x:c r="AN575" s="3" t="n">
        <x:v>1</x:v>
      </x:c>
      <x:c r="AO575" s="3" t="s">
        <x:v>9</x:v>
      </x:c>
      <x:c r="AP575" s="3" t="s">
        <x:v>500</x:v>
      </x:c>
      <x:c r="AQ575" s="3" t="s">
        <x:v>472</x:v>
      </x:c>
      <x:c r="AR575" s="9" t="n">
        <x:v>649.7</x:v>
      </x:c>
      <x:c r="AS575" s="3" t="s">
        <x:v>144</x:v>
      </x:c>
      <x:c r="AT575" s="7" t="n">
        <x:v>46301.9166666667</x:v>
      </x:c>
    </x:row>
    <x:row r="576" ht="31.299999237060547" hidden="0">
      <x:c r="A576" s="3" t="s">
        <x:v>1121</x:v>
      </x:c>
      <x:c r="B576" s="3" t="s">
        <x:v>166</x:v>
      </x:c>
      <x:c r="C576" s="3" t="s">
        <x:v>167</x:v>
      </x:c>
      <x:c r="D576" s="3" t="s">
        <x:v>168</x:v>
      </x:c>
      <x:c r="E576" s="3" t="s">
        <x:v>249</x:v>
      </x:c>
      <x:c r="F576" s="3" t="s">
        <x:v>169</x:v>
      </x:c>
      <x:c r="G576" s="3" t="s">
        <x:v>469</x:v>
      </x:c>
      <x:c r="H576" s="3" t="s">
        <x:v>301</x:v>
      </x:c>
      <x:c r="I576" s="3" t="s">
        <x:v>302</x:v>
      </x:c>
      <x:c r="J576" s="3" t="s">
        <x:v>303</x:v>
      </x:c>
      <x:c r="K576" s="3" t="s">
        <x:v>104</x:v>
      </x:c>
      <x:c r="L576" s="3" t="s">
        <x:v>171</x:v>
      </x:c>
      <x:c r="M576" s="3" t="s">
        <x:v>172</x:v>
      </x:c>
      <x:c r="N576" s="3" t="s">
        <x:v>173</x:v>
      </x:c>
      <x:c r="O576" s="3" t="s">
        <x:v>174</x:v>
      </x:c>
      <x:c r="P576" s="3" t="s">
        <x:v>175</x:v>
      </x:c>
      <x:c r="Q576" s="3" t="s">
        <x:v>271</x:v>
      </x:c>
      <x:c r="R576" s="3" t="s">
        <x:v>110</x:v>
      </x:c>
      <x:c r="S576" s="3" t="s">
        <x:v>111</x:v>
      </x:c>
      <x:c r="T576" s="3" t="s">
        <x:v>111</x:v>
      </x:c>
      <x:c r="U576" s="3" t="s">
        <x:v>112</x:v>
      </x:c>
      <x:c r="V576" s="3" t="s">
        <x:v>113</x:v>
      </x:c>
      <x:c r="W576" s="3" t="s">
        <x:v>114</x:v>
      </x:c>
      <x:c r="X576" s="3" t="s">
        <x:v>115</x:v>
      </x:c>
      <x:c r="Y576" s="3" t="s">
        <x:v>116</x:v>
      </x:c>
      <x:c r="Z576" s="3" t="s">
        <x:v>117</x:v>
      </x:c>
      <x:c r="AA576" s="3" t="s">
        <x:v>118</x:v>
      </x:c>
      <x:c r="AB576" s="7" t="n">
        <x:v>46289.65625</x:v>
      </x:c>
      <x:c r="AC576" s="7" t="n">
        <x:v>46289.6597222222</x:v>
      </x:c>
      <x:c r="AD576" s="7" t="n">
        <x:v>46289.6625</x:v>
      </x:c>
      <x:c r="AE576" s="7" t="n">
        <x:v>46289.6729166667</x:v>
      </x:c>
      <x:c r="AF576" s="7" t="n">
        <x:v>46289.7111111111</x:v>
      </x:c>
      <x:c r="AG576" s="3" t="n">
        <x:v>24</x:v>
      </x:c>
      <x:c r="AH576" s="3" t="n">
        <x:v>48</x:v>
      </x:c>
      <x:c r="AI576" s="3" t="s">
        <x:v>135</x:v>
      </x:c>
      <x:c r="AJ576" s="3" t="s">
        <x:v>135</x:v>
      </x:c>
      <x:c r="AK576" s="3" t="n">
        <x:v>120</x:v>
      </x:c>
      <x:c r="AL576" s="3" t="n">
        <x:v>0</x:v>
      </x:c>
      <x:c r="AM576" s="8" t="n">
        <x:v>0.6</x:v>
      </x:c>
      <x:c r="AN576" s="3" t="n">
        <x:v>2</x:v>
      </x:c>
      <x:c r="AO576" s="3" t="s">
        <x:v>14</x:v>
      </x:c>
      <x:c r="AP576" s="3" t="s">
        <x:v>717</x:v>
      </x:c>
      <x:c r="AQ576" s="3" t="s">
        <x:v>501</x:v>
      </x:c>
      <x:c r="AR576" s="9" t="n">
        <x:v>1093.6</x:v>
      </x:c>
      <x:c r="AS576" s="3" t="s">
        <x:v>121</x:v>
      </x:c>
      <x:c r="AT576" s="7" t="n">
        <x:v>46301.9166666667</x:v>
      </x:c>
    </x:row>
    <x:row r="577" ht="31.299999237060547" hidden="0">
      <x:c r="A577" s="3" t="s">
        <x:v>1122</x:v>
      </x:c>
      <x:c r="B577" s="3" t="s">
        <x:v>166</x:v>
      </x:c>
      <x:c r="C577" s="3" t="s">
        <x:v>167</x:v>
      </x:c>
      <x:c r="D577" s="3" t="s">
        <x:v>168</x:v>
      </x:c>
      <x:c r="E577" s="3" t="s">
        <x:v>249</x:v>
      </x:c>
      <x:c r="F577" s="3" t="s">
        <x:v>169</x:v>
      </x:c>
      <x:c r="G577" s="3" t="s">
        <x:v>416</x:v>
      </x:c>
      <x:c r="H577" s="3" t="s">
        <x:v>339</x:v>
      </x:c>
      <x:c r="I577" s="3" t="s">
        <x:v>102</x:v>
      </x:c>
      <x:c r="J577" s="3" t="s">
        <x:v>103</x:v>
      </x:c>
      <x:c r="K577" s="3" t="s">
        <x:v>104</x:v>
      </x:c>
      <x:c r="L577" s="3" t="s">
        <x:v>171</x:v>
      </x:c>
      <x:c r="M577" s="3" t="s">
        <x:v>172</x:v>
      </x:c>
      <x:c r="N577" s="3" t="s">
        <x:v>173</x:v>
      </x:c>
      <x:c r="O577" s="3" t="s">
        <x:v>174</x:v>
      </x:c>
      <x:c r="P577" s="3" t="s">
        <x:v>175</x:v>
      </x:c>
      <x:c r="Q577" s="3" t="s">
        <x:v>271</x:v>
      </x:c>
      <x:c r="R577" s="3" t="s">
        <x:v>373</x:v>
      </x:c>
      <x:c r="S577" s="3" t="s">
        <x:v>135</x:v>
      </x:c>
      <x:c r="T577" s="3" t="s">
        <x:v>111</x:v>
      </x:c>
      <x:c r="U577" s="3" t="s">
        <x:v>374</x:v>
      </x:c>
      <x:c r="V577" s="3" t="s">
        <x:v>178</x:v>
      </x:c>
      <x:c r="W577" s="3" t="s">
        <x:v>179</x:v>
      </x:c>
      <x:c r="X577" s="3" t="s">
        <x:v>180</x:v>
      </x:c>
      <x:c r="Y577" s="3" t="s">
        <x:v>414</x:v>
      </x:c>
      <x:c r="Z577" s="3" t="s">
        <x:v>375</x:v>
      </x:c>
      <x:c r="AA577" s="3" t="s">
        <x:v>118</x:v>
      </x:c>
      <x:c r="AB577" s="7" t="n">
        <x:v>46289.6625</x:v>
      </x:c>
      <x:c r="AC577" s="7" t="n">
        <x:v>46289.6666666667</x:v>
      </x:c>
      <x:c r="AD577" s="7" t="n">
        <x:v>46289.6694444444</x:v>
      </x:c>
      <x:c r="AE577" s="7" t="n">
        <x:v>46289.6888888889</x:v>
      </x:c>
      <x:c r="AF577" s="7" t="n">
        <x:v>46289.7166666667</x:v>
      </x:c>
      <x:c r="AG577" s="3" t="n">
        <x:v>38</x:v>
      </x:c>
      <x:c r="AH577" s="3" t="n">
        <x:v>34</x:v>
      </x:c>
      <x:c r="AI577" s="3" t="s">
        <x:v>135</x:v>
      </x:c>
      <x:c r="AJ577" s="3" t="s">
        <x:v>135</x:v>
      </x:c>
      <x:c r="AK577" s="3" t="n">
        <x:v>150</x:v>
      </x:c>
      <x:c r="AL577" s="3" t="n">
        <x:v>0</x:v>
      </x:c>
      <x:c r="AM577" s="8" t="n">
        <x:v>0.48</x:v>
      </x:c>
      <x:c r="AN577" s="3" t="n">
        <x:v>2</x:v>
      </x:c>
      <x:c r="AO577" s="3" t="s">
        <x:v>14</x:v>
      </x:c>
      <x:c r="AP577" s="3" t="s">
        <x:v>573</x:v>
      </x:c>
      <x:c r="AQ577" s="3" t="s">
        <x:v>501</x:v>
      </x:c>
      <x:c r="AR577" s="9" t="n">
        <x:v>1055.8</x:v>
      </x:c>
      <x:c r="AS577" s="3" t="s">
        <x:v>121</x:v>
      </x:c>
      <x:c r="AT577" s="7" t="n">
        <x:v>46301.9166666667</x:v>
      </x:c>
    </x:row>
    <x:row r="578" ht="31.299999237060547" hidden="0">
      <x:c r="A578" s="3" t="s">
        <x:v>1123</x:v>
      </x:c>
      <x:c r="B578" s="3" t="s">
        <x:v>222</x:v>
      </x:c>
      <x:c r="C578" s="3" t="s">
        <x:v>223</x:v>
      </x:c>
      <x:c r="D578" s="3" t="s">
        <x:v>224</x:v>
      </x:c>
      <x:c r="E578" s="3" t="s">
        <x:v>249</x:v>
      </x:c>
      <x:c r="F578" s="3" t="s">
        <x:v>149</x:v>
      </x:c>
      <x:c r="G578" s="3" t="s">
        <x:v>354</x:v>
      </x:c>
      <x:c r="H578" s="3" t="s">
        <x:v>101</x:v>
      </x:c>
      <x:c r="I578" s="3" t="s">
        <x:v>102</x:v>
      </x:c>
      <x:c r="J578" s="3" t="s">
        <x:v>103</x:v>
      </x:c>
      <x:c r="K578" s="3" t="s">
        <x:v>104</x:v>
      </x:c>
      <x:c r="L578" s="3" t="s">
        <x:v>226</x:v>
      </x:c>
      <x:c r="M578" s="3" t="s">
        <x:v>227</x:v>
      </x:c>
      <x:c r="N578" s="3" t="s">
        <x:v>228</x:v>
      </x:c>
      <x:c r="O578" s="3" t="s">
        <x:v>229</x:v>
      </x:c>
      <x:c r="P578" s="3" t="s">
        <x:v>230</x:v>
      </x:c>
      <x:c r="Q578" s="3" t="s">
        <x:v>274</x:v>
      </x:c>
      <x:c r="R578" s="3" t="s">
        <x:v>176</x:v>
      </x:c>
      <x:c r="S578" s="3" t="s">
        <x:v>135</x:v>
      </x:c>
      <x:c r="T578" s="3" t="s">
        <x:v>135</x:v>
      </x:c>
      <x:c r="U578" s="3" t="s">
        <x:v>177</x:v>
      </x:c>
      <x:c r="V578" s="3" t="s">
        <x:v>178</x:v>
      </x:c>
      <x:c r="W578" s="3" t="s">
        <x:v>332</x:v>
      </x:c>
      <x:c r="X578" s="3" t="s">
        <x:v>180</x:v>
      </x:c>
      <x:c r="Y578" s="3" t="s">
        <x:v>333</x:v>
      </x:c>
      <x:c r="Z578" s="3" t="s">
        <x:v>182</x:v>
      </x:c>
      <x:c r="AA578" s="3" t="s">
        <x:v>118</x:v>
      </x:c>
      <x:c r="AB578" s="7" t="n">
        <x:v>46289.7201388889</x:v>
      </x:c>
      <x:c r="AC578" s="7" t="n">
        <x:v>46289.7222222222</x:v>
      </x:c>
      <x:c r="AD578" s="7" t="n">
        <x:v>46289.725</x:v>
      </x:c>
      <x:c r="AE578" s="7" t="n">
        <x:v>46289.7305555556</x:v>
      </x:c>
      <x:c r="AF578" s="7" t="n">
        <x:v>46289.76875</x:v>
      </x:c>
      <x:c r="AG578" s="3" t="n">
        <x:v>15</x:v>
      </x:c>
      <x:c r="AH578" s="3" t="n">
        <x:v>50</x:v>
      </x:c>
      <x:c r="AI578" s="3" t="s">
        <x:v>135</x:v>
      </x:c>
      <x:c r="AJ578" s="3" t="s">
        <x:v>135</x:v>
      </x:c>
      <x:c r="AK578" s="3" t="n">
        <x:v>180</x:v>
      </x:c>
      <x:c r="AL578" s="3" t="n">
        <x:v>0</x:v>
      </x:c>
      <x:c r="AM578" s="8" t="n">
        <x:v>0.3611</x:v>
      </x:c>
      <x:c r="AN578" s="3" t="n">
        <x:v>4</x:v>
      </x:c>
      <x:c r="AO578" s="3" t="s">
        <x:v>14</x:v>
      </x:c>
      <x:c r="AP578" s="3" t="s">
        <x:v>889</x:v>
      </x:c>
      <x:c r="AQ578" s="3" t="s">
        <x:v>1098</x:v>
      </x:c>
      <x:c r="AR578" s="9" t="n">
        <x:v>937.5</x:v>
      </x:c>
      <x:c r="AS578" s="3" t="s">
        <x:v>185</x:v>
      </x:c>
      <x:c r="AT578" s="7" t="n">
        <x:v>46301.9166666667</x:v>
      </x:c>
    </x:row>
    <x:row r="579" ht="31.299999237060547" hidden="0">
      <x:c r="A579" s="3" t="s">
        <x:v>1124</x:v>
      </x:c>
      <x:c r="B579" s="3" t="s">
        <x:v>233</x:v>
      </x:c>
      <x:c r="C579" s="3" t="s">
        <x:v>234</x:v>
      </x:c>
      <x:c r="D579" s="3" t="s">
        <x:v>235</x:v>
      </x:c>
      <x:c r="E579" s="3" t="s">
        <x:v>249</x:v>
      </x:c>
      <x:c r="F579" s="3" t="s">
        <x:v>169</x:v>
      </x:c>
      <x:c r="G579" s="3" t="s">
        <x:v>520</x:v>
      </x:c>
      <x:c r="H579" s="3" t="s">
        <x:v>343</x:v>
      </x:c>
      <x:c r="I579" s="3" t="s">
        <x:v>102</x:v>
      </x:c>
      <x:c r="J579" s="3" t="s">
        <x:v>103</x:v>
      </x:c>
      <x:c r="K579" s="3" t="s">
        <x:v>104</x:v>
      </x:c>
      <x:c r="L579" s="3" t="s">
        <x:v>237</x:v>
      </x:c>
      <x:c r="M579" s="3" t="s">
        <x:v>172</x:v>
      </x:c>
      <x:c r="N579" s="3" t="s">
        <x:v>238</x:v>
      </x:c>
      <x:c r="O579" s="3" t="s">
        <x:v>239</x:v>
      </x:c>
      <x:c r="P579" s="3" t="s">
        <x:v>240</x:v>
      </x:c>
      <x:c r="Q579" s="3" t="s">
        <x:v>276</x:v>
      </x:c>
      <x:c r="R579" s="3" t="s">
        <x:v>380</x:v>
      </x:c>
      <x:c r="S579" s="3" t="s">
        <x:v>111</x:v>
      </x:c>
      <x:c r="T579" s="3" t="s">
        <x:v>111</x:v>
      </x:c>
      <x:c r="U579" s="3" t="s">
        <x:v>381</x:v>
      </x:c>
      <x:c r="V579" s="3" t="s">
        <x:v>312</x:v>
      </x:c>
      <x:c r="W579" s="3" t="s">
        <x:v>382</x:v>
      </x:c>
      <x:c r="X579" s="3" t="s">
        <x:v>314</x:v>
      </x:c>
      <x:c r="Y579" s="3" t="s">
        <x:v>383</x:v>
      </x:c>
      <x:c r="Z579" s="3" t="s">
        <x:v>384</x:v>
      </x:c>
      <x:c r="AA579" s="3" t="s">
        <x:v>385</x:v>
      </x:c>
      <x:c r="AB579" s="7" t="n">
        <x:v>46289.8194444444</x:v>
      </x:c>
      <x:c r="AC579" s="7" t="n">
        <x:v>46289.8243055556</x:v>
      </x:c>
      <x:c r="AD579" s="7" t="n">
        <x:v>46289.8305555556</x:v>
      </x:c>
      <x:c r="AE579" s="7" t="n">
        <x:v>46289.84375</x:v>
      </x:c>
      <x:c r="AF579" s="7" t="n">
        <x:v>46289.8569444444</x:v>
      </x:c>
      <x:c r="AG579" s="3" t="n">
        <x:v>35</x:v>
      </x:c>
      <x:c r="AH579" s="3" t="n">
        <x:v>12</x:v>
      </x:c>
      <x:c r="AI579" s="3" t="s">
        <x:v>135</x:v>
      </x:c>
      <x:c r="AJ579" s="3" t="s">
        <x:v>111</x:v>
      </x:c>
      <x:c r="AK579" s="3" t="n">
        <x:v>120</x:v>
      </x:c>
      <x:c r="AL579" s="3" t="n">
        <x:v>0</x:v>
      </x:c>
      <x:c r="AM579" s="8" t="n">
        <x:v>0.3917</x:v>
      </x:c>
      <x:c r="AN579" s="3" t="n">
        <x:v>0</x:v>
      </x:c>
      <x:c r="AO579" s="3" t="s">
        <x:v>9</x:v>
      </x:c>
      <x:c r="AP579" s="3" t="s">
        <x:v>335</x:v>
      </x:c>
      <x:c r="AQ579" s="3" t="s">
        <x:v>361</x:v>
      </x:c>
      <x:c r="AR579" s="9" t="n">
        <x:v>503.9</x:v>
      </x:c>
      <x:c r="AS579" s="3" t="s">
        <x:v>144</x:v>
      </x:c>
      <x:c r="AT579" s="7" t="n">
        <x:v>46301.9166666667</x:v>
      </x:c>
    </x:row>
    <x:row r="580" ht="31.299999237060547" hidden="0">
      <x:c r="A580" s="3" t="s">
        <x:v>1125</x:v>
      </x:c>
      <x:c r="B580" s="3" t="s">
        <x:v>166</x:v>
      </x:c>
      <x:c r="C580" s="3" t="s">
        <x:v>167</x:v>
      </x:c>
      <x:c r="D580" s="3" t="s">
        <x:v>168</x:v>
      </x:c>
      <x:c r="E580" s="3" t="s">
        <x:v>249</x:v>
      </x:c>
      <x:c r="F580" s="3" t="s">
        <x:v>127</x:v>
      </x:c>
      <x:c r="G580" s="3" t="s">
        <x:v>512</x:v>
      </x:c>
      <x:c r="H580" s="3" t="s">
        <x:v>301</x:v>
      </x:c>
      <x:c r="I580" s="3" t="s">
        <x:v>302</x:v>
      </x:c>
      <x:c r="J580" s="3" t="s">
        <x:v>303</x:v>
      </x:c>
      <x:c r="K580" s="3" t="s">
        <x:v>104</x:v>
      </x:c>
      <x:c r="L580" s="3" t="s">
        <x:v>171</x:v>
      </x:c>
      <x:c r="M580" s="3" t="s">
        <x:v>172</x:v>
      </x:c>
      <x:c r="N580" s="3" t="s">
        <x:v>173</x:v>
      </x:c>
      <x:c r="O580" s="3" t="s">
        <x:v>174</x:v>
      </x:c>
      <x:c r="P580" s="3" t="s">
        <x:v>175</x:v>
      </x:c>
      <x:c r="Q580" s="3" t="s">
        <x:v>271</x:v>
      </x:c>
      <x:c r="R580" s="3" t="s">
        <x:v>214</x:v>
      </x:c>
      <x:c r="S580" s="3" t="s">
        <x:v>135</x:v>
      </x:c>
      <x:c r="T580" s="3" t="s">
        <x:v>111</x:v>
      </x:c>
      <x:c r="U580" s="3" t="s">
        <x:v>215</x:v>
      </x:c>
      <x:c r="V580" s="3" t="s">
        <x:v>216</x:v>
      </x:c>
      <x:c r="W580" s="3" t="s">
        <x:v>217</x:v>
      </x:c>
      <x:c r="X580" s="3" t="s">
        <x:v>430</x:v>
      </x:c>
      <x:c r="Y580" s="3" t="s">
        <x:v>555</x:v>
      </x:c>
      <x:c r="Z580" s="3" t="s">
        <x:v>219</x:v>
      </x:c>
      <x:c r="AA580" s="3" t="s">
        <x:v>118</x:v>
      </x:c>
      <x:c r="AB580" s="7" t="n">
        <x:v>46290.325</x:v>
      </x:c>
      <x:c r="AC580" s="7" t="n">
        <x:v>46290.3291666667</x:v>
      </x:c>
      <x:c r="AD580" s="7" t="n">
        <x:v>46290.3333333333</x:v>
      </x:c>
      <x:c r="AE580" s="7" t="n">
        <x:v>46290.3444444445</x:v>
      </x:c>
      <x:c r="AF580" s="7" t="n">
        <x:v>46290.3854166667</x:v>
      </x:c>
      <x:c r="AG580" s="3" t="n">
        <x:v>28</x:v>
      </x:c>
      <x:c r="AH580" s="3" t="n">
        <x:v>54</x:v>
      </x:c>
      <x:c r="AI580" s="3" t="s">
        <x:v>135</x:v>
      </x:c>
      <x:c r="AJ580" s="3" t="s">
        <x:v>135</x:v>
      </x:c>
      <x:c r="AK580" s="3" t="n">
        <x:v>180</x:v>
      </x:c>
      <x:c r="AL580" s="3" t="n">
        <x:v>0</x:v>
      </x:c>
      <x:c r="AM580" s="8" t="n">
        <x:v>0.4556</x:v>
      </x:c>
      <x:c r="AN580" s="3" t="n">
        <x:v>0</x:v>
      </x:c>
      <x:c r="AO580" s="3" t="s">
        <x:v>9</x:v>
      </x:c>
      <x:c r="AP580" s="3" t="s">
        <x:v>142</x:v>
      </x:c>
      <x:c r="AQ580" s="3" t="s">
        <x:v>340</x:v>
      </x:c>
      <x:c r="AR580" s="9" t="n">
        <x:v>1154.8</x:v>
      </x:c>
      <x:c r="AS580" s="3" t="s">
        <x:v>121</x:v>
      </x:c>
      <x:c r="AT580" s="7" t="n">
        <x:v>46301.9166666667</x:v>
      </x:c>
    </x:row>
    <x:row r="581" ht="31.299999237060547" hidden="0">
      <x:c r="A581" s="3" t="s">
        <x:v>1126</x:v>
      </x:c>
      <x:c r="B581" s="3" t="s">
        <x:v>187</x:v>
      </x:c>
      <x:c r="C581" s="3" t="s">
        <x:v>188</x:v>
      </x:c>
      <x:c r="D581" s="3" t="s">
        <x:v>189</x:v>
      </x:c>
      <x:c r="E581" s="3" t="s">
        <x:v>249</x:v>
      </x:c>
      <x:c r="F581" s="3" t="s">
        <x:v>99</x:v>
      </x:c>
      <x:c r="G581" s="3" t="s">
        <x:v>522</x:v>
      </x:c>
      <x:c r="H581" s="3" t="s">
        <x:v>343</x:v>
      </x:c>
      <x:c r="I581" s="3" t="s">
        <x:v>102</x:v>
      </x:c>
      <x:c r="J581" s="3" t="s">
        <x:v>103</x:v>
      </x:c>
      <x:c r="K581" s="3" t="s">
        <x:v>104</x:v>
      </x:c>
      <x:c r="L581" s="3" t="s">
        <x:v>191</x:v>
      </x:c>
      <x:c r="M581" s="3" t="s">
        <x:v>192</x:v>
      </x:c>
      <x:c r="N581" s="3" t="s">
        <x:v>193</x:v>
      </x:c>
      <x:c r="O581" s="3" t="s">
        <x:v>194</x:v>
      </x:c>
      <x:c r="P581" s="3" t="s">
        <x:v>195</x:v>
      </x:c>
      <x:c r="Q581" s="3" t="s">
        <x:v>273</x:v>
      </x:c>
      <x:c r="R581" s="3" t="s">
        <x:v>380</x:v>
      </x:c>
      <x:c r="S581" s="3" t="s">
        <x:v>111</x:v>
      </x:c>
      <x:c r="T581" s="3" t="s">
        <x:v>111</x:v>
      </x:c>
      <x:c r="U581" s="3" t="s">
        <x:v>381</x:v>
      </x:c>
      <x:c r="V581" s="3" t="s">
        <x:v>312</x:v>
      </x:c>
      <x:c r="W581" s="3" t="s">
        <x:v>351</x:v>
      </x:c>
      <x:c r="X581" s="3" t="s">
        <x:v>314</x:v>
      </x:c>
      <x:c r="Y581" s="3" t="s">
        <x:v>352</x:v>
      </x:c>
      <x:c r="Z581" s="3" t="s">
        <x:v>384</x:v>
      </x:c>
      <x:c r="AA581" s="3" t="s">
        <x:v>385</x:v>
      </x:c>
      <x:c r="AB581" s="7" t="n">
        <x:v>46290.3798611111</x:v>
      </x:c>
      <x:c r="AC581" s="7" t="n">
        <x:v>46290.3819444444</x:v>
      </x:c>
      <x:c r="AD581" s="7" t="n">
        <x:v>46290.3854166667</x:v>
      </x:c>
      <x:c r="AE581" s="7" t="n">
        <x:v>46290.4069444445</x:v>
      </x:c>
      <x:c r="AF581" s="7" t="n">
        <x:v>46290.4756944444</x:v>
      </x:c>
      <x:c r="AG581" s="3" t="n">
        <x:v>39</x:v>
      </x:c>
      <x:c r="AH581" s="3" t="n">
        <x:v>95</x:v>
      </x:c>
      <x:c r="AI581" s="3" t="s">
        <x:v>135</x:v>
      </x:c>
      <x:c r="AJ581" s="3" t="s">
        <x:v>111</x:v>
      </x:c>
      <x:c r="AK581" s="3" t="n">
        <x:v>120</x:v>
      </x:c>
      <x:c r="AL581" s="3" t="n">
        <x:v>0</x:v>
      </x:c>
      <x:c r="AM581" s="8" t="n">
        <x:v>1.1167</x:v>
      </x:c>
      <x:c r="AN581" s="3" t="n">
        <x:v>1</x:v>
      </x:c>
      <x:c r="AO581" s="3" t="s">
        <x:v>24</x:v>
      </x:c>
      <x:c r="AP581" s="3" t="s">
        <x:v>766</x:v>
      </x:c>
      <x:c r="AQ581" s="3" t="s">
        <x:v>689</x:v>
      </x:c>
      <x:c r="AR581" s="9" t="n">
        <x:v>1499.5</x:v>
      </x:c>
      <x:c r="AS581" s="3" t="s">
        <x:v>185</x:v>
      </x:c>
      <x:c r="AT581" s="7" t="n">
        <x:v>46301.9166666667</x:v>
      </x:c>
    </x:row>
    <x:row r="582" ht="31.299999237060547" hidden="0">
      <x:c r="A582" s="3" t="s">
        <x:v>1127</x:v>
      </x:c>
      <x:c r="B582" s="3" t="s">
        <x:v>187</x:v>
      </x:c>
      <x:c r="C582" s="3" t="s">
        <x:v>188</x:v>
      </x:c>
      <x:c r="D582" s="3" t="s">
        <x:v>189</x:v>
      </x:c>
      <x:c r="E582" s="3" t="s">
        <x:v>249</x:v>
      </x:c>
      <x:c r="F582" s="3" t="s">
        <x:v>99</x:v>
      </x:c>
      <x:c r="G582" s="3" t="s">
        <x:v>458</x:v>
      </x:c>
      <x:c r="H582" s="3" t="s">
        <x:v>339</x:v>
      </x:c>
      <x:c r="I582" s="3" t="s">
        <x:v>102</x:v>
      </x:c>
      <x:c r="J582" s="3" t="s">
        <x:v>103</x:v>
      </x:c>
      <x:c r="K582" s="3" t="s">
        <x:v>104</x:v>
      </x:c>
      <x:c r="L582" s="3" t="s">
        <x:v>191</x:v>
      </x:c>
      <x:c r="M582" s="3" t="s">
        <x:v>192</x:v>
      </x:c>
      <x:c r="N582" s="3" t="s">
        <x:v>193</x:v>
      </x:c>
      <x:c r="O582" s="3" t="s">
        <x:v>194</x:v>
      </x:c>
      <x:c r="P582" s="3" t="s">
        <x:v>195</x:v>
      </x:c>
      <x:c r="Q582" s="3" t="s">
        <x:v>273</x:v>
      </x:c>
      <x:c r="R582" s="3" t="s">
        <x:v>391</x:v>
      </x:c>
      <x:c r="S582" s="3" t="s">
        <x:v>135</x:v>
      </x:c>
      <x:c r="T582" s="3" t="s">
        <x:v>135</x:v>
      </x:c>
      <x:c r="U582" s="3" t="s">
        <x:v>392</x:v>
      </x:c>
      <x:c r="V582" s="3" t="s">
        <x:v>312</x:v>
      </x:c>
      <x:c r="W582" s="3" t="s">
        <x:v>313</x:v>
      </x:c>
      <x:c r="X582" s="3" t="s">
        <x:v>314</x:v>
      </x:c>
      <x:c r="Y582" s="3" t="s">
        <x:v>315</x:v>
      </x:c>
      <x:c r="Z582" s="3" t="s">
        <x:v>393</x:v>
      </x:c>
      <x:c r="AA582" s="3" t="s">
        <x:v>394</x:v>
      </x:c>
      <x:c r="AB582" s="7" t="n">
        <x:v>46290.3951388889</x:v>
      </x:c>
      <x:c r="AC582" s="7" t="n">
        <x:v>46290.3993055556</x:v>
      </x:c>
      <x:c r="AD582" s="7" t="n">
        <x:v>46290.4048611111</x:v>
      </x:c>
      <x:c r="AE582" s="7" t="n">
        <x:v>46290.4402777778</x:v>
      </x:c>
      <x:c r="AF582" s="7" t="n">
        <x:v>46290.4840277778</x:v>
      </x:c>
      <x:c r="AG582" s="3" t="n">
        <x:v>65</x:v>
      </x:c>
      <x:c r="AH582" s="3" t="n">
        <x:v>54</x:v>
      </x:c>
      <x:c r="AI582" s="3" t="s">
        <x:v>135</x:v>
      </x:c>
      <x:c r="AJ582" s="3" t="s">
        <x:v>111</x:v>
      </x:c>
      <x:c r="AK582" s="3" t="n">
        <x:v>150</x:v>
      </x:c>
      <x:c r="AL582" s="3" t="n">
        <x:v>0</x:v>
      </x:c>
      <x:c r="AM582" s="8" t="n">
        <x:v>0.7933</x:v>
      </x:c>
      <x:c r="AN582" s="3" t="n">
        <x:v>1</x:v>
      </x:c>
      <x:c r="AO582" s="3" t="s">
        <x:v>14</x:v>
      </x:c>
      <x:c r="AP582" s="3" t="s">
        <x:v>664</x:v>
      </x:c>
      <x:c r="AQ582" s="3" t="s">
        <x:v>689</x:v>
      </x:c>
      <x:c r="AR582" s="9" t="n">
        <x:v>1321.3</x:v>
      </x:c>
      <x:c r="AS582" s="3" t="s">
        <x:v>121</x:v>
      </x:c>
      <x:c r="AT582" s="7" t="n">
        <x:v>46301.9166666667</x:v>
      </x:c>
    </x:row>
    <x:row r="583" ht="31.299999237060547" hidden="0">
      <x:c r="A583" s="3" t="s">
        <x:v>1128</x:v>
      </x:c>
      <x:c r="B583" s="3" t="s">
        <x:v>123</x:v>
      </x:c>
      <x:c r="C583" s="3" t="s">
        <x:v>124</x:v>
      </x:c>
      <x:c r="D583" s="3" t="s">
        <x:v>125</x:v>
      </x:c>
      <x:c r="E583" s="3" t="s">
        <x:v>249</x:v>
      </x:c>
      <x:c r="F583" s="3" t="s">
        <x:v>149</x:v>
      </x:c>
      <x:c r="G583" s="3" t="s">
        <x:v>449</x:v>
      </x:c>
      <x:c r="H583" s="3" t="s">
        <x:v>343</x:v>
      </x:c>
      <x:c r="I583" s="3" t="s">
        <x:v>102</x:v>
      </x:c>
      <x:c r="J583" s="3" t="s">
        <x:v>103</x:v>
      </x:c>
      <x:c r="K583" s="3" t="s">
        <x:v>104</x:v>
      </x:c>
      <x:c r="L583" s="3" t="s">
        <x:v>129</x:v>
      </x:c>
      <x:c r="M583" s="3" t="s">
        <x:v>130</x:v>
      </x:c>
      <x:c r="N583" s="3" t="s">
        <x:v>131</x:v>
      </x:c>
      <x:c r="O583" s="3" t="s">
        <x:v>132</x:v>
      </x:c>
      <x:c r="P583" s="3" t="s">
        <x:v>133</x:v>
      </x:c>
      <x:c r="Q583" s="3" t="s">
        <x:v>268</x:v>
      </x:c>
      <x:c r="R583" s="3" t="s">
        <x:v>156</x:v>
      </x:c>
      <x:c r="S583" s="3" t="s">
        <x:v>135</x:v>
      </x:c>
      <x:c r="T583" s="3" t="s">
        <x:v>111</x:v>
      </x:c>
      <x:c r="U583" s="3" t="s">
        <x:v>157</x:v>
      </x:c>
      <x:c r="V583" s="3" t="s">
        <x:v>158</x:v>
      </x:c>
      <x:c r="W583" s="3" t="s">
        <x:v>450</x:v>
      </x:c>
      <x:c r="X583" s="3" t="s">
        <x:v>160</x:v>
      </x:c>
      <x:c r="Y583" s="3" t="s">
        <x:v>451</x:v>
      </x:c>
      <x:c r="Z583" s="3" t="s">
        <x:v>162</x:v>
      </x:c>
      <x:c r="AA583" s="3" t="s">
        <x:v>118</x:v>
      </x:c>
      <x:c r="AB583" s="7" t="n">
        <x:v>46290.4208333333</x:v>
      </x:c>
      <x:c r="AC583" s="7" t="n">
        <x:v>46290.4236111111</x:v>
      </x:c>
      <x:c r="AD583" s="7" t="n">
        <x:v>46290.4263888889</x:v>
      </x:c>
      <x:c r="AE583" s="7" t="n">
        <x:v>46290.4340277778</x:v>
      </x:c>
      <x:c r="AF583" s="7" t="n">
        <x:v>46290.4631944444</x:v>
      </x:c>
      <x:c r="AG583" s="3" t="n">
        <x:v>19</x:v>
      </x:c>
      <x:c r="AH583" s="3" t="n">
        <x:v>34</x:v>
      </x:c>
      <x:c r="AI583" s="3" t="s">
        <x:v>135</x:v>
      </x:c>
      <x:c r="AJ583" s="3" t="s">
        <x:v>135</x:v>
      </x:c>
      <x:c r="AK583" s="3" t="n">
        <x:v>180</x:v>
      </x:c>
      <x:c r="AL583" s="3" t="n">
        <x:v>0</x:v>
      </x:c>
      <x:c r="AM583" s="8" t="n">
        <x:v>0.2944</x:v>
      </x:c>
      <x:c r="AN583" s="3" t="n">
        <x:v>0</x:v>
      </x:c>
      <x:c r="AO583" s="3" t="s">
        <x:v>9</x:v>
      </x:c>
      <x:c r="AP583" s="3" t="s">
        <x:v>142</x:v>
      </x:c>
      <x:c r="AQ583" s="3" t="s">
        <x:v>357</x:v>
      </x:c>
      <x:c r="AR583" s="9" t="n">
        <x:v>590.3</x:v>
      </x:c>
      <x:c r="AS583" s="3" t="s">
        <x:v>144</x:v>
      </x:c>
      <x:c r="AT583" s="7" t="n">
        <x:v>46301.9166666667</x:v>
      </x:c>
    </x:row>
    <x:row r="584" ht="31.299999237060547" hidden="0">
      <x:c r="A584" s="3" t="s">
        <x:v>1129</x:v>
      </x:c>
      <x:c r="B584" s="3" t="s">
        <x:v>297</x:v>
      </x:c>
      <x:c r="C584" s="3" t="s">
        <x:v>298</x:v>
      </x:c>
      <x:c r="D584" s="3" t="s">
        <x:v>299</x:v>
      </x:c>
      <x:c r="E584" s="3" t="s">
        <x:v>249</x:v>
      </x:c>
      <x:c r="F584" s="3" t="s">
        <x:v>99</x:v>
      </x:c>
      <x:c r="G584" s="3" t="s">
        <x:v>541</x:v>
      </x:c>
      <x:c r="H584" s="3" t="s">
        <x:v>301</x:v>
      </x:c>
      <x:c r="I584" s="3" t="s">
        <x:v>302</x:v>
      </x:c>
      <x:c r="J584" s="3" t="s">
        <x:v>303</x:v>
      </x:c>
      <x:c r="K584" s="3" t="s">
        <x:v>104</x:v>
      </x:c>
      <x:c r="L584" s="3" t="s">
        <x:v>304</x:v>
      </x:c>
      <x:c r="M584" s="3" t="s">
        <x:v>305</x:v>
      </x:c>
      <x:c r="N584" s="3" t="s">
        <x:v>306</x:v>
      </x:c>
      <x:c r="O584" s="3" t="s">
        <x:v>307</x:v>
      </x:c>
      <x:c r="P584" s="3" t="s">
        <x:v>308</x:v>
      </x:c>
      <x:c r="Q584" s="3" t="s">
        <x:v>309</x:v>
      </x:c>
      <x:c r="R584" s="3" t="s">
        <x:v>196</x:v>
      </x:c>
      <x:c r="S584" s="3" t="s">
        <x:v>111</x:v>
      </x:c>
      <x:c r="T584" s="3" t="s">
        <x:v>111</x:v>
      </x:c>
      <x:c r="U584" s="3" t="s">
        <x:v>197</x:v>
      </x:c>
      <x:c r="V584" s="3" t="s">
        <x:v>198</x:v>
      </x:c>
      <x:c r="W584" s="3" t="s">
        <x:v>365</x:v>
      </x:c>
      <x:c r="X584" s="3" t="s">
        <x:v>366</x:v>
      </x:c>
      <x:c r="Y584" s="3" t="s">
        <x:v>367</x:v>
      </x:c>
      <x:c r="Z584" s="3" t="s">
        <x:v>201</x:v>
      </x:c>
      <x:c r="AA584" s="3" t="s">
        <x:v>368</x:v>
      </x:c>
      <x:c r="AB584" s="7" t="n">
        <x:v>46290.4416666667</x:v>
      </x:c>
      <x:c r="AC584" s="7" t="n">
        <x:v>46290.4465277778</x:v>
      </x:c>
      <x:c r="AD584" s="7" t="n">
        <x:v>46290.4486111111</x:v>
      </x:c>
      <x:c r="AE584" s="7" t="n">
        <x:v>46290.4666666667</x:v>
      </x:c>
      <x:c r="AF584" s="7" t="n">
        <x:v>46290.5284722222</x:v>
      </x:c>
      <x:c r="AG584" s="3" t="n">
        <x:v>36</x:v>
      </x:c>
      <x:c r="AH584" s="3" t="n">
        <x:v>81</x:v>
      </x:c>
      <x:c r="AI584" s="3" t="s">
        <x:v>135</x:v>
      </x:c>
      <x:c r="AJ584" s="3" t="s">
        <x:v>111</x:v>
      </x:c>
      <x:c r="AK584" s="3" t="n">
        <x:v>120</x:v>
      </x:c>
      <x:c r="AL584" s="3" t="n">
        <x:v>0</x:v>
      </x:c>
      <x:c r="AM584" s="8" t="n">
        <x:v>0.975</x:v>
      </x:c>
      <x:c r="AN584" s="3" t="n">
        <x:v>1</x:v>
      </x:c>
      <x:c r="AO584" s="3" t="s">
        <x:v>19</x:v>
      </x:c>
      <x:c r="AP584" s="3" t="s">
        <x:v>515</x:v>
      </x:c>
      <x:c r="AQ584" s="3" t="s">
        <x:v>603</x:v>
      </x:c>
      <x:c r="AR584" s="9" t="n">
        <x:v>1385.2</x:v>
      </x:c>
      <x:c r="AS584" s="3" t="s">
        <x:v>185</x:v>
      </x:c>
      <x:c r="AT584" s="7" t="n">
        <x:v>46301.9166666667</x:v>
      </x:c>
    </x:row>
    <x:row r="585" ht="31.299999237060547" hidden="0">
      <x:c r="A585" s="3" t="s">
        <x:v>1130</x:v>
      </x:c>
      <x:c r="B585" s="3" t="s">
        <x:v>146</x:v>
      </x:c>
      <x:c r="C585" s="3" t="s">
        <x:v>147</x:v>
      </x:c>
      <x:c r="D585" s="3" t="s">
        <x:v>148</x:v>
      </x:c>
      <x:c r="E585" s="3" t="s">
        <x:v>249</x:v>
      </x:c>
      <x:c r="F585" s="3" t="s">
        <x:v>99</x:v>
      </x:c>
      <x:c r="G585" s="3" t="s">
        <x:v>498</x:v>
      </x:c>
      <x:c r="H585" s="3" t="s">
        <x:v>101</x:v>
      </x:c>
      <x:c r="I585" s="3" t="s">
        <x:v>102</x:v>
      </x:c>
      <x:c r="J585" s="3" t="s">
        <x:v>103</x:v>
      </x:c>
      <x:c r="K585" s="3" t="s">
        <x:v>104</x:v>
      </x:c>
      <x:c r="L585" s="3" t="s">
        <x:v>151</x:v>
      </x:c>
      <x:c r="M585" s="3" t="s">
        <x:v>152</x:v>
      </x:c>
      <x:c r="N585" s="3" t="s">
        <x:v>153</x:v>
      </x:c>
      <x:c r="O585" s="3" t="s">
        <x:v>154</x:v>
      </x:c>
      <x:c r="P585" s="3" t="s">
        <x:v>155</x:v>
      </x:c>
      <x:c r="Q585" s="3" t="s">
        <x:v>270</x:v>
      </x:c>
      <x:c r="R585" s="3" t="s">
        <x:v>310</x:v>
      </x:c>
      <x:c r="S585" s="3" t="s">
        <x:v>135</x:v>
      </x:c>
      <x:c r="T585" s="3" t="s">
        <x:v>111</x:v>
      </x:c>
      <x:c r="U585" s="3" t="s">
        <x:v>311</x:v>
      </x:c>
      <x:c r="V585" s="3" t="s">
        <x:v>312</x:v>
      </x:c>
      <x:c r="W585" s="3" t="s">
        <x:v>382</x:v>
      </x:c>
      <x:c r="X585" s="3" t="s">
        <x:v>314</x:v>
      </x:c>
      <x:c r="Y585" s="3" t="s">
        <x:v>383</x:v>
      </x:c>
      <x:c r="Z585" s="3" t="s">
        <x:v>316</x:v>
      </x:c>
      <x:c r="AA585" s="3" t="s">
        <x:v>317</x:v>
      </x:c>
      <x:c r="AB585" s="7" t="n">
        <x:v>46290.4618055556</x:v>
      </x:c>
      <x:c r="AC585" s="7" t="n">
        <x:v>46290.4638888889</x:v>
      </x:c>
      <x:c r="AD585" s="7" t="n">
        <x:v>46290.4701388889</x:v>
      </x:c>
      <x:c r="AE585" s="7" t="n">
        <x:v>46290.4868055556</x:v>
      </x:c>
      <x:c r="AF585" s="7" t="n">
        <x:v>46290.5138888889</x:v>
      </x:c>
      <x:c r="AG585" s="3" t="n">
        <x:v>36</x:v>
      </x:c>
      <x:c r="AH585" s="3" t="n">
        <x:v>34</x:v>
      </x:c>
      <x:c r="AI585" s="3" t="s">
        <x:v>135</x:v>
      </x:c>
      <x:c r="AJ585" s="3" t="s">
        <x:v>135</x:v>
      </x:c>
      <x:c r="AK585" s="3" t="n">
        <x:v>180</x:v>
      </x:c>
      <x:c r="AL585" s="3" t="n">
        <x:v>0</x:v>
      </x:c>
      <x:c r="AM585" s="8" t="n">
        <x:v>0.3889</x:v>
      </x:c>
      <x:c r="AN585" s="3" t="n">
        <x:v>4</x:v>
      </x:c>
      <x:c r="AO585" s="3" t="s">
        <x:v>14</x:v>
      </x:c>
      <x:c r="AP585" s="3" t="s">
        <x:v>889</x:v>
      </x:c>
      <x:c r="AQ585" s="3" t="s">
        <x:v>1010</x:v>
      </x:c>
      <x:c r="AR585" s="9" t="n">
        <x:v>916.8</x:v>
      </x:c>
      <x:c r="AS585" s="3" t="s">
        <x:v>185</x:v>
      </x:c>
      <x:c r="AT585" s="7" t="n">
        <x:v>46301.9166666667</x:v>
      </x:c>
    </x:row>
    <x:row r="586" ht="31.299999237060547" hidden="0">
      <x:c r="A586" s="3" t="s">
        <x:v>1131</x:v>
      </x:c>
      <x:c r="B586" s="3" t="s">
        <x:v>187</x:v>
      </x:c>
      <x:c r="C586" s="3" t="s">
        <x:v>188</x:v>
      </x:c>
      <x:c r="D586" s="3" t="s">
        <x:v>189</x:v>
      </x:c>
      <x:c r="E586" s="3" t="s">
        <x:v>249</x:v>
      </x:c>
      <x:c r="F586" s="3" t="s">
        <x:v>99</x:v>
      </x:c>
      <x:c r="G586" s="3" t="s">
        <x:v>522</x:v>
      </x:c>
      <x:c r="H586" s="3" t="s">
        <x:v>343</x:v>
      </x:c>
      <x:c r="I586" s="3" t="s">
        <x:v>102</x:v>
      </x:c>
      <x:c r="J586" s="3" t="s">
        <x:v>103</x:v>
      </x:c>
      <x:c r="K586" s="3" t="s">
        <x:v>104</x:v>
      </x:c>
      <x:c r="L586" s="3" t="s">
        <x:v>191</x:v>
      </x:c>
      <x:c r="M586" s="3" t="s">
        <x:v>192</x:v>
      </x:c>
      <x:c r="N586" s="3" t="s">
        <x:v>193</x:v>
      </x:c>
      <x:c r="O586" s="3" t="s">
        <x:v>194</x:v>
      </x:c>
      <x:c r="P586" s="3" t="s">
        <x:v>195</x:v>
      </x:c>
      <x:c r="Q586" s="3" t="s">
        <x:v>273</x:v>
      </x:c>
      <x:c r="R586" s="3" t="s">
        <x:v>380</x:v>
      </x:c>
      <x:c r="S586" s="3" t="s">
        <x:v>111</x:v>
      </x:c>
      <x:c r="T586" s="3" t="s">
        <x:v>111</x:v>
      </x:c>
      <x:c r="U586" s="3" t="s">
        <x:v>381</x:v>
      </x:c>
      <x:c r="V586" s="3" t="s">
        <x:v>312</x:v>
      </x:c>
      <x:c r="W586" s="3" t="s">
        <x:v>351</x:v>
      </x:c>
      <x:c r="X586" s="3" t="s">
        <x:v>314</x:v>
      </x:c>
      <x:c r="Y586" s="3" t="s">
        <x:v>352</x:v>
      </x:c>
      <x:c r="Z586" s="3" t="s">
        <x:v>384</x:v>
      </x:c>
      <x:c r="AA586" s="3" t="s">
        <x:v>385</x:v>
      </x:c>
      <x:c r="AB586" s="7" t="n">
        <x:v>46290.4666666667</x:v>
      </x:c>
      <x:c r="AC586" s="7" t="n">
        <x:v>46290.4715277778</x:v>
      </x:c>
      <x:c r="AD586" s="7" t="n">
        <x:v>46290.4736111111</x:v>
      </x:c>
      <x:c r="AE586" s="7" t="n">
        <x:v>46290.4833333333</x:v>
      </x:c>
      <x:c r="AF586" s="7" t="n">
        <x:v>46290.5111111111</x:v>
      </x:c>
      <x:c r="AG586" s="3" t="n">
        <x:v>24</x:v>
      </x:c>
      <x:c r="AH586" s="3" t="n">
        <x:v>36</x:v>
      </x:c>
      <x:c r="AI586" s="3" t="s">
        <x:v>135</x:v>
      </x:c>
      <x:c r="AJ586" s="3" t="s">
        <x:v>111</x:v>
      </x:c>
      <x:c r="AK586" s="3" t="n">
        <x:v>120</x:v>
      </x:c>
      <x:c r="AL586" s="3" t="n">
        <x:v>0</x:v>
      </x:c>
      <x:c r="AM586" s="8" t="n">
        <x:v>0.5</x:v>
      </x:c>
      <x:c r="AN586" s="3" t="n">
        <x:v>2</x:v>
      </x:c>
      <x:c r="AO586" s="3" t="s">
        <x:v>14</x:v>
      </x:c>
      <x:c r="AP586" s="3" t="s">
        <x:v>636</x:v>
      </x:c>
      <x:c r="AQ586" s="3" t="s">
        <x:v>689</x:v>
      </x:c>
      <x:c r="AR586" s="9" t="n">
        <x:v>1007.2</x:v>
      </x:c>
      <x:c r="AS586" s="3" t="s">
        <x:v>185</x:v>
      </x:c>
      <x:c r="AT586" s="7" t="n">
        <x:v>46301.9166666667</x:v>
      </x:c>
    </x:row>
    <x:row r="587" ht="31.299999237060547" hidden="0">
      <x:c r="A587" s="3" t="s">
        <x:v>1132</x:v>
      </x:c>
      <x:c r="B587" s="3" t="s">
        <x:v>222</x:v>
      </x:c>
      <x:c r="C587" s="3" t="s">
        <x:v>223</x:v>
      </x:c>
      <x:c r="D587" s="3" t="s">
        <x:v>224</x:v>
      </x:c>
      <x:c r="E587" s="3" t="s">
        <x:v>249</x:v>
      </x:c>
      <x:c r="F587" s="3" t="s">
        <x:v>99</x:v>
      </x:c>
      <x:c r="G587" s="3" t="s">
        <x:v>484</x:v>
      </x:c>
      <x:c r="H587" s="3" t="s">
        <x:v>101</x:v>
      </x:c>
      <x:c r="I587" s="3" t="s">
        <x:v>102</x:v>
      </x:c>
      <x:c r="J587" s="3" t="s">
        <x:v>103</x:v>
      </x:c>
      <x:c r="K587" s="3" t="s">
        <x:v>104</x:v>
      </x:c>
      <x:c r="L587" s="3" t="s">
        <x:v>226</x:v>
      </x:c>
      <x:c r="M587" s="3" t="s">
        <x:v>227</x:v>
      </x:c>
      <x:c r="N587" s="3" t="s">
        <x:v>228</x:v>
      </x:c>
      <x:c r="O587" s="3" t="s">
        <x:v>229</x:v>
      </x:c>
      <x:c r="P587" s="3" t="s">
        <x:v>230</x:v>
      </x:c>
      <x:c r="Q587" s="3" t="s">
        <x:v>274</x:v>
      </x:c>
      <x:c r="R587" s="3" t="s">
        <x:v>156</x:v>
      </x:c>
      <x:c r="S587" s="3" t="s">
        <x:v>135</x:v>
      </x:c>
      <x:c r="T587" s="3" t="s">
        <x:v>111</x:v>
      </x:c>
      <x:c r="U587" s="3" t="s">
        <x:v>157</x:v>
      </x:c>
      <x:c r="V587" s="3" t="s">
        <x:v>158</x:v>
      </x:c>
      <x:c r="W587" s="3" t="s">
        <x:v>450</x:v>
      </x:c>
      <x:c r="X587" s="3" t="s">
        <x:v>160</x:v>
      </x:c>
      <x:c r="Y587" s="3" t="s">
        <x:v>451</x:v>
      </x:c>
      <x:c r="Z587" s="3" t="s">
        <x:v>162</x:v>
      </x:c>
      <x:c r="AA587" s="3" t="s">
        <x:v>118</x:v>
      </x:c>
      <x:c r="AB587" s="7" t="n">
        <x:v>46290.5173611111</x:v>
      </x:c>
      <x:c r="AC587" s="7" t="n">
        <x:v>46290.5208333333</x:v>
      </x:c>
      <x:c r="AD587" s="7" t="n">
        <x:v>46290.525</x:v>
      </x:c>
      <x:c r="AE587" s="7" t="n">
        <x:v>46290.5486111111</x:v>
      </x:c>
      <x:c r="AF587" s="7" t="n">
        <x:v>46290.575</x:v>
      </x:c>
      <x:c r="AG587" s="3" t="n">
        <x:v>45</x:v>
      </x:c>
      <x:c r="AH587" s="3" t="n">
        <x:v>33</x:v>
      </x:c>
      <x:c r="AI587" s="3" t="s">
        <x:v>135</x:v>
      </x:c>
      <x:c r="AJ587" s="3" t="s">
        <x:v>135</x:v>
      </x:c>
      <x:c r="AK587" s="3" t="n">
        <x:v>180</x:v>
      </x:c>
      <x:c r="AL587" s="3" t="n">
        <x:v>0</x:v>
      </x:c>
      <x:c r="AM587" s="8" t="n">
        <x:v>0.4333</x:v>
      </x:c>
      <x:c r="AN587" s="3" t="n">
        <x:v>0</x:v>
      </x:c>
      <x:c r="AO587" s="3" t="s">
        <x:v>9</x:v>
      </x:c>
      <x:c r="AP587" s="3" t="s">
        <x:v>142</x:v>
      </x:c>
      <x:c r="AQ587" s="3" t="s">
        <x:v>452</x:v>
      </x:c>
      <x:c r="AR587" s="9" t="n">
        <x:v>700.1</x:v>
      </x:c>
      <x:c r="AS587" s="3" t="s">
        <x:v>121</x:v>
      </x:c>
      <x:c r="AT587" s="7" t="n">
        <x:v>46301.9166666667</x:v>
      </x:c>
    </x:row>
    <x:row r="588" ht="31.299999237060547" hidden="0">
      <x:c r="A588" s="3" t="s">
        <x:v>1133</x:v>
      </x:c>
      <x:c r="B588" s="3" t="s">
        <x:v>233</x:v>
      </x:c>
      <x:c r="C588" s="3" t="s">
        <x:v>234</x:v>
      </x:c>
      <x:c r="D588" s="3" t="s">
        <x:v>235</x:v>
      </x:c>
      <x:c r="E588" s="3" t="s">
        <x:v>249</x:v>
      </x:c>
      <x:c r="F588" s="3" t="s">
        <x:v>149</x:v>
      </x:c>
      <x:c r="G588" s="3" t="s">
        <x:v>498</x:v>
      </x:c>
      <x:c r="H588" s="3" t="s">
        <x:v>101</x:v>
      </x:c>
      <x:c r="I588" s="3" t="s">
        <x:v>102</x:v>
      </x:c>
      <x:c r="J588" s="3" t="s">
        <x:v>103</x:v>
      </x:c>
      <x:c r="K588" s="3" t="s">
        <x:v>104</x:v>
      </x:c>
      <x:c r="L588" s="3" t="s">
        <x:v>237</x:v>
      </x:c>
      <x:c r="M588" s="3" t="s">
        <x:v>172</x:v>
      </x:c>
      <x:c r="N588" s="3" t="s">
        <x:v>238</x:v>
      </x:c>
      <x:c r="O588" s="3" t="s">
        <x:v>239</x:v>
      </x:c>
      <x:c r="P588" s="3" t="s">
        <x:v>240</x:v>
      </x:c>
      <x:c r="Q588" s="3" t="s">
        <x:v>276</x:v>
      </x:c>
      <x:c r="R588" s="3" t="s">
        <x:v>310</x:v>
      </x:c>
      <x:c r="S588" s="3" t="s">
        <x:v>135</x:v>
      </x:c>
      <x:c r="T588" s="3" t="s">
        <x:v>111</x:v>
      </x:c>
      <x:c r="U588" s="3" t="s">
        <x:v>311</x:v>
      </x:c>
      <x:c r="V588" s="3" t="s">
        <x:v>312</x:v>
      </x:c>
      <x:c r="W588" s="3" t="s">
        <x:v>313</x:v>
      </x:c>
      <x:c r="X588" s="3" t="s">
        <x:v>314</x:v>
      </x:c>
      <x:c r="Y588" s="3" t="s">
        <x:v>315</x:v>
      </x:c>
      <x:c r="Z588" s="3" t="s">
        <x:v>316</x:v>
      </x:c>
      <x:c r="AA588" s="3" t="s">
        <x:v>317</x:v>
      </x:c>
      <x:c r="AB588" s="7" t="n">
        <x:v>46290.63125</x:v>
      </x:c>
      <x:c r="AC588" s="7" t="n">
        <x:v>46290.6361111111</x:v>
      </x:c>
      <x:c r="AD588" s="7" t="n">
        <x:v>46290.6416666667</x:v>
      </x:c>
      <x:c r="AE588" s="7" t="n">
        <x:v>46290.6513888889</x:v>
      </x:c>
      <x:c r="AF588" s="7" t="n">
        <x:v>46290.6965277778</x:v>
      </x:c>
      <x:c r="AG588" s="3" t="n">
        <x:v>29</x:v>
      </x:c>
      <x:c r="AH588" s="3" t="n">
        <x:v>59</x:v>
      </x:c>
      <x:c r="AI588" s="3" t="s">
        <x:v>135</x:v>
      </x:c>
      <x:c r="AJ588" s="3" t="s">
        <x:v>111</x:v>
      </x:c>
      <x:c r="AK588" s="3" t="n">
        <x:v>150</x:v>
      </x:c>
      <x:c r="AL588" s="3" t="n">
        <x:v>0</x:v>
      </x:c>
      <x:c r="AM588" s="8" t="n">
        <x:v>0.5867</x:v>
      </x:c>
      <x:c r="AN588" s="3" t="n">
        <x:v>2</x:v>
      </x:c>
      <x:c r="AO588" s="3" t="s">
        <x:v>14</x:v>
      </x:c>
      <x:c r="AP588" s="3" t="s">
        <x:v>636</x:v>
      </x:c>
      <x:c r="AQ588" s="3" t="s">
        <x:v>501</x:v>
      </x:c>
      <x:c r="AR588" s="9" t="n">
        <x:v>815.3</x:v>
      </x:c>
      <x:c r="AS588" s="3" t="s">
        <x:v>121</x:v>
      </x:c>
      <x:c r="AT588" s="7" t="n">
        <x:v>46301.9166666667</x:v>
      </x:c>
    </x:row>
    <x:row r="589" ht="31.299999237060547" hidden="0">
      <x:c r="A589" s="3" t="s">
        <x:v>1134</x:v>
      </x:c>
      <x:c r="B589" s="3" t="s">
        <x:v>297</x:v>
      </x:c>
      <x:c r="C589" s="3" t="s">
        <x:v>298</x:v>
      </x:c>
      <x:c r="D589" s="3" t="s">
        <x:v>299</x:v>
      </x:c>
      <x:c r="E589" s="3" t="s">
        <x:v>249</x:v>
      </x:c>
      <x:c r="F589" s="3" t="s">
        <x:v>149</x:v>
      </x:c>
      <x:c r="G589" s="3" t="s">
        <x:v>390</x:v>
      </x:c>
      <x:c r="H589" s="3" t="s">
        <x:v>301</x:v>
      </x:c>
      <x:c r="I589" s="3" t="s">
        <x:v>302</x:v>
      </x:c>
      <x:c r="J589" s="3" t="s">
        <x:v>303</x:v>
      </x:c>
      <x:c r="K589" s="3" t="s">
        <x:v>104</x:v>
      </x:c>
      <x:c r="L589" s="3" t="s">
        <x:v>304</x:v>
      </x:c>
      <x:c r="M589" s="3" t="s">
        <x:v>305</x:v>
      </x:c>
      <x:c r="N589" s="3" t="s">
        <x:v>306</x:v>
      </x:c>
      <x:c r="O589" s="3" t="s">
        <x:v>307</x:v>
      </x:c>
      <x:c r="P589" s="3" t="s">
        <x:v>308</x:v>
      </x:c>
      <x:c r="Q589" s="3" t="s">
        <x:v>309</x:v>
      </x:c>
      <x:c r="R589" s="3" t="s">
        <x:v>391</x:v>
      </x:c>
      <x:c r="S589" s="3" t="s">
        <x:v>135</x:v>
      </x:c>
      <x:c r="T589" s="3" t="s">
        <x:v>135</x:v>
      </x:c>
      <x:c r="U589" s="3" t="s">
        <x:v>392</x:v>
      </x:c>
      <x:c r="V589" s="3" t="s">
        <x:v>312</x:v>
      </x:c>
      <x:c r="W589" s="3" t="s">
        <x:v>351</x:v>
      </x:c>
      <x:c r="X589" s="3" t="s">
        <x:v>314</x:v>
      </x:c>
      <x:c r="Y589" s="3" t="s">
        <x:v>352</x:v>
      </x:c>
      <x:c r="Z589" s="3" t="s">
        <x:v>393</x:v>
      </x:c>
      <x:c r="AA589" s="3" t="s">
        <x:v>394</x:v>
      </x:c>
      <x:c r="AB589" s="7" t="n">
        <x:v>46290.6361111111</x:v>
      </x:c>
      <x:c r="AC589" s="7" t="n">
        <x:v>46290.6388888889</x:v>
      </x:c>
      <x:c r="AD589" s="7" t="n">
        <x:v>46290.6416666667</x:v>
      </x:c>
      <x:c r="AE589" s="7" t="n">
        <x:v>46290.6645833333</x:v>
      </x:c>
      <x:c r="AF589" s="7" t="n">
        <x:v>46290.7201388889</x:v>
      </x:c>
      <x:c r="AG589" s="3" t="n">
        <x:v>41</x:v>
      </x:c>
      <x:c r="AH589" s="3" t="n">
        <x:v>76</x:v>
      </x:c>
      <x:c r="AI589" s="3" t="s">
        <x:v>135</x:v>
      </x:c>
      <x:c r="AJ589" s="3" t="s">
        <x:v>111</x:v>
      </x:c>
      <x:c r="AK589" s="3" t="n">
        <x:v>180</x:v>
      </x:c>
      <x:c r="AL589" s="3" t="n">
        <x:v>0</x:v>
      </x:c>
      <x:c r="AM589" s="8" t="n">
        <x:v>0.65</x:v>
      </x:c>
      <x:c r="AN589" s="3" t="n">
        <x:v>3</x:v>
      </x:c>
      <x:c r="AO589" s="3" t="s">
        <x:v>14</x:v>
      </x:c>
      <x:c r="AP589" s="3" t="s">
        <x:v>955</x:v>
      </x:c>
      <x:c r="AQ589" s="3" t="s">
        <x:v>1135</x:v>
      </x:c>
      <x:c r="AR589" s="9" t="n">
        <x:v>1621.7</x:v>
      </x:c>
      <x:c r="AS589" s="3" t="s">
        <x:v>185</x:v>
      </x:c>
      <x:c r="AT589" s="7" t="n">
        <x:v>46301.9166666667</x:v>
      </x:c>
    </x:row>
    <x:row r="590" ht="31.299999237060547" hidden="0">
      <x:c r="A590" s="3" t="s">
        <x:v>1136</x:v>
      </x:c>
      <x:c r="B590" s="3" t="s">
        <x:v>222</x:v>
      </x:c>
      <x:c r="C590" s="3" t="s">
        <x:v>223</x:v>
      </x:c>
      <x:c r="D590" s="3" t="s">
        <x:v>224</x:v>
      </x:c>
      <x:c r="E590" s="3" t="s">
        <x:v>249</x:v>
      </x:c>
      <x:c r="F590" s="3" t="s">
        <x:v>169</x:v>
      </x:c>
      <x:c r="G590" s="3" t="s">
        <x:v>443</x:v>
      </x:c>
      <x:c r="H590" s="3" t="s">
        <x:v>101</x:v>
      </x:c>
      <x:c r="I590" s="3" t="s">
        <x:v>102</x:v>
      </x:c>
      <x:c r="J590" s="3" t="s">
        <x:v>103</x:v>
      </x:c>
      <x:c r="K590" s="3" t="s">
        <x:v>104</x:v>
      </x:c>
      <x:c r="L590" s="3" t="s">
        <x:v>226</x:v>
      </x:c>
      <x:c r="M590" s="3" t="s">
        <x:v>227</x:v>
      </x:c>
      <x:c r="N590" s="3" t="s">
        <x:v>228</x:v>
      </x:c>
      <x:c r="O590" s="3" t="s">
        <x:v>229</x:v>
      </x:c>
      <x:c r="P590" s="3" t="s">
        <x:v>230</x:v>
      </x:c>
      <x:c r="Q590" s="3" t="s">
        <x:v>274</x:v>
      </x:c>
      <x:c r="R590" s="3" t="s">
        <x:v>330</x:v>
      </x:c>
      <x:c r="S590" s="3" t="s">
        <x:v>135</x:v>
      </x:c>
      <x:c r="T590" s="3" t="s">
        <x:v>111</x:v>
      </x:c>
      <x:c r="U590" s="3" t="s">
        <x:v>331</x:v>
      </x:c>
      <x:c r="V590" s="3" t="s">
        <x:v>178</x:v>
      </x:c>
      <x:c r="W590" s="3" t="s">
        <x:v>355</x:v>
      </x:c>
      <x:c r="X590" s="3" t="s">
        <x:v>180</x:v>
      </x:c>
      <x:c r="Y590" s="3" t="s">
        <x:v>356</x:v>
      </x:c>
      <x:c r="Z590" s="3" t="s">
        <x:v>334</x:v>
      </x:c>
      <x:c r="AA590" s="3" t="s">
        <x:v>118</x:v>
      </x:c>
      <x:c r="AB590" s="7" t="n">
        <x:v>46290.6888888889</x:v>
      </x:c>
      <x:c r="AC590" s="7" t="n">
        <x:v>46290.6902777778</x:v>
      </x:c>
      <x:c r="AD590" s="7" t="n">
        <x:v>46290.6958333333</x:v>
      </x:c>
      <x:c r="AE590" s="7" t="n">
        <x:v>46290.7083333333</x:v>
      </x:c>
      <x:c r="AF590" s="7" t="n">
        <x:v>46290.7270833333</x:v>
      </x:c>
      <x:c r="AG590" s="3" t="n">
        <x:v>28</x:v>
      </x:c>
      <x:c r="AH590" s="3" t="n">
        <x:v>24</x:v>
      </x:c>
      <x:c r="AI590" s="3" t="s">
        <x:v>135</x:v>
      </x:c>
      <x:c r="AJ590" s="3" t="s">
        <x:v>135</x:v>
      </x:c>
      <x:c r="AK590" s="3" t="n">
        <x:v>180</x:v>
      </x:c>
      <x:c r="AL590" s="3" t="n">
        <x:v>0</x:v>
      </x:c>
      <x:c r="AM590" s="8" t="n">
        <x:v>0.2889</x:v>
      </x:c>
      <x:c r="AN590" s="3" t="n">
        <x:v>0</x:v>
      </x:c>
      <x:c r="AO590" s="3" t="s">
        <x:v>9</x:v>
      </x:c>
      <x:c r="AP590" s="3" t="s">
        <x:v>142</x:v>
      </x:c>
      <x:c r="AQ590" s="3" t="s">
        <x:v>452</x:v>
      </x:c>
      <x:c r="AR590" s="9" t="n">
        <x:v>558.8</x:v>
      </x:c>
      <x:c r="AS590" s="3" t="s">
        <x:v>144</x:v>
      </x:c>
      <x:c r="AT590" s="7" t="n">
        <x:v>46301.9166666667</x:v>
      </x:c>
    </x:row>
    <x:row r="591" ht="31.299999237060547" hidden="0">
      <x:c r="A591" s="3" t="s">
        <x:v>1137</x:v>
      </x:c>
      <x:c r="B591" s="3" t="s">
        <x:v>222</x:v>
      </x:c>
      <x:c r="C591" s="3" t="s">
        <x:v>223</x:v>
      </x:c>
      <x:c r="D591" s="3" t="s">
        <x:v>224</x:v>
      </x:c>
      <x:c r="E591" s="3" t="s">
        <x:v>249</x:v>
      </x:c>
      <x:c r="F591" s="3" t="s">
        <x:v>149</x:v>
      </x:c>
      <x:c r="G591" s="3" t="s">
        <x:v>354</x:v>
      </x:c>
      <x:c r="H591" s="3" t="s">
        <x:v>101</x:v>
      </x:c>
      <x:c r="I591" s="3" t="s">
        <x:v>102</x:v>
      </x:c>
      <x:c r="J591" s="3" t="s">
        <x:v>103</x:v>
      </x:c>
      <x:c r="K591" s="3" t="s">
        <x:v>104</x:v>
      </x:c>
      <x:c r="L591" s="3" t="s">
        <x:v>226</x:v>
      </x:c>
      <x:c r="M591" s="3" t="s">
        <x:v>227</x:v>
      </x:c>
      <x:c r="N591" s="3" t="s">
        <x:v>228</x:v>
      </x:c>
      <x:c r="O591" s="3" t="s">
        <x:v>229</x:v>
      </x:c>
      <x:c r="P591" s="3" t="s">
        <x:v>230</x:v>
      </x:c>
      <x:c r="Q591" s="3" t="s">
        <x:v>274</x:v>
      </x:c>
      <x:c r="R591" s="3" t="s">
        <x:v>176</x:v>
      </x:c>
      <x:c r="S591" s="3" t="s">
        <x:v>135</x:v>
      </x:c>
      <x:c r="T591" s="3" t="s">
        <x:v>135</x:v>
      </x:c>
      <x:c r="U591" s="3" t="s">
        <x:v>177</x:v>
      </x:c>
      <x:c r="V591" s="3" t="s">
        <x:v>178</x:v>
      </x:c>
      <x:c r="W591" s="3" t="s">
        <x:v>179</x:v>
      </x:c>
      <x:c r="X591" s="3" t="s">
        <x:v>180</x:v>
      </x:c>
      <x:c r="Y591" s="3" t="s">
        <x:v>414</x:v>
      </x:c>
      <x:c r="Z591" s="3" t="s">
        <x:v>182</x:v>
      </x:c>
      <x:c r="AA591" s="3" t="s">
        <x:v>118</x:v>
      </x:c>
      <x:c r="AB591" s="7" t="n">
        <x:v>46290.7076388889</x:v>
      </x:c>
      <x:c r="AC591" s="7" t="n">
        <x:v>46290.7111111111</x:v>
      </x:c>
      <x:c r="AD591" s="7" t="n">
        <x:v>46290.7125</x:v>
      </x:c>
      <x:c r="AE591" s="7" t="n">
        <x:v>46290.7402777778</x:v>
      </x:c>
      <x:c r="AF591" s="7" t="n">
        <x:v>46290.7569444444</x:v>
      </x:c>
      <x:c r="AG591" s="3" t="n">
        <x:v>47</x:v>
      </x:c>
      <x:c r="AH591" s="3" t="n">
        <x:v>20</x:v>
      </x:c>
      <x:c r="AI591" s="3" t="s">
        <x:v>135</x:v>
      </x:c>
      <x:c r="AJ591" s="3" t="s">
        <x:v>135</x:v>
      </x:c>
      <x:c r="AK591" s="3" t="n">
        <x:v>180</x:v>
      </x:c>
      <x:c r="AL591" s="3" t="n">
        <x:v>0</x:v>
      </x:c>
      <x:c r="AM591" s="8" t="n">
        <x:v>0.3722</x:v>
      </x:c>
      <x:c r="AN591" s="3" t="n">
        <x:v>5</x:v>
      </x:c>
      <x:c r="AO591" s="3" t="s">
        <x:v>14</x:v>
      </x:c>
      <x:c r="AP591" s="3" t="s">
        <x:v>1015</x:v>
      </x:c>
      <x:c r="AQ591" s="3" t="s">
        <x:v>1098</x:v>
      </x:c>
      <x:c r="AR591" s="9" t="n">
        <x:v>865.5</x:v>
      </x:c>
      <x:c r="AS591" s="3" t="s">
        <x:v>185</x:v>
      </x:c>
      <x:c r="AT591" s="7" t="n">
        <x:v>46301.9166666667</x:v>
      </x:c>
    </x:row>
    <x:row r="592" ht="31.299999237060547" hidden="0">
      <x:c r="A592" s="3" t="s">
        <x:v>1138</x:v>
      </x:c>
      <x:c r="B592" s="3" t="s">
        <x:v>83</x:v>
      </x:c>
      <x:c r="C592" s="3" t="s">
        <x:v>96</x:v>
      </x:c>
      <x:c r="D592" s="3" t="s">
        <x:v>97</x:v>
      </x:c>
      <x:c r="E592" s="3" t="s">
        <x:v>249</x:v>
      </x:c>
      <x:c r="F592" s="3" t="s">
        <x:v>99</x:v>
      </x:c>
      <x:c r="G592" s="3" t="s">
        <x:v>507</x:v>
      </x:c>
      <x:c r="H592" s="3" t="s">
        <x:v>101</x:v>
      </x:c>
      <x:c r="I592" s="3" t="s">
        <x:v>102</x:v>
      </x:c>
      <x:c r="J592" s="3" t="s">
        <x:v>103</x:v>
      </x:c>
      <x:c r="K592" s="3" t="s">
        <x:v>104</x:v>
      </x:c>
      <x:c r="L592" s="3" t="s">
        <x:v>105</x:v>
      </x:c>
      <x:c r="M592" s="3" t="s">
        <x:v>106</x:v>
      </x:c>
      <x:c r="N592" s="3" t="s">
        <x:v>107</x:v>
      </x:c>
      <x:c r="O592" s="3" t="s">
        <x:v>108</x:v>
      </x:c>
      <x:c r="P592" s="3" t="s">
        <x:v>109</x:v>
      </x:c>
      <x:c r="Q592" s="3" t="s">
        <x:v>250</x:v>
      </x:c>
      <x:c r="R592" s="3" t="s">
        <x:v>373</x:v>
      </x:c>
      <x:c r="S592" s="3" t="s">
        <x:v>135</x:v>
      </x:c>
      <x:c r="T592" s="3" t="s">
        <x:v>111</x:v>
      </x:c>
      <x:c r="U592" s="3" t="s">
        <x:v>374</x:v>
      </x:c>
      <x:c r="V592" s="3" t="s">
        <x:v>178</x:v>
      </x:c>
      <x:c r="W592" s="3" t="s">
        <x:v>355</x:v>
      </x:c>
      <x:c r="X592" s="3" t="s">
        <x:v>180</x:v>
      </x:c>
      <x:c r="Y592" s="3" t="s">
        <x:v>356</x:v>
      </x:c>
      <x:c r="Z592" s="3" t="s">
        <x:v>375</x:v>
      </x:c>
      <x:c r="AA592" s="3" t="s">
        <x:v>118</x:v>
      </x:c>
      <x:c r="AB592" s="7" t="n">
        <x:v>46290.7756944444</x:v>
      </x:c>
      <x:c r="AC592" s="7" t="n">
        <x:v>46290.7798611111</x:v>
      </x:c>
      <x:c r="AD592" s="7" t="n">
        <x:v>46290.7847222222</x:v>
      </x:c>
      <x:c r="AE592" s="7" t="n">
        <x:v>46290.8118055556</x:v>
      </x:c>
      <x:c r="AF592" s="7" t="n">
        <x:v>46290.8416666667</x:v>
      </x:c>
      <x:c r="AG592" s="3" t="n">
        <x:v>52</x:v>
      </x:c>
      <x:c r="AH592" s="3" t="n">
        <x:v>39</x:v>
      </x:c>
      <x:c r="AI592" s="3" t="s">
        <x:v>111</x:v>
      </x:c>
      <x:c r="AJ592" s="3" t="s">
        <x:v>111</x:v>
      </x:c>
      <x:c r="AK592" s="3" t="n">
        <x:v>60</x:v>
      </x:c>
      <x:c r="AL592" s="3" t="n">
        <x:v>0</x:v>
      </x:c>
      <x:c r="AM592" s="8" t="n">
        <x:v>1.5167</x:v>
      </x:c>
      <x:c r="AN592" s="3" t="n">
        <x:v>0</x:v>
      </x:c>
      <x:c r="AO592" s="3" t="s">
        <x:v>24</x:v>
      </x:c>
      <x:c r="AP592" s="3" t="s">
        <x:v>421</x:v>
      </x:c>
      <x:c r="AQ592" s="3" t="s">
        <x:v>422</x:v>
      </x:c>
      <x:c r="AR592" s="9" t="n">
        <x:v>1094.8</x:v>
      </x:c>
      <x:c r="AS592" s="3" t="s">
        <x:v>185</x:v>
      </x:c>
      <x:c r="AT592" s="7" t="n">
        <x:v>46301.9166666667</x:v>
      </x:c>
    </x:row>
    <x:row r="593" ht="31.299999237060547" hidden="0">
      <x:c r="A593" s="3" t="s">
        <x:v>1139</x:v>
      </x:c>
      <x:c r="B593" s="3" t="s">
        <x:v>83</x:v>
      </x:c>
      <x:c r="C593" s="3" t="s">
        <x:v>96</x:v>
      </x:c>
      <x:c r="D593" s="3" t="s">
        <x:v>97</x:v>
      </x:c>
      <x:c r="E593" s="3" t="s">
        <x:v>249</x:v>
      </x:c>
      <x:c r="F593" s="3" t="s">
        <x:v>127</x:v>
      </x:c>
      <x:c r="G593" s="3" t="s">
        <x:v>359</x:v>
      </x:c>
      <x:c r="H593" s="3" t="s">
        <x:v>101</x:v>
      </x:c>
      <x:c r="I593" s="3" t="s">
        <x:v>102</x:v>
      </x:c>
      <x:c r="J593" s="3" t="s">
        <x:v>103</x:v>
      </x:c>
      <x:c r="K593" s="3" t="s">
        <x:v>104</x:v>
      </x:c>
      <x:c r="L593" s="3" t="s">
        <x:v>105</x:v>
      </x:c>
      <x:c r="M593" s="3" t="s">
        <x:v>106</x:v>
      </x:c>
      <x:c r="N593" s="3" t="s">
        <x:v>107</x:v>
      </x:c>
      <x:c r="O593" s="3" t="s">
        <x:v>108</x:v>
      </x:c>
      <x:c r="P593" s="3" t="s">
        <x:v>109</x:v>
      </x:c>
      <x:c r="Q593" s="3" t="s">
        <x:v>250</x:v>
      </x:c>
      <x:c r="R593" s="3" t="s">
        <x:v>156</x:v>
      </x:c>
      <x:c r="S593" s="3" t="s">
        <x:v>135</x:v>
      </x:c>
      <x:c r="T593" s="3" t="s">
        <x:v>111</x:v>
      </x:c>
      <x:c r="U593" s="3" t="s">
        <x:v>157</x:v>
      </x:c>
      <x:c r="V593" s="3" t="s">
        <x:v>158</x:v>
      </x:c>
      <x:c r="W593" s="3" t="s">
        <x:v>159</x:v>
      </x:c>
      <x:c r="X593" s="3" t="s">
        <x:v>160</x:v>
      </x:c>
      <x:c r="Y593" s="3" t="s">
        <x:v>360</x:v>
      </x:c>
      <x:c r="Z593" s="3" t="s">
        <x:v>162</x:v>
      </x:c>
      <x:c r="AA593" s="3" t="s">
        <x:v>118</x:v>
      </x:c>
      <x:c r="AB593" s="7" t="n">
        <x:v>46291.3451388889</x:v>
      </x:c>
      <x:c r="AC593" s="7" t="n">
        <x:v>46291.3465277778</x:v>
      </x:c>
      <x:c r="AD593" s="7" t="n">
        <x:v>46291.3527777778</x:v>
      </x:c>
      <x:c r="AE593" s="7" t="n">
        <x:v>46291.3729166667</x:v>
      </x:c>
      <x:c r="AF593" s="7" t="n">
        <x:v>46291.3875</x:v>
      </x:c>
      <x:c r="AG593" s="3" t="n">
        <x:v>40</x:v>
      </x:c>
      <x:c r="AH593" s="3" t="n">
        <x:v>18</x:v>
      </x:c>
      <x:c r="AI593" s="3" t="s">
        <x:v>111</x:v>
      </x:c>
      <x:c r="AJ593" s="3" t="s">
        <x:v>111</x:v>
      </x:c>
      <x:c r="AK593" s="3" t="n">
        <x:v>60</x:v>
      </x:c>
      <x:c r="AL593" s="3" t="n">
        <x:v>0</x:v>
      </x:c>
      <x:c r="AM593" s="8" t="n">
        <x:v>0.9667</x:v>
      </x:c>
      <x:c r="AN593" s="3" t="n">
        <x:v>2</x:v>
      </x:c>
      <x:c r="AO593" s="3" t="s">
        <x:v>24</x:v>
      </x:c>
      <x:c r="AP593" s="3" t="s">
        <x:v>776</x:v>
      </x:c>
      <x:c r="AQ593" s="3" t="s">
        <x:v>562</x:v>
      </x:c>
      <x:c r="AR593" s="9" t="n">
        <x:v>889.6</x:v>
      </x:c>
      <x:c r="AS593" s="3" t="s">
        <x:v>121</x:v>
      </x:c>
      <x:c r="AT593" s="7" t="n">
        <x:v>46301.9166666667</x:v>
      </x:c>
    </x:row>
    <x:row r="594" ht="31.299999237060547" hidden="0">
      <x:c r="A594" s="3" t="s">
        <x:v>1140</x:v>
      </x:c>
      <x:c r="B594" s="3" t="s">
        <x:v>166</x:v>
      </x:c>
      <x:c r="C594" s="3" t="s">
        <x:v>167</x:v>
      </x:c>
      <x:c r="D594" s="3" t="s">
        <x:v>168</x:v>
      </x:c>
      <x:c r="E594" s="3" t="s">
        <x:v>249</x:v>
      </x:c>
      <x:c r="F594" s="3" t="s">
        <x:v>149</x:v>
      </x:c>
      <x:c r="G594" s="3" t="s">
        <x:v>520</x:v>
      </x:c>
      <x:c r="H594" s="3" t="s">
        <x:v>343</x:v>
      </x:c>
      <x:c r="I594" s="3" t="s">
        <x:v>102</x:v>
      </x:c>
      <x:c r="J594" s="3" t="s">
        <x:v>103</x:v>
      </x:c>
      <x:c r="K594" s="3" t="s">
        <x:v>104</x:v>
      </x:c>
      <x:c r="L594" s="3" t="s">
        <x:v>171</x:v>
      </x:c>
      <x:c r="M594" s="3" t="s">
        <x:v>172</x:v>
      </x:c>
      <x:c r="N594" s="3" t="s">
        <x:v>173</x:v>
      </x:c>
      <x:c r="O594" s="3" t="s">
        <x:v>174</x:v>
      </x:c>
      <x:c r="P594" s="3" t="s">
        <x:v>175</x:v>
      </x:c>
      <x:c r="Q594" s="3" t="s">
        <x:v>271</x:v>
      </x:c>
      <x:c r="R594" s="3" t="s">
        <x:v>380</x:v>
      </x:c>
      <x:c r="S594" s="3" t="s">
        <x:v>111</x:v>
      </x:c>
      <x:c r="T594" s="3" t="s">
        <x:v>111</x:v>
      </x:c>
      <x:c r="U594" s="3" t="s">
        <x:v>381</x:v>
      </x:c>
      <x:c r="V594" s="3" t="s">
        <x:v>312</x:v>
      </x:c>
      <x:c r="W594" s="3" t="s">
        <x:v>313</x:v>
      </x:c>
      <x:c r="X594" s="3" t="s">
        <x:v>314</x:v>
      </x:c>
      <x:c r="Y594" s="3" t="s">
        <x:v>315</x:v>
      </x:c>
      <x:c r="Z594" s="3" t="s">
        <x:v>384</x:v>
      </x:c>
      <x:c r="AA594" s="3" t="s">
        <x:v>385</x:v>
      </x:c>
      <x:c r="AB594" s="7" t="n">
        <x:v>46291.3986111111</x:v>
      </x:c>
      <x:c r="AC594" s="7" t="n">
        <x:v>46291.4006944444</x:v>
      </x:c>
      <x:c r="AD594" s="7" t="n">
        <x:v>46291.4034722222</x:v>
      </x:c>
      <x:c r="AE594" s="7" t="n">
        <x:v>46291.4222222222</x:v>
      </x:c>
      <x:c r="AF594" s="7" t="n">
        <x:v>46291.4673611111</x:v>
      </x:c>
      <x:c r="AG594" s="3" t="n">
        <x:v>34</x:v>
      </x:c>
      <x:c r="AH594" s="3" t="n">
        <x:v>56</x:v>
      </x:c>
      <x:c r="AI594" s="3" t="s">
        <x:v>135</x:v>
      </x:c>
      <x:c r="AJ594" s="3" t="s">
        <x:v>135</x:v>
      </x:c>
      <x:c r="AK594" s="3" t="n">
        <x:v>120</x:v>
      </x:c>
      <x:c r="AL594" s="3" t="n">
        <x:v>0</x:v>
      </x:c>
      <x:c r="AM594" s="8" t="n">
        <x:v>0.75</x:v>
      </x:c>
      <x:c r="AN594" s="3" t="n">
        <x:v>0</x:v>
      </x:c>
      <x:c r="AO594" s="3" t="s">
        <x:v>14</x:v>
      </x:c>
      <x:c r="AP594" s="3" t="s">
        <x:v>347</x:v>
      </x:c>
      <x:c r="AQ594" s="3" t="s">
        <x:v>340</x:v>
      </x:c>
      <x:c r="AR594" s="9" t="n">
        <x:v>1196.2</x:v>
      </x:c>
      <x:c r="AS594" s="3" t="s">
        <x:v>185</x:v>
      </x:c>
      <x:c r="AT594" s="7" t="n">
        <x:v>46301.9166666667</x:v>
      </x:c>
    </x:row>
    <x:row r="595" ht="31.299999237060547" hidden="0">
      <x:c r="A595" s="3" t="s">
        <x:v>1141</x:v>
      </x:c>
      <x:c r="B595" s="3" t="s">
        <x:v>146</x:v>
      </x:c>
      <x:c r="C595" s="3" t="s">
        <x:v>147</x:v>
      </x:c>
      <x:c r="D595" s="3" t="s">
        <x:v>148</x:v>
      </x:c>
      <x:c r="E595" s="3" t="s">
        <x:v>249</x:v>
      </x:c>
      <x:c r="F595" s="3" t="s">
        <x:v>169</x:v>
      </x:c>
      <x:c r="G595" s="3" t="s">
        <x:v>342</x:v>
      </x:c>
      <x:c r="H595" s="3" t="s">
        <x:v>343</x:v>
      </x:c>
      <x:c r="I595" s="3" t="s">
        <x:v>102</x:v>
      </x:c>
      <x:c r="J595" s="3" t="s">
        <x:v>103</x:v>
      </x:c>
      <x:c r="K595" s="3" t="s">
        <x:v>104</x:v>
      </x:c>
      <x:c r="L595" s="3" t="s">
        <x:v>151</x:v>
      </x:c>
      <x:c r="M595" s="3" t="s">
        <x:v>152</x:v>
      </x:c>
      <x:c r="N595" s="3" t="s">
        <x:v>153</x:v>
      </x:c>
      <x:c r="O595" s="3" t="s">
        <x:v>154</x:v>
      </x:c>
      <x:c r="P595" s="3" t="s">
        <x:v>155</x:v>
      </x:c>
      <x:c r="Q595" s="3" t="s">
        <x:v>270</x:v>
      </x:c>
      <x:c r="R595" s="3" t="s">
        <x:v>344</x:v>
      </x:c>
      <x:c r="S595" s="3" t="s">
        <x:v>111</x:v>
      </x:c>
      <x:c r="T595" s="3" t="s">
        <x:v>111</x:v>
      </x:c>
      <x:c r="U595" s="3" t="s">
        <x:v>345</x:v>
      </x:c>
      <x:c r="V595" s="3" t="s">
        <x:v>178</x:v>
      </x:c>
      <x:c r="W595" s="3" t="s">
        <x:v>355</x:v>
      </x:c>
      <x:c r="X595" s="3" t="s">
        <x:v>180</x:v>
      </x:c>
      <x:c r="Y595" s="3" t="s">
        <x:v>356</x:v>
      </x:c>
      <x:c r="Z595" s="3" t="s">
        <x:v>346</x:v>
      </x:c>
      <x:c r="AA595" s="3" t="s">
        <x:v>118</x:v>
      </x:c>
      <x:c r="AB595" s="7" t="n">
        <x:v>46291.4763888889</x:v>
      </x:c>
      <x:c r="AC595" s="7" t="n">
        <x:v>46291.4791666667</x:v>
      </x:c>
      <x:c r="AD595" s="7" t="n">
        <x:v>46291.4847222222</x:v>
      </x:c>
      <x:c r="AE595" s="7" t="n">
        <x:v>46291.4944444444</x:v>
      </x:c>
      <x:c r="AF595" s="7" t="n">
        <x:v>46291.51875</x:v>
      </x:c>
      <x:c r="AG595" s="3" t="n">
        <x:v>26</x:v>
      </x:c>
      <x:c r="AH595" s="3" t="n">
        <x:v>29</x:v>
      </x:c>
      <x:c r="AI595" s="3" t="s">
        <x:v>135</x:v>
      </x:c>
      <x:c r="AJ595" s="3" t="s">
        <x:v>135</x:v>
      </x:c>
      <x:c r="AK595" s="3" t="n">
        <x:v>120</x:v>
      </x:c>
      <x:c r="AL595" s="3" t="n">
        <x:v>0</x:v>
      </x:c>
      <x:c r="AM595" s="8" t="n">
        <x:v>0.4583</x:v>
      </x:c>
      <x:c r="AN595" s="3" t="n">
        <x:v>0</x:v>
      </x:c>
      <x:c r="AO595" s="3" t="s">
        <x:v>9</x:v>
      </x:c>
      <x:c r="AP595" s="3" t="s">
        <x:v>142</x:v>
      </x:c>
      <x:c r="AQ595" s="3" t="s">
        <x:v>411</x:v>
      </x:c>
      <x:c r="AR595" s="9" t="n">
        <x:v>585.8</x:v>
      </x:c>
      <x:c r="AS595" s="3" t="s">
        <x:v>121</x:v>
      </x:c>
      <x:c r="AT595" s="7" t="n">
        <x:v>46301.9166666667</x:v>
      </x:c>
    </x:row>
    <x:row r="596" ht="31.299999237060547" hidden="0">
      <x:c r="A596" s="3" t="s">
        <x:v>1142</x:v>
      </x:c>
      <x:c r="B596" s="3" t="s">
        <x:v>433</x:v>
      </x:c>
      <x:c r="C596" s="3" t="s">
        <x:v>434</x:v>
      </x:c>
      <x:c r="D596" s="3" t="s">
        <x:v>435</x:v>
      </x:c>
      <x:c r="E596" s="3" t="s">
        <x:v>249</x:v>
      </x:c>
      <x:c r="F596" s="3" t="s">
        <x:v>169</x:v>
      </x:c>
      <x:c r="G596" s="3" t="s">
        <x:v>390</x:v>
      </x:c>
      <x:c r="H596" s="3" t="s">
        <x:v>301</x:v>
      </x:c>
      <x:c r="I596" s="3" t="s">
        <x:v>302</x:v>
      </x:c>
      <x:c r="J596" s="3" t="s">
        <x:v>303</x:v>
      </x:c>
      <x:c r="K596" s="3" t="s">
        <x:v>104</x:v>
      </x:c>
      <x:c r="L596" s="3" t="s">
        <x:v>437</x:v>
      </x:c>
      <x:c r="M596" s="3" t="s">
        <x:v>106</x:v>
      </x:c>
      <x:c r="N596" s="3" t="s">
        <x:v>438</x:v>
      </x:c>
      <x:c r="O596" s="3" t="s">
        <x:v>439</x:v>
      </x:c>
      <x:c r="P596" s="3" t="s">
        <x:v>440</x:v>
      </x:c>
      <x:c r="Q596" s="3" t="s">
        <x:v>441</x:v>
      </x:c>
      <x:c r="R596" s="3" t="s">
        <x:v>391</x:v>
      </x:c>
      <x:c r="S596" s="3" t="s">
        <x:v>135</x:v>
      </x:c>
      <x:c r="T596" s="3" t="s">
        <x:v>135</x:v>
      </x:c>
      <x:c r="U596" s="3" t="s">
        <x:v>392</x:v>
      </x:c>
      <x:c r="V596" s="3" t="s">
        <x:v>312</x:v>
      </x:c>
      <x:c r="W596" s="3" t="s">
        <x:v>351</x:v>
      </x:c>
      <x:c r="X596" s="3" t="s">
        <x:v>314</x:v>
      </x:c>
      <x:c r="Y596" s="3" t="s">
        <x:v>352</x:v>
      </x:c>
      <x:c r="Z596" s="3" t="s">
        <x:v>393</x:v>
      </x:c>
      <x:c r="AA596" s="3" t="s">
        <x:v>394</x:v>
      </x:c>
      <x:c r="AB596" s="7" t="n">
        <x:v>46291.5659722222</x:v>
      </x:c>
      <x:c r="AC596" s="7" t="n">
        <x:v>46291.5680555556</x:v>
      </x:c>
      <x:c r="AD596" s="7" t="n">
        <x:v>46291.5701388889</x:v>
      </x:c>
      <x:c r="AE596" s="7" t="n">
        <x:v>46291.5979166667</x:v>
      </x:c>
      <x:c r="AF596" s="7" t="n">
        <x:v>46291.6194444444</x:v>
      </x:c>
      <x:c r="AG596" s="3" t="n">
        <x:v>46</x:v>
      </x:c>
      <x:c r="AH596" s="3" t="n">
        <x:v>26</x:v>
      </x:c>
      <x:c r="AI596" s="3" t="s">
        <x:v>135</x:v>
      </x:c>
      <x:c r="AJ596" s="3" t="s">
        <x:v>135</x:v>
      </x:c>
      <x:c r="AK596" s="3" t="n">
        <x:v>180</x:v>
      </x:c>
      <x:c r="AL596" s="3" t="n">
        <x:v>0</x:v>
      </x:c>
      <x:c r="AM596" s="8" t="n">
        <x:v>0.4</x:v>
      </x:c>
      <x:c r="AN596" s="3" t="n">
        <x:v>7</x:v>
      </x:c>
      <x:c r="AO596" s="3" t="s">
        <x:v>14</x:v>
      </x:c>
      <x:c r="AP596" s="3" t="s">
        <x:v>1143</x:v>
      </x:c>
      <x:c r="AQ596" s="3" t="s">
        <x:v>820</x:v>
      </x:c>
      <x:c r="AR596" s="9" t="n">
        <x:v>904.2</x:v>
      </x:c>
      <x:c r="AS596" s="3" t="s">
        <x:v>185</x:v>
      </x:c>
      <x:c r="AT596" s="7" t="n">
        <x:v>46301.9166666667</x:v>
      </x:c>
    </x:row>
    <x:row r="597" ht="31.299999237060547" hidden="0">
      <x:c r="A597" s="3" t="s">
        <x:v>1144</x:v>
      </x:c>
      <x:c r="B597" s="3" t="s">
        <x:v>166</x:v>
      </x:c>
      <x:c r="C597" s="3" t="s">
        <x:v>167</x:v>
      </x:c>
      <x:c r="D597" s="3" t="s">
        <x:v>168</x:v>
      </x:c>
      <x:c r="E597" s="3" t="s">
        <x:v>249</x:v>
      </x:c>
      <x:c r="F597" s="3" t="s">
        <x:v>149</x:v>
      </x:c>
      <x:c r="G597" s="3" t="s">
        <x:v>469</x:v>
      </x:c>
      <x:c r="H597" s="3" t="s">
        <x:v>301</x:v>
      </x:c>
      <x:c r="I597" s="3" t="s">
        <x:v>302</x:v>
      </x:c>
      <x:c r="J597" s="3" t="s">
        <x:v>303</x:v>
      </x:c>
      <x:c r="K597" s="3" t="s">
        <x:v>104</x:v>
      </x:c>
      <x:c r="L597" s="3" t="s">
        <x:v>171</x:v>
      </x:c>
      <x:c r="M597" s="3" t="s">
        <x:v>172</x:v>
      </x:c>
      <x:c r="N597" s="3" t="s">
        <x:v>173</x:v>
      </x:c>
      <x:c r="O597" s="3" t="s">
        <x:v>174</x:v>
      </x:c>
      <x:c r="P597" s="3" t="s">
        <x:v>175</x:v>
      </x:c>
      <x:c r="Q597" s="3" t="s">
        <x:v>271</x:v>
      </x:c>
      <x:c r="R597" s="3" t="s">
        <x:v>110</x:v>
      </x:c>
      <x:c r="S597" s="3" t="s">
        <x:v>111</x:v>
      </x:c>
      <x:c r="T597" s="3" t="s">
        <x:v>111</x:v>
      </x:c>
      <x:c r="U597" s="3" t="s">
        <x:v>112</x:v>
      </x:c>
      <x:c r="V597" s="3" t="s">
        <x:v>113</x:v>
      </x:c>
      <x:c r="W597" s="3" t="s">
        <x:v>419</x:v>
      </x:c>
      <x:c r="X597" s="3" t="s">
        <x:v>115</x:v>
      </x:c>
      <x:c r="Y597" s="3" t="s">
        <x:v>420</x:v>
      </x:c>
      <x:c r="Z597" s="3" t="s">
        <x:v>117</x:v>
      </x:c>
      <x:c r="AA597" s="3" t="s">
        <x:v>118</x:v>
      </x:c>
      <x:c r="AB597" s="7" t="n">
        <x:v>46291.5895833333</x:v>
      </x:c>
      <x:c r="AC597" s="7" t="n">
        <x:v>46291.5909722222</x:v>
      </x:c>
      <x:c r="AD597" s="7" t="n">
        <x:v>46291.5951388889</x:v>
      </x:c>
      <x:c r="AE597" s="7" t="n">
        <x:v>46291.6159722222</x:v>
      </x:c>
      <x:c r="AF597" s="7" t="n">
        <x:v>46291.6652777778</x:v>
      </x:c>
      <x:c r="AG597" s="3" t="n">
        <x:v>38</x:v>
      </x:c>
      <x:c r="AH597" s="3" t="n">
        <x:v>67</x:v>
      </x:c>
      <x:c r="AI597" s="3" t="s">
        <x:v>135</x:v>
      </x:c>
      <x:c r="AJ597" s="3" t="s">
        <x:v>135</x:v>
      </x:c>
      <x:c r="AK597" s="3" t="n">
        <x:v>120</x:v>
      </x:c>
      <x:c r="AL597" s="3" t="n">
        <x:v>0</x:v>
      </x:c>
      <x:c r="AM597" s="8" t="n">
        <x:v>0.875</x:v>
      </x:c>
      <x:c r="AN597" s="3" t="n">
        <x:v>3</x:v>
      </x:c>
      <x:c r="AO597" s="3" t="s">
        <x:v>19</x:v>
      </x:c>
      <x:c r="AP597" s="3" t="s">
        <x:v>1067</x:v>
      </x:c>
      <x:c r="AQ597" s="3" t="s">
        <x:v>1145</x:v>
      </x:c>
      <x:c r="AR597" s="9" t="n">
        <x:v>1543.4</x:v>
      </x:c>
      <x:c r="AS597" s="3" t="s">
        <x:v>185</x:v>
      </x:c>
      <x:c r="AT597" s="7" t="n">
        <x:v>46301.9166666667</x:v>
      </x:c>
    </x:row>
    <x:row r="598" ht="31.299999237060547" hidden="0">
      <x:c r="A598" s="3" t="s">
        <x:v>1146</x:v>
      </x:c>
      <x:c r="B598" s="3" t="s">
        <x:v>166</x:v>
      </x:c>
      <x:c r="C598" s="3" t="s">
        <x:v>167</x:v>
      </x:c>
      <x:c r="D598" s="3" t="s">
        <x:v>168</x:v>
      </x:c>
      <x:c r="E598" s="3" t="s">
        <x:v>249</x:v>
      </x:c>
      <x:c r="F598" s="3" t="s">
        <x:v>127</x:v>
      </x:c>
      <x:c r="G598" s="3" t="s">
        <x:v>535</x:v>
      </x:c>
      <x:c r="H598" s="3" t="s">
        <x:v>101</x:v>
      </x:c>
      <x:c r="I598" s="3" t="s">
        <x:v>102</x:v>
      </x:c>
      <x:c r="J598" s="3" t="s">
        <x:v>103</x:v>
      </x:c>
      <x:c r="K598" s="3" t="s">
        <x:v>104</x:v>
      </x:c>
      <x:c r="L598" s="3" t="s">
        <x:v>171</x:v>
      </x:c>
      <x:c r="M598" s="3" t="s">
        <x:v>172</x:v>
      </x:c>
      <x:c r="N598" s="3" t="s">
        <x:v>173</x:v>
      </x:c>
      <x:c r="O598" s="3" t="s">
        <x:v>174</x:v>
      </x:c>
      <x:c r="P598" s="3" t="s">
        <x:v>175</x:v>
      </x:c>
      <x:c r="Q598" s="3" t="s">
        <x:v>271</x:v>
      </x:c>
      <x:c r="R598" s="3" t="s">
        <x:v>176</x:v>
      </x:c>
      <x:c r="S598" s="3" t="s">
        <x:v>135</x:v>
      </x:c>
      <x:c r="T598" s="3" t="s">
        <x:v>135</x:v>
      </x:c>
      <x:c r="U598" s="3" t="s">
        <x:v>177</x:v>
      </x:c>
      <x:c r="V598" s="3" t="s">
        <x:v>178</x:v>
      </x:c>
      <x:c r="W598" s="3" t="s">
        <x:v>355</x:v>
      </x:c>
      <x:c r="X598" s="3" t="s">
        <x:v>180</x:v>
      </x:c>
      <x:c r="Y598" s="3" t="s">
        <x:v>356</x:v>
      </x:c>
      <x:c r="Z598" s="3" t="s">
        <x:v>182</x:v>
      </x:c>
      <x:c r="AA598" s="3" t="s">
        <x:v>118</x:v>
      </x:c>
      <x:c r="AB598" s="7" t="n">
        <x:v>46291.5979166667</x:v>
      </x:c>
      <x:c r="AC598" s="7" t="n">
        <x:v>46291.6013888889</x:v>
      </x:c>
      <x:c r="AD598" s="7" t="n">
        <x:v>46291.6041666667</x:v>
      </x:c>
      <x:c r="AE598" s="7" t="n">
        <x:v>46291.6243055556</x:v>
      </x:c>
      <x:c r="AF598" s="7" t="n">
        <x:v>46291.675</x:v>
      </x:c>
      <x:c r="AG598" s="3" t="n">
        <x:v>38</x:v>
      </x:c>
      <x:c r="AH598" s="3" t="n">
        <x:v>69</x:v>
      </x:c>
      <x:c r="AI598" s="3" t="s">
        <x:v>135</x:v>
      </x:c>
      <x:c r="AJ598" s="3" t="s">
        <x:v>135</x:v>
      </x:c>
      <x:c r="AK598" s="3" t="n">
        <x:v>150</x:v>
      </x:c>
      <x:c r="AL598" s="3" t="n">
        <x:v>0</x:v>
      </x:c>
      <x:c r="AM598" s="8" t="n">
        <x:v>0.7133</x:v>
      </x:c>
      <x:c r="AN598" s="3" t="n">
        <x:v>1</x:v>
      </x:c>
      <x:c r="AO598" s="3" t="s">
        <x:v>14</x:v>
      </x:c>
      <x:c r="AP598" s="3" t="s">
        <x:v>471</x:v>
      </x:c>
      <x:c r="AQ598" s="3" t="s">
        <x:v>501</x:v>
      </x:c>
      <x:c r="AR598" s="9" t="n">
        <x:v>1307.8</x:v>
      </x:c>
      <x:c r="AS598" s="3" t="s">
        <x:v>121</x:v>
      </x:c>
      <x:c r="AT598" s="7" t="n">
        <x:v>46301.9166666667</x:v>
      </x:c>
    </x:row>
    <x:row r="599" ht="31.299999237060547" hidden="0">
      <x:c r="A599" s="3" t="s">
        <x:v>1147</x:v>
      </x:c>
      <x:c r="B599" s="3" t="s">
        <x:v>123</x:v>
      </x:c>
      <x:c r="C599" s="3" t="s">
        <x:v>124</x:v>
      </x:c>
      <x:c r="D599" s="3" t="s">
        <x:v>125</x:v>
      </x:c>
      <x:c r="E599" s="3" t="s">
        <x:v>249</x:v>
      </x:c>
      <x:c r="F599" s="3" t="s">
        <x:v>169</x:v>
      </x:c>
      <x:c r="G599" s="3" t="s">
        <x:v>623</x:v>
      </x:c>
      <x:c r="H599" s="3" t="s">
        <x:v>101</x:v>
      </x:c>
      <x:c r="I599" s="3" t="s">
        <x:v>102</x:v>
      </x:c>
      <x:c r="J599" s="3" t="s">
        <x:v>103</x:v>
      </x:c>
      <x:c r="K599" s="3" t="s">
        <x:v>104</x:v>
      </x:c>
      <x:c r="L599" s="3" t="s">
        <x:v>129</x:v>
      </x:c>
      <x:c r="M599" s="3" t="s">
        <x:v>130</x:v>
      </x:c>
      <x:c r="N599" s="3" t="s">
        <x:v>131</x:v>
      </x:c>
      <x:c r="O599" s="3" t="s">
        <x:v>132</x:v>
      </x:c>
      <x:c r="P599" s="3" t="s">
        <x:v>133</x:v>
      </x:c>
      <x:c r="Q599" s="3" t="s">
        <x:v>268</x:v>
      </x:c>
      <x:c r="R599" s="3" t="s">
        <x:v>176</x:v>
      </x:c>
      <x:c r="S599" s="3" t="s">
        <x:v>135</x:v>
      </x:c>
      <x:c r="T599" s="3" t="s">
        <x:v>135</x:v>
      </x:c>
      <x:c r="U599" s="3" t="s">
        <x:v>177</x:v>
      </x:c>
      <x:c r="V599" s="3" t="s">
        <x:v>178</x:v>
      </x:c>
      <x:c r="W599" s="3" t="s">
        <x:v>355</x:v>
      </x:c>
      <x:c r="X599" s="3" t="s">
        <x:v>180</x:v>
      </x:c>
      <x:c r="Y599" s="3" t="s">
        <x:v>356</x:v>
      </x:c>
      <x:c r="Z599" s="3" t="s">
        <x:v>182</x:v>
      </x:c>
      <x:c r="AA599" s="3" t="s">
        <x:v>118</x:v>
      </x:c>
      <x:c r="AB599" s="7" t="n">
        <x:v>46291.6270833333</x:v>
      </x:c>
      <x:c r="AC599" s="7" t="n">
        <x:v>46291.6284722222</x:v>
      </x:c>
      <x:c r="AD599" s="7" t="n">
        <x:v>46291.6305555556</x:v>
      </x:c>
      <x:c r="AE599" s="7" t="n">
        <x:v>46291.6430555556</x:v>
      </x:c>
      <x:c r="AF599" s="7" t="n">
        <x:v>46291.6611111111</x:v>
      </x:c>
      <x:c r="AG599" s="3" t="n">
        <x:v>23</x:v>
      </x:c>
      <x:c r="AH599" s="3" t="n">
        <x:v>17</x:v>
      </x:c>
      <x:c r="AI599" s="3" t="s">
        <x:v>135</x:v>
      </x:c>
      <x:c r="AJ599" s="3" t="s">
        <x:v>135</x:v>
      </x:c>
      <x:c r="AK599" s="3" t="n">
        <x:v>180</x:v>
      </x:c>
      <x:c r="AL599" s="3" t="n">
        <x:v>0</x:v>
      </x:c>
      <x:c r="AM599" s="8" t="n">
        <x:v>0.2222</x:v>
      </x:c>
      <x:c r="AN599" s="3" t="n">
        <x:v>0</x:v>
      </x:c>
      <x:c r="AO599" s="3" t="s">
        <x:v>9</x:v>
      </x:c>
      <x:c r="AP599" s="3" t="s">
        <x:v>142</x:v>
      </x:c>
      <x:c r="AQ599" s="3" t="s">
        <x:v>357</x:v>
      </x:c>
      <x:c r="AR599" s="9" t="n">
        <x:v>485.9</x:v>
      </x:c>
      <x:c r="AS599" s="3" t="s">
        <x:v>144</x:v>
      </x:c>
      <x:c r="AT599" s="7" t="n">
        <x:v>46301.9166666667</x:v>
      </x:c>
    </x:row>
    <x:row r="600" ht="31.299999237060547" hidden="0">
      <x:c r="A600" s="3" t="s">
        <x:v>1148</x:v>
      </x:c>
      <x:c r="B600" s="3" t="s">
        <x:v>233</x:v>
      </x:c>
      <x:c r="C600" s="3" t="s">
        <x:v>234</x:v>
      </x:c>
      <x:c r="D600" s="3" t="s">
        <x:v>235</x:v>
      </x:c>
      <x:c r="E600" s="3" t="s">
        <x:v>249</x:v>
      </x:c>
      <x:c r="F600" s="3" t="s">
        <x:v>127</x:v>
      </x:c>
      <x:c r="G600" s="3" t="s">
        <x:v>447</x:v>
      </x:c>
      <x:c r="H600" s="3" t="s">
        <x:v>343</x:v>
      </x:c>
      <x:c r="I600" s="3" t="s">
        <x:v>102</x:v>
      </x:c>
      <x:c r="J600" s="3" t="s">
        <x:v>103</x:v>
      </x:c>
      <x:c r="K600" s="3" t="s">
        <x:v>104</x:v>
      </x:c>
      <x:c r="L600" s="3" t="s">
        <x:v>237</x:v>
      </x:c>
      <x:c r="M600" s="3" t="s">
        <x:v>172</x:v>
      </x:c>
      <x:c r="N600" s="3" t="s">
        <x:v>238</x:v>
      </x:c>
      <x:c r="O600" s="3" t="s">
        <x:v>239</x:v>
      </x:c>
      <x:c r="P600" s="3" t="s">
        <x:v>240</x:v>
      </x:c>
      <x:c r="Q600" s="3" t="s">
        <x:v>276</x:v>
      </x:c>
      <x:c r="R600" s="3" t="s">
        <x:v>344</x:v>
      </x:c>
      <x:c r="S600" s="3" t="s">
        <x:v>111</x:v>
      </x:c>
      <x:c r="T600" s="3" t="s">
        <x:v>111</x:v>
      </x:c>
      <x:c r="U600" s="3" t="s">
        <x:v>345</x:v>
      </x:c>
      <x:c r="V600" s="3" t="s">
        <x:v>178</x:v>
      </x:c>
      <x:c r="W600" s="3" t="s">
        <x:v>332</x:v>
      </x:c>
      <x:c r="X600" s="3" t="s">
        <x:v>180</x:v>
      </x:c>
      <x:c r="Y600" s="3" t="s">
        <x:v>333</x:v>
      </x:c>
      <x:c r="Z600" s="3" t="s">
        <x:v>346</x:v>
      </x:c>
      <x:c r="AA600" s="3" t="s">
        <x:v>118</x:v>
      </x:c>
      <x:c r="AB600" s="7" t="n">
        <x:v>46291.6465277778</x:v>
      </x:c>
      <x:c r="AC600" s="7" t="n">
        <x:v>46291.6486111111</x:v>
      </x:c>
      <x:c r="AD600" s="7" t="n">
        <x:v>46291.6541666667</x:v>
      </x:c>
      <x:c r="AE600" s="7" t="n">
        <x:v>46291.68125</x:v>
      </x:c>
      <x:c r="AF600" s="7" t="n">
        <x:v>46291.7118055556</x:v>
      </x:c>
      <x:c r="AG600" s="3" t="n">
        <x:v>50</x:v>
      </x:c>
      <x:c r="AH600" s="3" t="n">
        <x:v>35</x:v>
      </x:c>
      <x:c r="AI600" s="3" t="s">
        <x:v>135</x:v>
      </x:c>
      <x:c r="AJ600" s="3" t="s">
        <x:v>111</x:v>
      </x:c>
      <x:c r="AK600" s="3" t="n">
        <x:v>120</x:v>
      </x:c>
      <x:c r="AL600" s="3" t="n">
        <x:v>0</x:v>
      </x:c>
      <x:c r="AM600" s="8" t="n">
        <x:v>0.7083</x:v>
      </x:c>
      <x:c r="AN600" s="3" t="n">
        <x:v>2</x:v>
      </x:c>
      <x:c r="AO600" s="3" t="s">
        <x:v>14</x:v>
      </x:c>
      <x:c r="AP600" s="3" t="s">
        <x:v>605</x:v>
      </x:c>
      <x:c r="AQ600" s="3" t="s">
        <x:v>501</x:v>
      </x:c>
      <x:c r="AR600" s="9" t="n">
        <x:v>737</x:v>
      </x:c>
      <x:c r="AS600" s="3" t="s">
        <x:v>185</x:v>
      </x:c>
      <x:c r="AT600" s="7" t="n">
        <x:v>46301.9166666667</x:v>
      </x:c>
    </x:row>
    <x:row r="601" ht="31.299999237060547" hidden="0">
      <x:c r="A601" s="3" t="s">
        <x:v>1149</x:v>
      </x:c>
      <x:c r="B601" s="3" t="s">
        <x:v>233</x:v>
      </x:c>
      <x:c r="C601" s="3" t="s">
        <x:v>234</x:v>
      </x:c>
      <x:c r="D601" s="3" t="s">
        <x:v>235</x:v>
      </x:c>
      <x:c r="E601" s="3" t="s">
        <x:v>249</x:v>
      </x:c>
      <x:c r="F601" s="3" t="s">
        <x:v>127</x:v>
      </x:c>
      <x:c r="G601" s="3" t="s">
        <x:v>349</x:v>
      </x:c>
      <x:c r="H601" s="3" t="s">
        <x:v>343</x:v>
      </x:c>
      <x:c r="I601" s="3" t="s">
        <x:v>102</x:v>
      </x:c>
      <x:c r="J601" s="3" t="s">
        <x:v>103</x:v>
      </x:c>
      <x:c r="K601" s="3" t="s">
        <x:v>104</x:v>
      </x:c>
      <x:c r="L601" s="3" t="s">
        <x:v>237</x:v>
      </x:c>
      <x:c r="M601" s="3" t="s">
        <x:v>172</x:v>
      </x:c>
      <x:c r="N601" s="3" t="s">
        <x:v>238</x:v>
      </x:c>
      <x:c r="O601" s="3" t="s">
        <x:v>239</x:v>
      </x:c>
      <x:c r="P601" s="3" t="s">
        <x:v>240</x:v>
      </x:c>
      <x:c r="Q601" s="3" t="s">
        <x:v>276</x:v>
      </x:c>
      <x:c r="R601" s="3" t="s">
        <x:v>344</x:v>
      </x:c>
      <x:c r="S601" s="3" t="s">
        <x:v>111</x:v>
      </x:c>
      <x:c r="T601" s="3" t="s">
        <x:v>111</x:v>
      </x:c>
      <x:c r="U601" s="3" t="s">
        <x:v>345</x:v>
      </x:c>
      <x:c r="V601" s="3" t="s">
        <x:v>178</x:v>
      </x:c>
      <x:c r="W601" s="3" t="s">
        <x:v>355</x:v>
      </x:c>
      <x:c r="X601" s="3" t="s">
        <x:v>180</x:v>
      </x:c>
      <x:c r="Y601" s="3" t="s">
        <x:v>356</x:v>
      </x:c>
      <x:c r="Z601" s="3" t="s">
        <x:v>346</x:v>
      </x:c>
      <x:c r="AA601" s="3" t="s">
        <x:v>118</x:v>
      </x:c>
      <x:c r="AB601" s="7" t="n">
        <x:v>46291.6527777778</x:v>
      </x:c>
      <x:c r="AC601" s="7" t="n">
        <x:v>46291.6576388889</x:v>
      </x:c>
      <x:c r="AD601" s="7" t="n">
        <x:v>46291.6631944444</x:v>
      </x:c>
      <x:c r="AE601" s="7" t="n">
        <x:v>46291.6743055556</x:v>
      </x:c>
      <x:c r="AF601" s="7" t="n">
        <x:v>46291.7256944444</x:v>
      </x:c>
      <x:c r="AG601" s="3" t="n">
        <x:v>31</x:v>
      </x:c>
      <x:c r="AH601" s="3" t="n">
        <x:v>70</x:v>
      </x:c>
      <x:c r="AI601" s="3" t="s">
        <x:v>135</x:v>
      </x:c>
      <x:c r="AJ601" s="3" t="s">
        <x:v>111</x:v>
      </x:c>
      <x:c r="AK601" s="3" t="n">
        <x:v>120</x:v>
      </x:c>
      <x:c r="AL601" s="3" t="n">
        <x:v>0</x:v>
      </x:c>
      <x:c r="AM601" s="8" t="n">
        <x:v>0.8417</x:v>
      </x:c>
      <x:c r="AN601" s="3" t="n">
        <x:v>2</x:v>
      </x:c>
      <x:c r="AO601" s="3" t="s">
        <x:v>14</x:v>
      </x:c>
      <x:c r="AP601" s="3" t="s">
        <x:v>605</x:v>
      </x:c>
      <x:c r="AQ601" s="3" t="s">
        <x:v>501</x:v>
      </x:c>
      <x:c r="AR601" s="9" t="n">
        <x:v>903.5</x:v>
      </x:c>
      <x:c r="AS601" s="3" t="s">
        <x:v>185</x:v>
      </x:c>
      <x:c r="AT601" s="7" t="n">
        <x:v>46301.9166666667</x:v>
      </x:c>
    </x:row>
    <x:row r="602" ht="31.299999237060547" hidden="0">
      <x:c r="A602" s="3" t="s">
        <x:v>1150</x:v>
      </x:c>
      <x:c r="B602" s="3" t="s">
        <x:v>166</x:v>
      </x:c>
      <x:c r="C602" s="3" t="s">
        <x:v>167</x:v>
      </x:c>
      <x:c r="D602" s="3" t="s">
        <x:v>168</x:v>
      </x:c>
      <x:c r="E602" s="3" t="s">
        <x:v>249</x:v>
      </x:c>
      <x:c r="F602" s="3" t="s">
        <x:v>149</x:v>
      </x:c>
      <x:c r="G602" s="3" t="s">
        <x:v>484</x:v>
      </x:c>
      <x:c r="H602" s="3" t="s">
        <x:v>101</x:v>
      </x:c>
      <x:c r="I602" s="3" t="s">
        <x:v>102</x:v>
      </x:c>
      <x:c r="J602" s="3" t="s">
        <x:v>103</x:v>
      </x:c>
      <x:c r="K602" s="3" t="s">
        <x:v>104</x:v>
      </x:c>
      <x:c r="L602" s="3" t="s">
        <x:v>171</x:v>
      </x:c>
      <x:c r="M602" s="3" t="s">
        <x:v>172</x:v>
      </x:c>
      <x:c r="N602" s="3" t="s">
        <x:v>173</x:v>
      </x:c>
      <x:c r="O602" s="3" t="s">
        <x:v>174</x:v>
      </x:c>
      <x:c r="P602" s="3" t="s">
        <x:v>175</x:v>
      </x:c>
      <x:c r="Q602" s="3" t="s">
        <x:v>271</x:v>
      </x:c>
      <x:c r="R602" s="3" t="s">
        <x:v>156</x:v>
      </x:c>
      <x:c r="S602" s="3" t="s">
        <x:v>135</x:v>
      </x:c>
      <x:c r="T602" s="3" t="s">
        <x:v>111</x:v>
      </x:c>
      <x:c r="U602" s="3" t="s">
        <x:v>157</x:v>
      </x:c>
      <x:c r="V602" s="3" t="s">
        <x:v>158</x:v>
      </x:c>
      <x:c r="W602" s="3" t="s">
        <x:v>159</x:v>
      </x:c>
      <x:c r="X602" s="3" t="s">
        <x:v>160</x:v>
      </x:c>
      <x:c r="Y602" s="3" t="s">
        <x:v>360</x:v>
      </x:c>
      <x:c r="Z602" s="3" t="s">
        <x:v>162</x:v>
      </x:c>
      <x:c r="AA602" s="3" t="s">
        <x:v>118</x:v>
      </x:c>
      <x:c r="AB602" s="7" t="n">
        <x:v>46291.6576388889</x:v>
      </x:c>
      <x:c r="AC602" s="7" t="n">
        <x:v>46291.6604166667</x:v>
      </x:c>
      <x:c r="AD602" s="7" t="n">
        <x:v>46291.6625</x:v>
      </x:c>
      <x:c r="AE602" s="7" t="n">
        <x:v>46291.66875</x:v>
      </x:c>
      <x:c r="AF602" s="7" t="n">
        <x:v>46291.7236111111</x:v>
      </x:c>
      <x:c r="AG602" s="3" t="n">
        <x:v>16</x:v>
      </x:c>
      <x:c r="AH602" s="3" t="n">
        <x:v>69</x:v>
      </x:c>
      <x:c r="AI602" s="3" t="s">
        <x:v>135</x:v>
      </x:c>
      <x:c r="AJ602" s="3" t="s">
        <x:v>135</x:v>
      </x:c>
      <x:c r="AK602" s="3" t="n">
        <x:v>150</x:v>
      </x:c>
      <x:c r="AL602" s="3" t="n">
        <x:v>0</x:v>
      </x:c>
      <x:c r="AM602" s="8" t="n">
        <x:v>0.5667</x:v>
      </x:c>
      <x:c r="AN602" s="3" t="n">
        <x:v>0</x:v>
      </x:c>
      <x:c r="AO602" s="3" t="s">
        <x:v>9</x:v>
      </x:c>
      <x:c r="AP602" s="3" t="s">
        <x:v>142</x:v>
      </x:c>
      <x:c r="AQ602" s="3" t="s">
        <x:v>361</x:v>
      </x:c>
      <x:c r="AR602" s="9" t="n">
        <x:v>1208.8</x:v>
      </x:c>
      <x:c r="AS602" s="3" t="s">
        <x:v>121</x:v>
      </x:c>
      <x:c r="AT602" s="7" t="n">
        <x:v>46301.9166666667</x:v>
      </x:c>
    </x:row>
    <x:row r="603" ht="31.299999237060547" hidden="0">
      <x:c r="A603" s="3" t="s">
        <x:v>1151</x:v>
      </x:c>
      <x:c r="B603" s="3" t="s">
        <x:v>222</x:v>
      </x:c>
      <x:c r="C603" s="3" t="s">
        <x:v>223</x:v>
      </x:c>
      <x:c r="D603" s="3" t="s">
        <x:v>224</x:v>
      </x:c>
      <x:c r="E603" s="3" t="s">
        <x:v>249</x:v>
      </x:c>
      <x:c r="F603" s="3" t="s">
        <x:v>99</x:v>
      </x:c>
      <x:c r="G603" s="3" t="s">
        <x:v>449</x:v>
      </x:c>
      <x:c r="H603" s="3" t="s">
        <x:v>343</x:v>
      </x:c>
      <x:c r="I603" s="3" t="s">
        <x:v>102</x:v>
      </x:c>
      <x:c r="J603" s="3" t="s">
        <x:v>103</x:v>
      </x:c>
      <x:c r="K603" s="3" t="s">
        <x:v>104</x:v>
      </x:c>
      <x:c r="L603" s="3" t="s">
        <x:v>226</x:v>
      </x:c>
      <x:c r="M603" s="3" t="s">
        <x:v>227</x:v>
      </x:c>
      <x:c r="N603" s="3" t="s">
        <x:v>228</x:v>
      </x:c>
      <x:c r="O603" s="3" t="s">
        <x:v>229</x:v>
      </x:c>
      <x:c r="P603" s="3" t="s">
        <x:v>230</x:v>
      </x:c>
      <x:c r="Q603" s="3" t="s">
        <x:v>274</x:v>
      </x:c>
      <x:c r="R603" s="3" t="s">
        <x:v>156</x:v>
      </x:c>
      <x:c r="S603" s="3" t="s">
        <x:v>135</x:v>
      </x:c>
      <x:c r="T603" s="3" t="s">
        <x:v>111</x:v>
      </x:c>
      <x:c r="U603" s="3" t="s">
        <x:v>157</x:v>
      </x:c>
      <x:c r="V603" s="3" t="s">
        <x:v>158</x:v>
      </x:c>
      <x:c r="W603" s="3" t="s">
        <x:v>159</x:v>
      </x:c>
      <x:c r="X603" s="3" t="s">
        <x:v>160</x:v>
      </x:c>
      <x:c r="Y603" s="3" t="s">
        <x:v>360</x:v>
      </x:c>
      <x:c r="Z603" s="3" t="s">
        <x:v>162</x:v>
      </x:c>
      <x:c r="AA603" s="3" t="s">
        <x:v>118</x:v>
      </x:c>
      <x:c r="AB603" s="7" t="n">
        <x:v>46291.675</x:v>
      </x:c>
      <x:c r="AC603" s="7" t="n">
        <x:v>46291.6784722222</x:v>
      </x:c>
      <x:c r="AD603" s="7" t="n">
        <x:v>46291.6826388889</x:v>
      </x:c>
      <x:c r="AE603" s="7" t="n">
        <x:v>46291.7</x:v>
      </x:c>
      <x:c r="AF603" s="7" t="n">
        <x:v>46291.7416666667</x:v>
      </x:c>
      <x:c r="AG603" s="3" t="n">
        <x:v>36</x:v>
      </x:c>
      <x:c r="AH603" s="3" t="n">
        <x:v>53</x:v>
      </x:c>
      <x:c r="AI603" s="3" t="s">
        <x:v>135</x:v>
      </x:c>
      <x:c r="AJ603" s="3" t="s">
        <x:v>135</x:v>
      </x:c>
      <x:c r="AK603" s="3" t="n">
        <x:v>180</x:v>
      </x:c>
      <x:c r="AL603" s="3" t="n">
        <x:v>0</x:v>
      </x:c>
      <x:c r="AM603" s="8" t="n">
        <x:v>0.4944</x:v>
      </x:c>
      <x:c r="AN603" s="3" t="n">
        <x:v>2</x:v>
      </x:c>
      <x:c r="AO603" s="3" t="s">
        <x:v>14</x:v>
      </x:c>
      <x:c r="AP603" s="3" t="s">
        <x:v>573</x:v>
      </x:c>
      <x:c r="AQ603" s="3" t="s">
        <x:v>546</x:v>
      </x:c>
      <x:c r="AR603" s="9" t="n">
        <x:v>803.6</x:v>
      </x:c>
      <x:c r="AS603" s="3" t="s">
        <x:v>121</x:v>
      </x:c>
      <x:c r="AT603" s="7" t="n">
        <x:v>46301.9166666667</x:v>
      </x:c>
    </x:row>
    <x:row r="604" ht="31.299999237060547" hidden="0">
      <x:c r="A604" s="3" t="s">
        <x:v>1152</x:v>
      </x:c>
      <x:c r="B604" s="3" t="s">
        <x:v>166</x:v>
      </x:c>
      <x:c r="C604" s="3" t="s">
        <x:v>167</x:v>
      </x:c>
      <x:c r="D604" s="3" t="s">
        <x:v>168</x:v>
      </x:c>
      <x:c r="E604" s="3" t="s">
        <x:v>249</x:v>
      </x:c>
      <x:c r="F604" s="3" t="s">
        <x:v>127</x:v>
      </x:c>
      <x:c r="G604" s="3" t="s">
        <x:v>425</x:v>
      </x:c>
      <x:c r="H604" s="3" t="s">
        <x:v>301</x:v>
      </x:c>
      <x:c r="I604" s="3" t="s">
        <x:v>302</x:v>
      </x:c>
      <x:c r="J604" s="3" t="s">
        <x:v>303</x:v>
      </x:c>
      <x:c r="K604" s="3" t="s">
        <x:v>104</x:v>
      </x:c>
      <x:c r="L604" s="3" t="s">
        <x:v>171</x:v>
      </x:c>
      <x:c r="M604" s="3" t="s">
        <x:v>172</x:v>
      </x:c>
      <x:c r="N604" s="3" t="s">
        <x:v>173</x:v>
      </x:c>
      <x:c r="O604" s="3" t="s">
        <x:v>174</x:v>
      </x:c>
      <x:c r="P604" s="3" t="s">
        <x:v>175</x:v>
      </x:c>
      <x:c r="Q604" s="3" t="s">
        <x:v>271</x:v>
      </x:c>
      <x:c r="R604" s="3" t="s">
        <x:v>134</x:v>
      </x:c>
      <x:c r="S604" s="3" t="s">
        <x:v>135</x:v>
      </x:c>
      <x:c r="T604" s="3" t="s">
        <x:v>111</x:v>
      </x:c>
      <x:c r="U604" s="3" t="s">
        <x:v>136</x:v>
      </x:c>
      <x:c r="V604" s="3" t="s">
        <x:v>137</x:v>
      </x:c>
      <x:c r="W604" s="3" t="s">
        <x:v>407</x:v>
      </x:c>
      <x:c r="X604" s="3" t="s">
        <x:v>139</x:v>
      </x:c>
      <x:c r="Y604" s="3" t="s">
        <x:v>140</x:v>
      </x:c>
      <x:c r="Z604" s="3" t="s">
        <x:v>141</x:v>
      </x:c>
      <x:c r="AA604" s="3" t="s">
        <x:v>118</x:v>
      </x:c>
      <x:c r="AB604" s="7" t="n">
        <x:v>46291.6777777778</x:v>
      </x:c>
      <x:c r="AC604" s="7" t="n">
        <x:v>46291.6819444444</x:v>
      </x:c>
      <x:c r="AD604" s="7" t="n">
        <x:v>46291.6840277778</x:v>
      </x:c>
      <x:c r="AE604" s="7" t="n">
        <x:v>46291.6993055556</x:v>
      </x:c>
      <x:c r="AF604" s="7" t="n">
        <x:v>46291.7368055556</x:v>
      </x:c>
      <x:c r="AG604" s="3" t="n">
        <x:v>31</x:v>
      </x:c>
      <x:c r="AH604" s="3" t="n">
        <x:v>51</x:v>
      </x:c>
      <x:c r="AI604" s="3" t="s">
        <x:v>135</x:v>
      </x:c>
      <x:c r="AJ604" s="3" t="s">
        <x:v>135</x:v>
      </x:c>
      <x:c r="AK604" s="3" t="n">
        <x:v>180</x:v>
      </x:c>
      <x:c r="AL604" s="3" t="n">
        <x:v>0</x:v>
      </x:c>
      <x:c r="AM604" s="8" t="n">
        <x:v>0.4556</x:v>
      </x:c>
      <x:c r="AN604" s="3" t="n">
        <x:v>0</x:v>
      </x:c>
      <x:c r="AO604" s="3" t="s">
        <x:v>9</x:v>
      </x:c>
      <x:c r="AP604" s="3" t="s">
        <x:v>142</x:v>
      </x:c>
      <x:c r="AQ604" s="3" t="s">
        <x:v>361</x:v>
      </x:c>
      <x:c r="AR604" s="9" t="n">
        <x:v>1146.7</x:v>
      </x:c>
      <x:c r="AS604" s="3" t="s">
        <x:v>121</x:v>
      </x:c>
      <x:c r="AT604" s="7" t="n">
        <x:v>46301.9166666667</x:v>
      </x:c>
    </x:row>
    <x:row r="605" ht="31.299999237060547" hidden="0">
      <x:c r="A605" s="3" t="s">
        <x:v>1153</x:v>
      </x:c>
      <x:c r="B605" s="3" t="s">
        <x:v>166</x:v>
      </x:c>
      <x:c r="C605" s="3" t="s">
        <x:v>167</x:v>
      </x:c>
      <x:c r="D605" s="3" t="s">
        <x:v>168</x:v>
      </x:c>
      <x:c r="E605" s="3" t="s">
        <x:v>249</x:v>
      </x:c>
      <x:c r="F605" s="3" t="s">
        <x:v>99</x:v>
      </x:c>
      <x:c r="G605" s="3" t="s">
        <x:v>522</x:v>
      </x:c>
      <x:c r="H605" s="3" t="s">
        <x:v>343</x:v>
      </x:c>
      <x:c r="I605" s="3" t="s">
        <x:v>102</x:v>
      </x:c>
      <x:c r="J605" s="3" t="s">
        <x:v>103</x:v>
      </x:c>
      <x:c r="K605" s="3" t="s">
        <x:v>104</x:v>
      </x:c>
      <x:c r="L605" s="3" t="s">
        <x:v>171</x:v>
      </x:c>
      <x:c r="M605" s="3" t="s">
        <x:v>172</x:v>
      </x:c>
      <x:c r="N605" s="3" t="s">
        <x:v>173</x:v>
      </x:c>
      <x:c r="O605" s="3" t="s">
        <x:v>174</x:v>
      </x:c>
      <x:c r="P605" s="3" t="s">
        <x:v>175</x:v>
      </x:c>
      <x:c r="Q605" s="3" t="s">
        <x:v>271</x:v>
      </x:c>
      <x:c r="R605" s="3" t="s">
        <x:v>380</x:v>
      </x:c>
      <x:c r="S605" s="3" t="s">
        <x:v>111</x:v>
      </x:c>
      <x:c r="T605" s="3" t="s">
        <x:v>111</x:v>
      </x:c>
      <x:c r="U605" s="3" t="s">
        <x:v>381</x:v>
      </x:c>
      <x:c r="V605" s="3" t="s">
        <x:v>312</x:v>
      </x:c>
      <x:c r="W605" s="3" t="s">
        <x:v>382</x:v>
      </x:c>
      <x:c r="X605" s="3" t="s">
        <x:v>314</x:v>
      </x:c>
      <x:c r="Y605" s="3" t="s">
        <x:v>383</x:v>
      </x:c>
      <x:c r="Z605" s="3" t="s">
        <x:v>384</x:v>
      </x:c>
      <x:c r="AA605" s="3" t="s">
        <x:v>385</x:v>
      </x:c>
      <x:c r="AB605" s="7" t="n">
        <x:v>46291.8215277778</x:v>
      </x:c>
      <x:c r="AC605" s="7" t="n">
        <x:v>46291.8229166667</x:v>
      </x:c>
      <x:c r="AD605" s="7" t="n">
        <x:v>46291.8263888889</x:v>
      </x:c>
      <x:c r="AE605" s="7" t="n">
        <x:v>46291.8416666667</x:v>
      </x:c>
      <x:c r="AF605" s="7" t="n">
        <x:v>46291.8847222222</x:v>
      </x:c>
      <x:c r="AG605" s="3" t="n">
        <x:v>29</x:v>
      </x:c>
      <x:c r="AH605" s="3" t="n">
        <x:v>57</x:v>
      </x:c>
      <x:c r="AI605" s="3" t="s">
        <x:v>135</x:v>
      </x:c>
      <x:c r="AJ605" s="3" t="s">
        <x:v>135</x:v>
      </x:c>
      <x:c r="AK605" s="3" t="n">
        <x:v>120</x:v>
      </x:c>
      <x:c r="AL605" s="3" t="n">
        <x:v>0</x:v>
      </x:c>
      <x:c r="AM605" s="8" t="n">
        <x:v>0.7167</x:v>
      </x:c>
      <x:c r="AN605" s="3" t="n">
        <x:v>4</x:v>
      </x:c>
      <x:c r="AO605" s="3" t="s">
        <x:v>14</x:v>
      </x:c>
      <x:c r="AP605" s="3" t="s">
        <x:v>940</x:v>
      </x:c>
      <x:c r="AQ605" s="3" t="s">
        <x:v>1057</x:v>
      </x:c>
      <x:c r="AR605" s="9" t="n">
        <x:v>1430.9</x:v>
      </x:c>
      <x:c r="AS605" s="3" t="s">
        <x:v>185</x:v>
      </x:c>
      <x:c r="AT605" s="7" t="n">
        <x:v>46301.9166666667</x:v>
      </x:c>
    </x:row>
    <x:row r="606" ht="31.299999237060547" hidden="0">
      <x:c r="A606" s="3" t="s">
        <x:v>1154</x:v>
      </x:c>
      <x:c r="B606" s="3" t="s">
        <x:v>166</x:v>
      </x:c>
      <x:c r="C606" s="3" t="s">
        <x:v>167</x:v>
      </x:c>
      <x:c r="D606" s="3" t="s">
        <x:v>168</x:v>
      </x:c>
      <x:c r="E606" s="3" t="s">
        <x:v>249</x:v>
      </x:c>
      <x:c r="F606" s="3" t="s">
        <x:v>127</x:v>
      </x:c>
      <x:c r="G606" s="3" t="s">
        <x:v>359</x:v>
      </x:c>
      <x:c r="H606" s="3" t="s">
        <x:v>101</x:v>
      </x:c>
      <x:c r="I606" s="3" t="s">
        <x:v>102</x:v>
      </x:c>
      <x:c r="J606" s="3" t="s">
        <x:v>103</x:v>
      </x:c>
      <x:c r="K606" s="3" t="s">
        <x:v>104</x:v>
      </x:c>
      <x:c r="L606" s="3" t="s">
        <x:v>171</x:v>
      </x:c>
      <x:c r="M606" s="3" t="s">
        <x:v>172</x:v>
      </x:c>
      <x:c r="N606" s="3" t="s">
        <x:v>173</x:v>
      </x:c>
      <x:c r="O606" s="3" t="s">
        <x:v>174</x:v>
      </x:c>
      <x:c r="P606" s="3" t="s">
        <x:v>175</x:v>
      </x:c>
      <x:c r="Q606" s="3" t="s">
        <x:v>271</x:v>
      </x:c>
      <x:c r="R606" s="3" t="s">
        <x:v>156</x:v>
      </x:c>
      <x:c r="S606" s="3" t="s">
        <x:v>135</x:v>
      </x:c>
      <x:c r="T606" s="3" t="s">
        <x:v>111</x:v>
      </x:c>
      <x:c r="U606" s="3" t="s">
        <x:v>157</x:v>
      </x:c>
      <x:c r="V606" s="3" t="s">
        <x:v>158</x:v>
      </x:c>
      <x:c r="W606" s="3" t="s">
        <x:v>159</x:v>
      </x:c>
      <x:c r="X606" s="3" t="s">
        <x:v>160</x:v>
      </x:c>
      <x:c r="Y606" s="3" t="s">
        <x:v>360</x:v>
      </x:c>
      <x:c r="Z606" s="3" t="s">
        <x:v>162</x:v>
      </x:c>
      <x:c r="AA606" s="3" t="s">
        <x:v>118</x:v>
      </x:c>
      <x:c r="AB606" s="7" t="n">
        <x:v>46292.3034722222</x:v>
      </x:c>
      <x:c r="AC606" s="7" t="n">
        <x:v>46292.3048611111</x:v>
      </x:c>
      <x:c r="AD606" s="7" t="n">
        <x:v>46292.30625</x:v>
      </x:c>
      <x:c r="AE606" s="7" t="n">
        <x:v>46292.3256944444</x:v>
      </x:c>
      <x:c r="AF606" s="7" t="n">
        <x:v>46292.3590277778</x:v>
      </x:c>
      <x:c r="AG606" s="3" t="n">
        <x:v>32</x:v>
      </x:c>
      <x:c r="AH606" s="3" t="n">
        <x:v>39</x:v>
      </x:c>
      <x:c r="AI606" s="3" t="s">
        <x:v>135</x:v>
      </x:c>
      <x:c r="AJ606" s="3" t="s">
        <x:v>135</x:v>
      </x:c>
      <x:c r="AK606" s="3" t="n">
        <x:v>150</x:v>
      </x:c>
      <x:c r="AL606" s="3" t="n">
        <x:v>0</x:v>
      </x:c>
      <x:c r="AM606" s="8" t="n">
        <x:v>0.4733</x:v>
      </x:c>
      <x:c r="AN606" s="3" t="n">
        <x:v>3</x:v>
      </x:c>
      <x:c r="AO606" s="3" t="s">
        <x:v>14</x:v>
      </x:c>
      <x:c r="AP606" s="3" t="s">
        <x:v>183</x:v>
      </x:c>
      <x:c r="AQ606" s="3" t="s">
        <x:v>1155</x:v>
      </x:c>
      <x:c r="AR606" s="9" t="n">
        <x:v>1314.8</x:v>
      </x:c>
      <x:c r="AS606" s="3" t="s">
        <x:v>185</x:v>
      </x:c>
      <x:c r="AT606" s="7" t="n">
        <x:v>46301.9166666667</x:v>
      </x:c>
    </x:row>
    <x:row r="607" ht="31.299999237060547" hidden="0">
      <x:c r="A607" s="3" t="s">
        <x:v>1156</x:v>
      </x:c>
      <x:c r="B607" s="3" t="s">
        <x:v>321</x:v>
      </x:c>
      <x:c r="C607" s="3" t="s">
        <x:v>322</x:v>
      </x:c>
      <x:c r="D607" s="3" t="s">
        <x:v>323</x:v>
      </x:c>
      <x:c r="E607" s="3" t="s">
        <x:v>249</x:v>
      </x:c>
      <x:c r="F607" s="3" t="s">
        <x:v>169</x:v>
      </x:c>
      <x:c r="G607" s="3" t="s">
        <x:v>324</x:v>
      </x:c>
      <x:c r="H607" s="3" t="s">
        <x:v>301</x:v>
      </x:c>
      <x:c r="I607" s="3" t="s">
        <x:v>302</x:v>
      </x:c>
      <x:c r="J607" s="3" t="s">
        <x:v>303</x:v>
      </x:c>
      <x:c r="K607" s="3" t="s">
        <x:v>104</x:v>
      </x:c>
      <x:c r="L607" s="3" t="s">
        <x:v>325</x:v>
      </x:c>
      <x:c r="M607" s="3" t="s">
        <x:v>326</x:v>
      </x:c>
      <x:c r="N607" s="3" t="s">
        <x:v>131</x:v>
      </x:c>
      <x:c r="O607" s="3" t="s">
        <x:v>327</x:v>
      </x:c>
      <x:c r="P607" s="3" t="s">
        <x:v>328</x:v>
      </x:c>
      <x:c r="Q607" s="3" t="s">
        <x:v>329</x:v>
      </x:c>
      <x:c r="R607" s="3" t="s">
        <x:v>330</x:v>
      </x:c>
      <x:c r="S607" s="3" t="s">
        <x:v>135</x:v>
      </x:c>
      <x:c r="T607" s="3" t="s">
        <x:v>111</x:v>
      </x:c>
      <x:c r="U607" s="3" t="s">
        <x:v>331</x:v>
      </x:c>
      <x:c r="V607" s="3" t="s">
        <x:v>178</x:v>
      </x:c>
      <x:c r="W607" s="3" t="s">
        <x:v>179</x:v>
      </x:c>
      <x:c r="X607" s="3" t="s">
        <x:v>180</x:v>
      </x:c>
      <x:c r="Y607" s="3" t="s">
        <x:v>414</x:v>
      </x:c>
      <x:c r="Z607" s="3" t="s">
        <x:v>334</x:v>
      </x:c>
      <x:c r="AA607" s="3" t="s">
        <x:v>118</x:v>
      </x:c>
      <x:c r="AB607" s="7" t="n">
        <x:v>46292.3409722222</x:v>
      </x:c>
      <x:c r="AC607" s="7" t="n">
        <x:v>46292.3451388889</x:v>
      </x:c>
      <x:c r="AD607" s="7" t="n">
        <x:v>46292.3486111111</x:v>
      </x:c>
      <x:c r="AE607" s="7" t="n">
        <x:v>46292.3659722222</x:v>
      </x:c>
      <x:c r="AF607" s="7" t="n">
        <x:v>46292.4388888889</x:v>
      </x:c>
      <x:c r="AG607" s="3" t="n">
        <x:v>36</x:v>
      </x:c>
      <x:c r="AH607" s="3" t="n">
        <x:v>97</x:v>
      </x:c>
      <x:c r="AI607" s="3" t="s">
        <x:v>135</x:v>
      </x:c>
      <x:c r="AJ607" s="3" t="s">
        <x:v>111</x:v>
      </x:c>
      <x:c r="AK607" s="3" t="n">
        <x:v>180</x:v>
      </x:c>
      <x:c r="AL607" s="3" t="n">
        <x:v>0</x:v>
      </x:c>
      <x:c r="AM607" s="8" t="n">
        <x:v>0.7389</x:v>
      </x:c>
      <x:c r="AN607" s="3" t="n">
        <x:v>5</x:v>
      </x:c>
      <x:c r="AO607" s="3" t="s">
        <x:v>14</x:v>
      </x:c>
      <x:c r="AP607" s="3" t="s">
        <x:v>895</x:v>
      </x:c>
      <x:c r="AQ607" s="3" t="s">
        <x:v>685</x:v>
      </x:c>
      <x:c r="AR607" s="9" t="n">
        <x:v>1370.4</x:v>
      </x:c>
      <x:c r="AS607" s="3" t="s">
        <x:v>185</x:v>
      </x:c>
      <x:c r="AT607" s="7" t="n">
        <x:v>46301.9166666667</x:v>
      </x:c>
    </x:row>
    <x:row r="608" ht="31.299999237060547" hidden="0">
      <x:c r="A608" s="3" t="s">
        <x:v>1157</x:v>
      </x:c>
      <x:c r="B608" s="3" t="s">
        <x:v>222</x:v>
      </x:c>
      <x:c r="C608" s="3" t="s">
        <x:v>223</x:v>
      </x:c>
      <x:c r="D608" s="3" t="s">
        <x:v>224</x:v>
      </x:c>
      <x:c r="E608" s="3" t="s">
        <x:v>249</x:v>
      </x:c>
      <x:c r="F608" s="3" t="s">
        <x:v>127</x:v>
      </x:c>
      <x:c r="G608" s="3" t="s">
        <x:v>359</x:v>
      </x:c>
      <x:c r="H608" s="3" t="s">
        <x:v>101</x:v>
      </x:c>
      <x:c r="I608" s="3" t="s">
        <x:v>102</x:v>
      </x:c>
      <x:c r="J608" s="3" t="s">
        <x:v>103</x:v>
      </x:c>
      <x:c r="K608" s="3" t="s">
        <x:v>104</x:v>
      </x:c>
      <x:c r="L608" s="3" t="s">
        <x:v>226</x:v>
      </x:c>
      <x:c r="M608" s="3" t="s">
        <x:v>227</x:v>
      </x:c>
      <x:c r="N608" s="3" t="s">
        <x:v>228</x:v>
      </x:c>
      <x:c r="O608" s="3" t="s">
        <x:v>229</x:v>
      </x:c>
      <x:c r="P608" s="3" t="s">
        <x:v>230</x:v>
      </x:c>
      <x:c r="Q608" s="3" t="s">
        <x:v>274</x:v>
      </x:c>
      <x:c r="R608" s="3" t="s">
        <x:v>156</x:v>
      </x:c>
      <x:c r="S608" s="3" t="s">
        <x:v>135</x:v>
      </x:c>
      <x:c r="T608" s="3" t="s">
        <x:v>111</x:v>
      </x:c>
      <x:c r="U608" s="3" t="s">
        <x:v>157</x:v>
      </x:c>
      <x:c r="V608" s="3" t="s">
        <x:v>158</x:v>
      </x:c>
      <x:c r="W608" s="3" t="s">
        <x:v>450</x:v>
      </x:c>
      <x:c r="X608" s="3" t="s">
        <x:v>160</x:v>
      </x:c>
      <x:c r="Y608" s="3" t="s">
        <x:v>451</x:v>
      </x:c>
      <x:c r="Z608" s="3" t="s">
        <x:v>162</x:v>
      </x:c>
      <x:c r="AA608" s="3" t="s">
        <x:v>118</x:v>
      </x:c>
      <x:c r="AB608" s="7" t="n">
        <x:v>46292.3520833333</x:v>
      </x:c>
      <x:c r="AC608" s="7" t="n">
        <x:v>46292.3541666667</x:v>
      </x:c>
      <x:c r="AD608" s="7" t="n">
        <x:v>46292.3604166667</x:v>
      </x:c>
      <x:c r="AE608" s="7" t="n">
        <x:v>46292.3972222222</x:v>
      </x:c>
      <x:c r="AF608" s="7" t="n">
        <x:v>46292.4465277778</x:v>
      </x:c>
      <x:c r="AG608" s="3" t="n">
        <x:v>65</x:v>
      </x:c>
      <x:c r="AH608" s="3" t="n">
        <x:v>66</x:v>
      </x:c>
      <x:c r="AI608" s="3" t="s">
        <x:v>135</x:v>
      </x:c>
      <x:c r="AJ608" s="3" t="s">
        <x:v>135</x:v>
      </x:c>
      <x:c r="AK608" s="3" t="n">
        <x:v>180</x:v>
      </x:c>
      <x:c r="AL608" s="3" t="n">
        <x:v>0</x:v>
      </x:c>
      <x:c r="AM608" s="8" t="n">
        <x:v>0.7278</x:v>
      </x:c>
      <x:c r="AN608" s="3" t="n">
        <x:v>1</x:v>
      </x:c>
      <x:c r="AO608" s="3" t="s">
        <x:v>14</x:v>
      </x:c>
      <x:c r="AP608" s="3" t="s">
        <x:v>471</x:v>
      </x:c>
      <x:c r="AQ608" s="3" t="s">
        <x:v>546</x:v>
      </x:c>
      <x:c r="AR608" s="9" t="n">
        <x:v>1027.7</x:v>
      </x:c>
      <x:c r="AS608" s="3" t="s">
        <x:v>185</x:v>
      </x:c>
      <x:c r="AT608" s="7" t="n">
        <x:v>46301.9166666667</x:v>
      </x:c>
    </x:row>
    <x:row r="609" ht="31.299999237060547" hidden="0">
      <x:c r="A609" s="3" t="s">
        <x:v>1158</x:v>
      </x:c>
      <x:c r="B609" s="3" t="s">
        <x:v>166</x:v>
      </x:c>
      <x:c r="C609" s="3" t="s">
        <x:v>167</x:v>
      </x:c>
      <x:c r="D609" s="3" t="s">
        <x:v>168</x:v>
      </x:c>
      <x:c r="E609" s="3" t="s">
        <x:v>249</x:v>
      </x:c>
      <x:c r="F609" s="3" t="s">
        <x:v>99</x:v>
      </x:c>
      <x:c r="G609" s="3" t="s">
        <x:v>416</x:v>
      </x:c>
      <x:c r="H609" s="3" t="s">
        <x:v>339</x:v>
      </x:c>
      <x:c r="I609" s="3" t="s">
        <x:v>102</x:v>
      </x:c>
      <x:c r="J609" s="3" t="s">
        <x:v>103</x:v>
      </x:c>
      <x:c r="K609" s="3" t="s">
        <x:v>104</x:v>
      </x:c>
      <x:c r="L609" s="3" t="s">
        <x:v>171</x:v>
      </x:c>
      <x:c r="M609" s="3" t="s">
        <x:v>172</x:v>
      </x:c>
      <x:c r="N609" s="3" t="s">
        <x:v>173</x:v>
      </x:c>
      <x:c r="O609" s="3" t="s">
        <x:v>174</x:v>
      </x:c>
      <x:c r="P609" s="3" t="s">
        <x:v>175</x:v>
      </x:c>
      <x:c r="Q609" s="3" t="s">
        <x:v>271</x:v>
      </x:c>
      <x:c r="R609" s="3" t="s">
        <x:v>373</x:v>
      </x:c>
      <x:c r="S609" s="3" t="s">
        <x:v>135</x:v>
      </x:c>
      <x:c r="T609" s="3" t="s">
        <x:v>111</x:v>
      </x:c>
      <x:c r="U609" s="3" t="s">
        <x:v>374</x:v>
      </x:c>
      <x:c r="V609" s="3" t="s">
        <x:v>178</x:v>
      </x:c>
      <x:c r="W609" s="3" t="s">
        <x:v>332</x:v>
      </x:c>
      <x:c r="X609" s="3" t="s">
        <x:v>180</x:v>
      </x:c>
      <x:c r="Y609" s="3" t="s">
        <x:v>333</x:v>
      </x:c>
      <x:c r="Z609" s="3" t="s">
        <x:v>375</x:v>
      </x:c>
      <x:c r="AA609" s="3" t="s">
        <x:v>118</x:v>
      </x:c>
      <x:c r="AB609" s="7" t="n">
        <x:v>46292.3618055556</x:v>
      </x:c>
      <x:c r="AC609" s="7" t="n">
        <x:v>46292.3666666667</x:v>
      </x:c>
      <x:c r="AD609" s="7" t="n">
        <x:v>46292.3729166667</x:v>
      </x:c>
      <x:c r="AE609" s="7" t="n">
        <x:v>46292.3875</x:v>
      </x:c>
      <x:c r="AF609" s="7" t="n">
        <x:v>46292.4541666667</x:v>
      </x:c>
      <x:c r="AG609" s="3" t="n">
        <x:v>37</x:v>
      </x:c>
      <x:c r="AH609" s="3" t="n">
        <x:v>89</x:v>
      </x:c>
      <x:c r="AI609" s="3" t="s">
        <x:v>135</x:v>
      </x:c>
      <x:c r="AJ609" s="3" t="s">
        <x:v>135</x:v>
      </x:c>
      <x:c r="AK609" s="3" t="n">
        <x:v>150</x:v>
      </x:c>
      <x:c r="AL609" s="3" t="n">
        <x:v>0</x:v>
      </x:c>
      <x:c r="AM609" s="8" t="n">
        <x:v>0.84</x:v>
      </x:c>
      <x:c r="AN609" s="3" t="n">
        <x:v>2</x:v>
      </x:c>
      <x:c r="AO609" s="3" t="s">
        <x:v>14</x:v>
      </x:c>
      <x:c r="AP609" s="3" t="s">
        <x:v>717</x:v>
      </x:c>
      <x:c r="AQ609" s="3" t="s">
        <x:v>501</x:v>
      </x:c>
      <x:c r="AR609" s="9" t="n">
        <x:v>1447.3</x:v>
      </x:c>
      <x:c r="AS609" s="3" t="s">
        <x:v>121</x:v>
      </x:c>
      <x:c r="AT609" s="7" t="n">
        <x:v>46301.9166666667</x:v>
      </x:c>
    </x:row>
    <x:row r="610" ht="31.299999237060547" hidden="0">
      <x:c r="A610" s="3" t="s">
        <x:v>1159</x:v>
      </x:c>
      <x:c r="B610" s="3" t="s">
        <x:v>205</x:v>
      </x:c>
      <x:c r="C610" s="3" t="s">
        <x:v>206</x:v>
      </x:c>
      <x:c r="D610" s="3" t="s">
        <x:v>207</x:v>
      </x:c>
      <x:c r="E610" s="3" t="s">
        <x:v>249</x:v>
      </x:c>
      <x:c r="F610" s="3" t="s">
        <x:v>127</x:v>
      </x:c>
      <x:c r="G610" s="3" t="s">
        <x:v>522</x:v>
      </x:c>
      <x:c r="H610" s="3" t="s">
        <x:v>343</x:v>
      </x:c>
      <x:c r="I610" s="3" t="s">
        <x:v>102</x:v>
      </x:c>
      <x:c r="J610" s="3" t="s">
        <x:v>103</x:v>
      </x:c>
      <x:c r="K610" s="3" t="s">
        <x:v>104</x:v>
      </x:c>
      <x:c r="L610" s="3" t="s">
        <x:v>209</x:v>
      </x:c>
      <x:c r="M610" s="3" t="s">
        <x:v>210</x:v>
      </x:c>
      <x:c r="N610" s="3" t="s">
        <x:v>211</x:v>
      </x:c>
      <x:c r="O610" s="3" t="s">
        <x:v>212</x:v>
      </x:c>
      <x:c r="P610" s="3" t="s">
        <x:v>213</x:v>
      </x:c>
      <x:c r="Q610" s="3" t="s">
        <x:v>254</x:v>
      </x:c>
      <x:c r="R610" s="3" t="s">
        <x:v>380</x:v>
      </x:c>
      <x:c r="S610" s="3" t="s">
        <x:v>111</x:v>
      </x:c>
      <x:c r="T610" s="3" t="s">
        <x:v>111</x:v>
      </x:c>
      <x:c r="U610" s="3" t="s">
        <x:v>381</x:v>
      </x:c>
      <x:c r="V610" s="3" t="s">
        <x:v>312</x:v>
      </x:c>
      <x:c r="W610" s="3" t="s">
        <x:v>382</x:v>
      </x:c>
      <x:c r="X610" s="3" t="s">
        <x:v>314</x:v>
      </x:c>
      <x:c r="Y610" s="3" t="s">
        <x:v>383</x:v>
      </x:c>
      <x:c r="Z610" s="3" t="s">
        <x:v>384</x:v>
      </x:c>
      <x:c r="AA610" s="3" t="s">
        <x:v>385</x:v>
      </x:c>
      <x:c r="AB610" s="7" t="n">
        <x:v>46292.3986111111</x:v>
      </x:c>
      <x:c r="AC610" s="7" t="n">
        <x:v>46292.4013888889</x:v>
      </x:c>
      <x:c r="AD610" s="7" t="n">
        <x:v>46292.4027777778</x:v>
      </x:c>
      <x:c r="AE610" s="7" t="n">
        <x:v>46292.4270833333</x:v>
      </x:c>
      <x:c r="AF610" s="7" t="n">
        <x:v>46292.4763888889</x:v>
      </x:c>
      <x:c r="AG610" s="3" t="n">
        <x:v>41</x:v>
      </x:c>
      <x:c r="AH610" s="3" t="n">
        <x:v>67</x:v>
      </x:c>
      <x:c r="AI610" s="3" t="s">
        <x:v>135</x:v>
      </x:c>
      <x:c r="AJ610" s="3" t="s">
        <x:v>135</x:v>
      </x:c>
      <x:c r="AK610" s="3" t="n">
        <x:v>120</x:v>
      </x:c>
      <x:c r="AL610" s="3" t="n">
        <x:v>0</x:v>
      </x:c>
      <x:c r="AM610" s="8" t="n">
        <x:v>0.9</x:v>
      </x:c>
      <x:c r="AN610" s="3" t="n">
        <x:v>4</x:v>
      </x:c>
      <x:c r="AO610" s="3" t="s">
        <x:v>19</x:v>
      </x:c>
      <x:c r="AP610" s="3" t="s">
        <x:v>1160</x:v>
      </x:c>
      <x:c r="AQ610" s="3" t="s">
        <x:v>1063</x:v>
      </x:c>
      <x:c r="AR610" s="9" t="n">
        <x:v>1176.9</x:v>
      </x:c>
      <x:c r="AS610" s="3" t="s">
        <x:v>185</x:v>
      </x:c>
      <x:c r="AT610" s="7" t="n">
        <x:v>46301.9166666667</x:v>
      </x:c>
    </x:row>
    <x:row r="611" ht="31.299999237060547" hidden="0">
      <x:c r="A611" s="3" t="s">
        <x:v>1161</x:v>
      </x:c>
      <x:c r="B611" s="3" t="s">
        <x:v>166</x:v>
      </x:c>
      <x:c r="C611" s="3" t="s">
        <x:v>167</x:v>
      </x:c>
      <x:c r="D611" s="3" t="s">
        <x:v>168</x:v>
      </x:c>
      <x:c r="E611" s="3" t="s">
        <x:v>249</x:v>
      </x:c>
      <x:c r="F611" s="3" t="s">
        <x:v>99</x:v>
      </x:c>
      <x:c r="G611" s="3" t="s">
        <x:v>324</x:v>
      </x:c>
      <x:c r="H611" s="3" t="s">
        <x:v>301</x:v>
      </x:c>
      <x:c r="I611" s="3" t="s">
        <x:v>302</x:v>
      </x:c>
      <x:c r="J611" s="3" t="s">
        <x:v>303</x:v>
      </x:c>
      <x:c r="K611" s="3" t="s">
        <x:v>104</x:v>
      </x:c>
      <x:c r="L611" s="3" t="s">
        <x:v>171</x:v>
      </x:c>
      <x:c r="M611" s="3" t="s">
        <x:v>172</x:v>
      </x:c>
      <x:c r="N611" s="3" t="s">
        <x:v>173</x:v>
      </x:c>
      <x:c r="O611" s="3" t="s">
        <x:v>174</x:v>
      </x:c>
      <x:c r="P611" s="3" t="s">
        <x:v>175</x:v>
      </x:c>
      <x:c r="Q611" s="3" t="s">
        <x:v>271</x:v>
      </x:c>
      <x:c r="R611" s="3" t="s">
        <x:v>330</x:v>
      </x:c>
      <x:c r="S611" s="3" t="s">
        <x:v>135</x:v>
      </x:c>
      <x:c r="T611" s="3" t="s">
        <x:v>111</x:v>
      </x:c>
      <x:c r="U611" s="3" t="s">
        <x:v>331</x:v>
      </x:c>
      <x:c r="V611" s="3" t="s">
        <x:v>178</x:v>
      </x:c>
      <x:c r="W611" s="3" t="s">
        <x:v>179</x:v>
      </x:c>
      <x:c r="X611" s="3" t="s">
        <x:v>180</x:v>
      </x:c>
      <x:c r="Y611" s="3" t="s">
        <x:v>414</x:v>
      </x:c>
      <x:c r="Z611" s="3" t="s">
        <x:v>334</x:v>
      </x:c>
      <x:c r="AA611" s="3" t="s">
        <x:v>118</x:v>
      </x:c>
      <x:c r="AB611" s="7" t="n">
        <x:v>46292.4708333333</x:v>
      </x:c>
      <x:c r="AC611" s="7" t="n">
        <x:v>46292.4743055556</x:v>
      </x:c>
      <x:c r="AD611" s="7" t="n">
        <x:v>46292.4805555556</x:v>
      </x:c>
      <x:c r="AE611" s="7" t="n">
        <x:v>46292.5145833333</x:v>
      </x:c>
      <x:c r="AF611" s="7" t="n">
        <x:v>46292.5673611111</x:v>
      </x:c>
      <x:c r="AG611" s="3" t="n">
        <x:v>63</x:v>
      </x:c>
      <x:c r="AH611" s="3" t="n">
        <x:v>67</x:v>
      </x:c>
      <x:c r="AI611" s="3" t="s">
        <x:v>135</x:v>
      </x:c>
      <x:c r="AJ611" s="3" t="s">
        <x:v>135</x:v>
      </x:c>
      <x:c r="AK611" s="3" t="n">
        <x:v>180</x:v>
      </x:c>
      <x:c r="AL611" s="3" t="n">
        <x:v>0</x:v>
      </x:c>
      <x:c r="AM611" s="8" t="n">
        <x:v>0.7222</x:v>
      </x:c>
      <x:c r="AN611" s="3" t="n">
        <x:v>3</x:v>
      </x:c>
      <x:c r="AO611" s="3" t="s">
        <x:v>14</x:v>
      </x:c>
      <x:c r="AP611" s="3" t="s">
        <x:v>633</x:v>
      </x:c>
      <x:c r="AQ611" s="3" t="s">
        <x:v>783</x:v>
      </x:c>
      <x:c r="AR611" s="9" t="n">
        <x:v>1655.9</x:v>
      </x:c>
      <x:c r="AS611" s="3" t="s">
        <x:v>185</x:v>
      </x:c>
      <x:c r="AT611" s="7" t="n">
        <x:v>46301.9166666667</x:v>
      </x:c>
    </x:row>
    <x:row r="612" ht="31.299999237060547" hidden="0">
      <x:c r="A612" s="3" t="s">
        <x:v>1162</x:v>
      </x:c>
      <x:c r="B612" s="3" t="s">
        <x:v>166</x:v>
      </x:c>
      <x:c r="C612" s="3" t="s">
        <x:v>167</x:v>
      </x:c>
      <x:c r="D612" s="3" t="s">
        <x:v>168</x:v>
      </x:c>
      <x:c r="E612" s="3" t="s">
        <x:v>249</x:v>
      </x:c>
      <x:c r="F612" s="3" t="s">
        <x:v>149</x:v>
      </x:c>
      <x:c r="G612" s="3" t="s">
        <x:v>338</x:v>
      </x:c>
      <x:c r="H612" s="3" t="s">
        <x:v>339</x:v>
      </x:c>
      <x:c r="I612" s="3" t="s">
        <x:v>102</x:v>
      </x:c>
      <x:c r="J612" s="3" t="s">
        <x:v>103</x:v>
      </x:c>
      <x:c r="K612" s="3" t="s">
        <x:v>104</x:v>
      </x:c>
      <x:c r="L612" s="3" t="s">
        <x:v>171</x:v>
      </x:c>
      <x:c r="M612" s="3" t="s">
        <x:v>172</x:v>
      </x:c>
      <x:c r="N612" s="3" t="s">
        <x:v>173</x:v>
      </x:c>
      <x:c r="O612" s="3" t="s">
        <x:v>174</x:v>
      </x:c>
      <x:c r="P612" s="3" t="s">
        <x:v>175</x:v>
      </x:c>
      <x:c r="Q612" s="3" t="s">
        <x:v>271</x:v>
      </x:c>
      <x:c r="R612" s="3" t="s">
        <x:v>310</x:v>
      </x:c>
      <x:c r="S612" s="3" t="s">
        <x:v>135</x:v>
      </x:c>
      <x:c r="T612" s="3" t="s">
        <x:v>111</x:v>
      </x:c>
      <x:c r="U612" s="3" t="s">
        <x:v>311</x:v>
      </x:c>
      <x:c r="V612" s="3" t="s">
        <x:v>312</x:v>
      </x:c>
      <x:c r="W612" s="3" t="s">
        <x:v>313</x:v>
      </x:c>
      <x:c r="X612" s="3" t="s">
        <x:v>314</x:v>
      </x:c>
      <x:c r="Y612" s="3" t="s">
        <x:v>315</x:v>
      </x:c>
      <x:c r="Z612" s="3" t="s">
        <x:v>316</x:v>
      </x:c>
      <x:c r="AA612" s="3" t="s">
        <x:v>317</x:v>
      </x:c>
      <x:c r="AB612" s="7" t="n">
        <x:v>46292.4951388889</x:v>
      </x:c>
      <x:c r="AC612" s="7" t="n">
        <x:v>46292.4965277778</x:v>
      </x:c>
      <x:c r="AD612" s="7" t="n">
        <x:v>46292.4986111111</x:v>
      </x:c>
      <x:c r="AE612" s="7" t="n">
        <x:v>46292.5111111111</x:v>
      </x:c>
      <x:c r="AF612" s="7" t="n">
        <x:v>46292.55625</x:v>
      </x:c>
      <x:c r="AG612" s="3" t="n">
        <x:v>23</x:v>
      </x:c>
      <x:c r="AH612" s="3" t="n">
        <x:v>57</x:v>
      </x:c>
      <x:c r="AI612" s="3" t="s">
        <x:v>135</x:v>
      </x:c>
      <x:c r="AJ612" s="3" t="s">
        <x:v>135</x:v>
      </x:c>
      <x:c r="AK612" s="3" t="n">
        <x:v>150</x:v>
      </x:c>
      <x:c r="AL612" s="3" t="n">
        <x:v>0</x:v>
      </x:c>
      <x:c r="AM612" s="8" t="n">
        <x:v>0.5333</x:v>
      </x:c>
      <x:c r="AN612" s="3" t="n">
        <x:v>1</x:v>
      </x:c>
      <x:c r="AO612" s="3" t="s">
        <x:v>9</x:v>
      </x:c>
      <x:c r="AP612" s="3" t="s">
        <x:v>500</x:v>
      </x:c>
      <x:c r="AQ612" s="3" t="s">
        <x:v>501</x:v>
      </x:c>
      <x:c r="AR612" s="9" t="n">
        <x:v>1153.9</x:v>
      </x:c>
      <x:c r="AS612" s="3" t="s">
        <x:v>121</x:v>
      </x:c>
      <x:c r="AT612" s="7" t="n">
        <x:v>46301.9166666667</x:v>
      </x:c>
    </x:row>
    <x:row r="613" ht="31.299999237060547" hidden="0">
      <x:c r="A613" s="3" t="s">
        <x:v>1163</x:v>
      </x:c>
      <x:c r="B613" s="3" t="s">
        <x:v>397</x:v>
      </x:c>
      <x:c r="C613" s="3" t="s">
        <x:v>398</x:v>
      </x:c>
      <x:c r="D613" s="3" t="s">
        <x:v>399</x:v>
      </x:c>
      <x:c r="E613" s="3" t="s">
        <x:v>249</x:v>
      </x:c>
      <x:c r="F613" s="3" t="s">
        <x:v>149</x:v>
      </x:c>
      <x:c r="G613" s="3" t="s">
        <x:v>324</x:v>
      </x:c>
      <x:c r="H613" s="3" t="s">
        <x:v>301</x:v>
      </x:c>
      <x:c r="I613" s="3" t="s">
        <x:v>302</x:v>
      </x:c>
      <x:c r="J613" s="3" t="s">
        <x:v>303</x:v>
      </x:c>
      <x:c r="K613" s="3" t="s">
        <x:v>104</x:v>
      </x:c>
      <x:c r="L613" s="3" t="s">
        <x:v>401</x:v>
      </x:c>
      <x:c r="M613" s="3" t="s">
        <x:v>402</x:v>
      </x:c>
      <x:c r="N613" s="3" t="s">
        <x:v>403</x:v>
      </x:c>
      <x:c r="O613" s="3" t="s">
        <x:v>404</x:v>
      </x:c>
      <x:c r="P613" s="3" t="s">
        <x:v>405</x:v>
      </x:c>
      <x:c r="Q613" s="3" t="s">
        <x:v>406</x:v>
      </x:c>
      <x:c r="R613" s="3" t="s">
        <x:v>330</x:v>
      </x:c>
      <x:c r="S613" s="3" t="s">
        <x:v>135</x:v>
      </x:c>
      <x:c r="T613" s="3" t="s">
        <x:v>111</x:v>
      </x:c>
      <x:c r="U613" s="3" t="s">
        <x:v>331</x:v>
      </x:c>
      <x:c r="V613" s="3" t="s">
        <x:v>178</x:v>
      </x:c>
      <x:c r="W613" s="3" t="s">
        <x:v>355</x:v>
      </x:c>
      <x:c r="X613" s="3" t="s">
        <x:v>180</x:v>
      </x:c>
      <x:c r="Y613" s="3" t="s">
        <x:v>356</x:v>
      </x:c>
      <x:c r="Z613" s="3" t="s">
        <x:v>334</x:v>
      </x:c>
      <x:c r="AA613" s="3" t="s">
        <x:v>118</x:v>
      </x:c>
      <x:c r="AB613" s="7" t="n">
        <x:v>46292.5909722222</x:v>
      </x:c>
      <x:c r="AC613" s="7" t="n">
        <x:v>46292.5944444445</x:v>
      </x:c>
      <x:c r="AD613" s="7" t="n">
        <x:v>46292.5958333333</x:v>
      </x:c>
      <x:c r="AE613" s="7" t="n">
        <x:v>46292.6152777778</x:v>
      </x:c>
      <x:c r="AF613" s="7" t="n">
        <x:v>46292.6520833333</x:v>
      </x:c>
      <x:c r="AG613" s="3" t="n">
        <x:v>35</x:v>
      </x:c>
      <x:c r="AH613" s="3" t="n">
        <x:v>48</x:v>
      </x:c>
      <x:c r="AI613" s="3" t="s">
        <x:v>135</x:v>
      </x:c>
      <x:c r="AJ613" s="3" t="s">
        <x:v>135</x:v>
      </x:c>
      <x:c r="AK613" s="3" t="n">
        <x:v>180</x:v>
      </x:c>
      <x:c r="AL613" s="3" t="n">
        <x:v>0</x:v>
      </x:c>
      <x:c r="AM613" s="8" t="n">
        <x:v>0.4611</x:v>
      </x:c>
      <x:c r="AN613" s="3" t="n">
        <x:v>2</x:v>
      </x:c>
      <x:c r="AO613" s="3" t="s">
        <x:v>14</x:v>
      </x:c>
      <x:c r="AP613" s="3" t="s">
        <x:v>573</x:v>
      </x:c>
      <x:c r="AQ613" s="3" t="s">
        <x:v>539</x:v>
      </x:c>
      <x:c r="AR613" s="9" t="n">
        <x:v>763.1</x:v>
      </x:c>
      <x:c r="AS613" s="3" t="s">
        <x:v>121</x:v>
      </x:c>
      <x:c r="AT613" s="7" t="n">
        <x:v>46301.9166666667</x:v>
      </x:c>
    </x:row>
    <x:row r="614" ht="31.299999237060547" hidden="0">
      <x:c r="A614" s="3" t="s">
        <x:v>1164</x:v>
      </x:c>
      <x:c r="B614" s="3" t="s">
        <x:v>166</x:v>
      </x:c>
      <x:c r="C614" s="3" t="s">
        <x:v>167</x:v>
      </x:c>
      <x:c r="D614" s="3" t="s">
        <x:v>168</x:v>
      </x:c>
      <x:c r="E614" s="3" t="s">
        <x:v>249</x:v>
      </x:c>
      <x:c r="F614" s="3" t="s">
        <x:v>169</x:v>
      </x:c>
      <x:c r="G614" s="3" t="s">
        <x:v>416</x:v>
      </x:c>
      <x:c r="H614" s="3" t="s">
        <x:v>339</x:v>
      </x:c>
      <x:c r="I614" s="3" t="s">
        <x:v>102</x:v>
      </x:c>
      <x:c r="J614" s="3" t="s">
        <x:v>103</x:v>
      </x:c>
      <x:c r="K614" s="3" t="s">
        <x:v>104</x:v>
      </x:c>
      <x:c r="L614" s="3" t="s">
        <x:v>171</x:v>
      </x:c>
      <x:c r="M614" s="3" t="s">
        <x:v>172</x:v>
      </x:c>
      <x:c r="N614" s="3" t="s">
        <x:v>173</x:v>
      </x:c>
      <x:c r="O614" s="3" t="s">
        <x:v>174</x:v>
      </x:c>
      <x:c r="P614" s="3" t="s">
        <x:v>175</x:v>
      </x:c>
      <x:c r="Q614" s="3" t="s">
        <x:v>271</x:v>
      </x:c>
      <x:c r="R614" s="3" t="s">
        <x:v>373</x:v>
      </x:c>
      <x:c r="S614" s="3" t="s">
        <x:v>135</x:v>
      </x:c>
      <x:c r="T614" s="3" t="s">
        <x:v>111</x:v>
      </x:c>
      <x:c r="U614" s="3" t="s">
        <x:v>374</x:v>
      </x:c>
      <x:c r="V614" s="3" t="s">
        <x:v>178</x:v>
      </x:c>
      <x:c r="W614" s="3" t="s">
        <x:v>179</x:v>
      </x:c>
      <x:c r="X614" s="3" t="s">
        <x:v>180</x:v>
      </x:c>
      <x:c r="Y614" s="3" t="s">
        <x:v>414</x:v>
      </x:c>
      <x:c r="Z614" s="3" t="s">
        <x:v>375</x:v>
      </x:c>
      <x:c r="AA614" s="3" t="s">
        <x:v>118</x:v>
      </x:c>
      <x:c r="AB614" s="7" t="n">
        <x:v>46292.6388888889</x:v>
      </x:c>
      <x:c r="AC614" s="7" t="n">
        <x:v>46292.6423611111</x:v>
      </x:c>
      <x:c r="AD614" s="7" t="n">
        <x:v>46292.6465277778</x:v>
      </x:c>
      <x:c r="AE614" s="7" t="n">
        <x:v>46292.6736111111</x:v>
      </x:c>
      <x:c r="AF614" s="7" t="n">
        <x:v>46292.7270833333</x:v>
      </x:c>
      <x:c r="AG614" s="3" t="n">
        <x:v>50</x:v>
      </x:c>
      <x:c r="AH614" s="3" t="n">
        <x:v>69</x:v>
      </x:c>
      <x:c r="AI614" s="3" t="s">
        <x:v>135</x:v>
      </x:c>
      <x:c r="AJ614" s="3" t="s">
        <x:v>135</x:v>
      </x:c>
      <x:c r="AK614" s="3" t="n">
        <x:v>150</x:v>
      </x:c>
      <x:c r="AL614" s="3" t="n">
        <x:v>0</x:v>
      </x:c>
      <x:c r="AM614" s="8" t="n">
        <x:v>0.7933</x:v>
      </x:c>
      <x:c r="AN614" s="3" t="n">
        <x:v>3</x:v>
      </x:c>
      <x:c r="AO614" s="3" t="s">
        <x:v>14</x:v>
      </x:c>
      <x:c r="AP614" s="3" t="s">
        <x:v>633</x:v>
      </x:c>
      <x:c r="AQ614" s="3" t="s">
        <x:v>1002</x:v>
      </x:c>
      <x:c r="AR614" s="9" t="n">
        <x:v>1611.8</x:v>
      </x:c>
      <x:c r="AS614" s="3" t="s">
        <x:v>185</x:v>
      </x:c>
      <x:c r="AT614" s="7" t="n">
        <x:v>46301.9166666667</x:v>
      </x:c>
    </x:row>
    <x:row r="615" ht="31.299999237060547" hidden="0">
      <x:c r="A615" s="3" t="s">
        <x:v>1165</x:v>
      </x:c>
      <x:c r="B615" s="3" t="s">
        <x:v>166</x:v>
      </x:c>
      <x:c r="C615" s="3" t="s">
        <x:v>167</x:v>
      </x:c>
      <x:c r="D615" s="3" t="s">
        <x:v>168</x:v>
      </x:c>
      <x:c r="E615" s="3" t="s">
        <x:v>249</x:v>
      </x:c>
      <x:c r="F615" s="3" t="s">
        <x:v>127</x:v>
      </x:c>
      <x:c r="G615" s="3" t="s">
        <x:v>498</x:v>
      </x:c>
      <x:c r="H615" s="3" t="s">
        <x:v>101</x:v>
      </x:c>
      <x:c r="I615" s="3" t="s">
        <x:v>102</x:v>
      </x:c>
      <x:c r="J615" s="3" t="s">
        <x:v>103</x:v>
      </x:c>
      <x:c r="K615" s="3" t="s">
        <x:v>104</x:v>
      </x:c>
      <x:c r="L615" s="3" t="s">
        <x:v>171</x:v>
      </x:c>
      <x:c r="M615" s="3" t="s">
        <x:v>172</x:v>
      </x:c>
      <x:c r="N615" s="3" t="s">
        <x:v>173</x:v>
      </x:c>
      <x:c r="O615" s="3" t="s">
        <x:v>174</x:v>
      </x:c>
      <x:c r="P615" s="3" t="s">
        <x:v>175</x:v>
      </x:c>
      <x:c r="Q615" s="3" t="s">
        <x:v>271</x:v>
      </x:c>
      <x:c r="R615" s="3" t="s">
        <x:v>310</x:v>
      </x:c>
      <x:c r="S615" s="3" t="s">
        <x:v>135</x:v>
      </x:c>
      <x:c r="T615" s="3" t="s">
        <x:v>111</x:v>
      </x:c>
      <x:c r="U615" s="3" t="s">
        <x:v>311</x:v>
      </x:c>
      <x:c r="V615" s="3" t="s">
        <x:v>312</x:v>
      </x:c>
      <x:c r="W615" s="3" t="s">
        <x:v>382</x:v>
      </x:c>
      <x:c r="X615" s="3" t="s">
        <x:v>314</x:v>
      </x:c>
      <x:c r="Y615" s="3" t="s">
        <x:v>383</x:v>
      </x:c>
      <x:c r="Z615" s="3" t="s">
        <x:v>316</x:v>
      </x:c>
      <x:c r="AA615" s="3" t="s">
        <x:v>317</x:v>
      </x:c>
      <x:c r="AB615" s="7" t="n">
        <x:v>46292.7041666667</x:v>
      </x:c>
      <x:c r="AC615" s="7" t="n">
        <x:v>46292.7076388889</x:v>
      </x:c>
      <x:c r="AD615" s="7" t="n">
        <x:v>46292.7104166667</x:v>
      </x:c>
      <x:c r="AE615" s="7" t="n">
        <x:v>46292.7298611111</x:v>
      </x:c>
      <x:c r="AF615" s="7" t="n">
        <x:v>46292.7743055556</x:v>
      </x:c>
      <x:c r="AG615" s="3" t="n">
        <x:v>37</x:v>
      </x:c>
      <x:c r="AH615" s="3" t="n">
        <x:v>56</x:v>
      </x:c>
      <x:c r="AI615" s="3" t="s">
        <x:v>135</x:v>
      </x:c>
      <x:c r="AJ615" s="3" t="s">
        <x:v>135</x:v>
      </x:c>
      <x:c r="AK615" s="3" t="n">
        <x:v>150</x:v>
      </x:c>
      <x:c r="AL615" s="3" t="n">
        <x:v>0</x:v>
      </x:c>
      <x:c r="AM615" s="8" t="n">
        <x:v>0.62</x:v>
      </x:c>
      <x:c r="AN615" s="3" t="n">
        <x:v>3</x:v>
      </x:c>
      <x:c r="AO615" s="3" t="s">
        <x:v>14</x:v>
      </x:c>
      <x:c r="AP615" s="3" t="s">
        <x:v>633</x:v>
      </x:c>
      <x:c r="AQ615" s="3" t="s">
        <x:v>1166</x:v>
      </x:c>
      <x:c r="AR615" s="9" t="n">
        <x:v>1459.7</x:v>
      </x:c>
      <x:c r="AS615" s="3" t="s">
        <x:v>185</x:v>
      </x:c>
      <x:c r="AT615" s="7" t="n">
        <x:v>46301.9166666667</x:v>
      </x:c>
    </x:row>
    <x:row r="616" ht="31.299999237060547" hidden="0">
      <x:c r="A616" s="3" t="s">
        <x:v>1167</x:v>
      </x:c>
      <x:c r="B616" s="3" t="s">
        <x:v>433</x:v>
      </x:c>
      <x:c r="C616" s="3" t="s">
        <x:v>434</x:v>
      </x:c>
      <x:c r="D616" s="3" t="s">
        <x:v>435</x:v>
      </x:c>
      <x:c r="E616" s="3" t="s">
        <x:v>249</x:v>
      </x:c>
      <x:c r="F616" s="3" t="s">
        <x:v>99</x:v>
      </x:c>
      <x:c r="G616" s="3" t="s">
        <x:v>425</x:v>
      </x:c>
      <x:c r="H616" s="3" t="s">
        <x:v>301</x:v>
      </x:c>
      <x:c r="I616" s="3" t="s">
        <x:v>302</x:v>
      </x:c>
      <x:c r="J616" s="3" t="s">
        <x:v>303</x:v>
      </x:c>
      <x:c r="K616" s="3" t="s">
        <x:v>104</x:v>
      </x:c>
      <x:c r="L616" s="3" t="s">
        <x:v>437</x:v>
      </x:c>
      <x:c r="M616" s="3" t="s">
        <x:v>106</x:v>
      </x:c>
      <x:c r="N616" s="3" t="s">
        <x:v>438</x:v>
      </x:c>
      <x:c r="O616" s="3" t="s">
        <x:v>439</x:v>
      </x:c>
      <x:c r="P616" s="3" t="s">
        <x:v>440</x:v>
      </x:c>
      <x:c r="Q616" s="3" t="s">
        <x:v>441</x:v>
      </x:c>
      <x:c r="R616" s="3" t="s">
        <x:v>134</x:v>
      </x:c>
      <x:c r="S616" s="3" t="s">
        <x:v>135</x:v>
      </x:c>
      <x:c r="T616" s="3" t="s">
        <x:v>111</x:v>
      </x:c>
      <x:c r="U616" s="3" t="s">
        <x:v>136</x:v>
      </x:c>
      <x:c r="V616" s="3" t="s">
        <x:v>137</x:v>
      </x:c>
      <x:c r="W616" s="3" t="s">
        <x:v>138</x:v>
      </x:c>
      <x:c r="X616" s="3" t="s">
        <x:v>139</x:v>
      </x:c>
      <x:c r="Y616" s="3" t="s">
        <x:v>454</x:v>
      </x:c>
      <x:c r="Z616" s="3" t="s">
        <x:v>141</x:v>
      </x:c>
      <x:c r="AA616" s="3" t="s">
        <x:v>118</x:v>
      </x:c>
      <x:c r="AB616" s="7" t="n">
        <x:v>46292.7875</x:v>
      </x:c>
      <x:c r="AC616" s="7" t="n">
        <x:v>46292.7902777778</x:v>
      </x:c>
      <x:c r="AD616" s="7" t="n">
        <x:v>46292.7923611111</x:v>
      </x:c>
      <x:c r="AE616" s="7" t="n">
        <x:v>46292.8076388889</x:v>
      </x:c>
      <x:c r="AF616" s="7" t="n">
        <x:v>46292.8388888889</x:v>
      </x:c>
      <x:c r="AG616" s="3" t="n">
        <x:v>29</x:v>
      </x:c>
      <x:c r="AH616" s="3" t="n">
        <x:v>40</x:v>
      </x:c>
      <x:c r="AI616" s="3" t="s">
        <x:v>135</x:v>
      </x:c>
      <x:c r="AJ616" s="3" t="s">
        <x:v>135</x:v>
      </x:c>
      <x:c r="AK616" s="3" t="n">
        <x:v>180</x:v>
      </x:c>
      <x:c r="AL616" s="3" t="n">
        <x:v>0</x:v>
      </x:c>
      <x:c r="AM616" s="8" t="n">
        <x:v>0.3833</x:v>
      </x:c>
      <x:c r="AN616" s="3" t="n">
        <x:v>1</x:v>
      </x:c>
      <x:c r="AO616" s="3" t="s">
        <x:v>9</x:v>
      </x:c>
      <x:c r="AP616" s="3" t="s">
        <x:v>500</x:v>
      </x:c>
      <x:c r="AQ616" s="3" t="s">
        <x:v>562</x:v>
      </x:c>
      <x:c r="AR616" s="9" t="n">
        <x:v>678.5</x:v>
      </x:c>
      <x:c r="AS616" s="3" t="s">
        <x:v>121</x:v>
      </x:c>
      <x:c r="AT616" s="7" t="n">
        <x:v>46301.9166666667</x:v>
      </x:c>
    </x:row>
    <x:row r="617" ht="31.299999237060547" hidden="0">
      <x:c r="A617" s="3" t="s">
        <x:v>1168</x:v>
      </x:c>
      <x:c r="B617" s="3" t="s">
        <x:v>166</x:v>
      </x:c>
      <x:c r="C617" s="3" t="s">
        <x:v>167</x:v>
      </x:c>
      <x:c r="D617" s="3" t="s">
        <x:v>168</x:v>
      </x:c>
      <x:c r="E617" s="3" t="s">
        <x:v>249</x:v>
      </x:c>
      <x:c r="F617" s="3" t="s">
        <x:v>127</x:v>
      </x:c>
      <x:c r="G617" s="3" t="s">
        <x:v>425</x:v>
      </x:c>
      <x:c r="H617" s="3" t="s">
        <x:v>301</x:v>
      </x:c>
      <x:c r="I617" s="3" t="s">
        <x:v>302</x:v>
      </x:c>
      <x:c r="J617" s="3" t="s">
        <x:v>303</x:v>
      </x:c>
      <x:c r="K617" s="3" t="s">
        <x:v>104</x:v>
      </x:c>
      <x:c r="L617" s="3" t="s">
        <x:v>171</x:v>
      </x:c>
      <x:c r="M617" s="3" t="s">
        <x:v>172</x:v>
      </x:c>
      <x:c r="N617" s="3" t="s">
        <x:v>173</x:v>
      </x:c>
      <x:c r="O617" s="3" t="s">
        <x:v>174</x:v>
      </x:c>
      <x:c r="P617" s="3" t="s">
        <x:v>175</x:v>
      </x:c>
      <x:c r="Q617" s="3" t="s">
        <x:v>271</x:v>
      </x:c>
      <x:c r="R617" s="3" t="s">
        <x:v>134</x:v>
      </x:c>
      <x:c r="S617" s="3" t="s">
        <x:v>135</x:v>
      </x:c>
      <x:c r="T617" s="3" t="s">
        <x:v>111</x:v>
      </x:c>
      <x:c r="U617" s="3" t="s">
        <x:v>136</x:v>
      </x:c>
      <x:c r="V617" s="3" t="s">
        <x:v>137</x:v>
      </x:c>
      <x:c r="W617" s="3" t="s">
        <x:v>407</x:v>
      </x:c>
      <x:c r="X617" s="3" t="s">
        <x:v>139</x:v>
      </x:c>
      <x:c r="Y617" s="3" t="s">
        <x:v>140</x:v>
      </x:c>
      <x:c r="Z617" s="3" t="s">
        <x:v>141</x:v>
      </x:c>
      <x:c r="AA617" s="3" t="s">
        <x:v>118</x:v>
      </x:c>
      <x:c r="AB617" s="7" t="n">
        <x:v>46293.3826388889</x:v>
      </x:c>
      <x:c r="AC617" s="7" t="n">
        <x:v>46293.3861111111</x:v>
      </x:c>
      <x:c r="AD617" s="7" t="n">
        <x:v>46293.3902777778</x:v>
      </x:c>
      <x:c r="AE617" s="7" t="n">
        <x:v>46293.4138888889</x:v>
      </x:c>
      <x:c r="AF617" s="7" t="n">
        <x:v>46293.4895833333</x:v>
      </x:c>
      <x:c r="AG617" s="3" t="n">
        <x:v>45</x:v>
      </x:c>
      <x:c r="AH617" s="3" t="n">
        <x:v>99</x:v>
      </x:c>
      <x:c r="AI617" s="3" t="s">
        <x:v>135</x:v>
      </x:c>
      <x:c r="AJ617" s="3" t="s">
        <x:v>135</x:v>
      </x:c>
      <x:c r="AK617" s="3" t="n">
        <x:v>180</x:v>
      </x:c>
      <x:c r="AL617" s="3" t="n">
        <x:v>0</x:v>
      </x:c>
      <x:c r="AM617" s="8" t="n">
        <x:v>0.8</x:v>
      </x:c>
      <x:c r="AN617" s="3" t="n">
        <x:v>1</x:v>
      </x:c>
      <x:c r="AO617" s="3" t="s">
        <x:v>14</x:v>
      </x:c>
      <x:c r="AP617" s="3" t="s">
        <x:v>471</x:v>
      </x:c>
      <x:c r="AQ617" s="3" t="s">
        <x:v>501</x:v>
      </x:c>
      <x:c r="AR617" s="9" t="n">
        <x:v>1555.3</x:v>
      </x:c>
      <x:c r="AS617" s="3" t="s">
        <x:v>185</x:v>
      </x:c>
      <x:c r="AT617" s="7" t="n">
        <x:v>46301.9166666667</x:v>
      </x:c>
    </x:row>
    <x:row r="618" ht="31.299999237060547" hidden="0">
      <x:c r="A618" s="3" t="s">
        <x:v>1169</x:v>
      </x:c>
      <x:c r="B618" s="3" t="s">
        <x:v>187</x:v>
      </x:c>
      <x:c r="C618" s="3" t="s">
        <x:v>188</x:v>
      </x:c>
      <x:c r="D618" s="3" t="s">
        <x:v>189</x:v>
      </x:c>
      <x:c r="E618" s="3" t="s">
        <x:v>249</x:v>
      </x:c>
      <x:c r="F618" s="3" t="s">
        <x:v>127</x:v>
      </x:c>
      <x:c r="G618" s="3" t="s">
        <x:v>447</x:v>
      </x:c>
      <x:c r="H618" s="3" t="s">
        <x:v>343</x:v>
      </x:c>
      <x:c r="I618" s="3" t="s">
        <x:v>102</x:v>
      </x:c>
      <x:c r="J618" s="3" t="s">
        <x:v>103</x:v>
      </x:c>
      <x:c r="K618" s="3" t="s">
        <x:v>104</x:v>
      </x:c>
      <x:c r="L618" s="3" t="s">
        <x:v>191</x:v>
      </x:c>
      <x:c r="M618" s="3" t="s">
        <x:v>192</x:v>
      </x:c>
      <x:c r="N618" s="3" t="s">
        <x:v>193</x:v>
      </x:c>
      <x:c r="O618" s="3" t="s">
        <x:v>194</x:v>
      </x:c>
      <x:c r="P618" s="3" t="s">
        <x:v>195</x:v>
      </x:c>
      <x:c r="Q618" s="3" t="s">
        <x:v>273</x:v>
      </x:c>
      <x:c r="R618" s="3" t="s">
        <x:v>344</x:v>
      </x:c>
      <x:c r="S618" s="3" t="s">
        <x:v>111</x:v>
      </x:c>
      <x:c r="T618" s="3" t="s">
        <x:v>111</x:v>
      </x:c>
      <x:c r="U618" s="3" t="s">
        <x:v>345</x:v>
      </x:c>
      <x:c r="V618" s="3" t="s">
        <x:v>178</x:v>
      </x:c>
      <x:c r="W618" s="3" t="s">
        <x:v>332</x:v>
      </x:c>
      <x:c r="X618" s="3" t="s">
        <x:v>180</x:v>
      </x:c>
      <x:c r="Y618" s="3" t="s">
        <x:v>333</x:v>
      </x:c>
      <x:c r="Z618" s="3" t="s">
        <x:v>346</x:v>
      </x:c>
      <x:c r="AA618" s="3" t="s">
        <x:v>118</x:v>
      </x:c>
      <x:c r="AB618" s="7" t="n">
        <x:v>46293.3868055556</x:v>
      </x:c>
      <x:c r="AC618" s="7" t="n">
        <x:v>46293.3909722222</x:v>
      </x:c>
      <x:c r="AD618" s="7" t="n">
        <x:v>46293.39375</x:v>
      </x:c>
      <x:c r="AE618" s="7" t="n">
        <x:v>46293.40625</x:v>
      </x:c>
      <x:c r="AF618" s="7" t="n">
        <x:v>46293.4493055556</x:v>
      </x:c>
      <x:c r="AG618" s="3" t="n">
        <x:v>28</x:v>
      </x:c>
      <x:c r="AH618" s="3" t="n">
        <x:v>58</x:v>
      </x:c>
      <x:c r="AI618" s="3" t="s">
        <x:v>135</x:v>
      </x:c>
      <x:c r="AJ618" s="3" t="s">
        <x:v>111</x:v>
      </x:c>
      <x:c r="AK618" s="3" t="n">
        <x:v>120</x:v>
      </x:c>
      <x:c r="AL618" s="3" t="n">
        <x:v>0</x:v>
      </x:c>
      <x:c r="AM618" s="8" t="n">
        <x:v>0.7167</x:v>
      </x:c>
      <x:c r="AN618" s="3" t="n">
        <x:v>2</x:v>
      </x:c>
      <x:c r="AO618" s="3" t="s">
        <x:v>14</x:v>
      </x:c>
      <x:c r="AP618" s="3" t="s">
        <x:v>605</x:v>
      </x:c>
      <x:c r="AQ618" s="3" t="s">
        <x:v>689</x:v>
      </x:c>
      <x:c r="AR618" s="9" t="n">
        <x:v>1183.6</x:v>
      </x:c>
      <x:c r="AS618" s="3" t="s">
        <x:v>121</x:v>
      </x:c>
      <x:c r="AT618" s="7" t="n">
        <x:v>46301.9166666667</x:v>
      </x:c>
    </x:row>
    <x:row r="619" ht="31.299999237060547" hidden="0">
      <x:c r="A619" s="3" t="s">
        <x:v>1170</x:v>
      </x:c>
      <x:c r="B619" s="3" t="s">
        <x:v>83</x:v>
      </x:c>
      <x:c r="C619" s="3" t="s">
        <x:v>96</x:v>
      </x:c>
      <x:c r="D619" s="3" t="s">
        <x:v>97</x:v>
      </x:c>
      <x:c r="E619" s="3" t="s">
        <x:v>249</x:v>
      </x:c>
      <x:c r="F619" s="3" t="s">
        <x:v>149</x:v>
      </x:c>
      <x:c r="G619" s="3" t="s">
        <x:v>359</x:v>
      </x:c>
      <x:c r="H619" s="3" t="s">
        <x:v>101</x:v>
      </x:c>
      <x:c r="I619" s="3" t="s">
        <x:v>102</x:v>
      </x:c>
      <x:c r="J619" s="3" t="s">
        <x:v>103</x:v>
      </x:c>
      <x:c r="K619" s="3" t="s">
        <x:v>104</x:v>
      </x:c>
      <x:c r="L619" s="3" t="s">
        <x:v>105</x:v>
      </x:c>
      <x:c r="M619" s="3" t="s">
        <x:v>106</x:v>
      </x:c>
      <x:c r="N619" s="3" t="s">
        <x:v>107</x:v>
      </x:c>
      <x:c r="O619" s="3" t="s">
        <x:v>108</x:v>
      </x:c>
      <x:c r="P619" s="3" t="s">
        <x:v>109</x:v>
      </x:c>
      <x:c r="Q619" s="3" t="s">
        <x:v>250</x:v>
      </x:c>
      <x:c r="R619" s="3" t="s">
        <x:v>156</x:v>
      </x:c>
      <x:c r="S619" s="3" t="s">
        <x:v>135</x:v>
      </x:c>
      <x:c r="T619" s="3" t="s">
        <x:v>111</x:v>
      </x:c>
      <x:c r="U619" s="3" t="s">
        <x:v>157</x:v>
      </x:c>
      <x:c r="V619" s="3" t="s">
        <x:v>158</x:v>
      </x:c>
      <x:c r="W619" s="3" t="s">
        <x:v>159</x:v>
      </x:c>
      <x:c r="X619" s="3" t="s">
        <x:v>160</x:v>
      </x:c>
      <x:c r="Y619" s="3" t="s">
        <x:v>360</x:v>
      </x:c>
      <x:c r="Z619" s="3" t="s">
        <x:v>162</x:v>
      </x:c>
      <x:c r="AA619" s="3" t="s">
        <x:v>118</x:v>
      </x:c>
      <x:c r="AB619" s="7" t="n">
        <x:v>46293.4305555556</x:v>
      </x:c>
      <x:c r="AC619" s="7" t="n">
        <x:v>46293.4319444444</x:v>
      </x:c>
      <x:c r="AD619" s="7" t="n">
        <x:v>46293.4340277778</x:v>
      </x:c>
      <x:c r="AE619" s="7" t="n">
        <x:v>46293.4513888889</x:v>
      </x:c>
      <x:c r="AF619" s="7" t="n">
        <x:v>46293.4756944444</x:v>
      </x:c>
      <x:c r="AG619" s="3" t="n">
        <x:v>30</x:v>
      </x:c>
      <x:c r="AH619" s="3" t="n">
        <x:v>30</x:v>
      </x:c>
      <x:c r="AI619" s="3" t="s">
        <x:v>111</x:v>
      </x:c>
      <x:c r="AJ619" s="3" t="s">
        <x:v>111</x:v>
      </x:c>
      <x:c r="AK619" s="3" t="n">
        <x:v>60</x:v>
      </x:c>
      <x:c r="AL619" s="3" t="n">
        <x:v>0</x:v>
      </x:c>
      <x:c r="AM619" s="8" t="n">
        <x:v>1</x:v>
      </x:c>
      <x:c r="AN619" s="3" t="n">
        <x:v>3</x:v>
      </x:c>
      <x:c r="AO619" s="3" t="s">
        <x:v>24</x:v>
      </x:c>
      <x:c r="AP619" s="3" t="s">
        <x:v>906</x:v>
      </x:c>
      <x:c r="AQ619" s="3" t="s">
        <x:v>1171</x:v>
      </x:c>
      <x:c r="AR619" s="9" t="n">
        <x:v>1181</x:v>
      </x:c>
      <x:c r="AS619" s="3" t="s">
        <x:v>185</x:v>
      </x:c>
      <x:c r="AT619" s="7" t="n">
        <x:v>46301.9166666667</x:v>
      </x:c>
    </x:row>
    <x:row r="620" ht="31.299999237060547" hidden="0">
      <x:c r="A620" s="3" t="s">
        <x:v>1172</x:v>
      </x:c>
      <x:c r="B620" s="3" t="s">
        <x:v>123</x:v>
      </x:c>
      <x:c r="C620" s="3" t="s">
        <x:v>124</x:v>
      </x:c>
      <x:c r="D620" s="3" t="s">
        <x:v>125</x:v>
      </x:c>
      <x:c r="E620" s="3" t="s">
        <x:v>249</x:v>
      </x:c>
      <x:c r="F620" s="3" t="s">
        <x:v>99</x:v>
      </x:c>
      <x:c r="G620" s="3" t="s">
        <x:v>447</x:v>
      </x:c>
      <x:c r="H620" s="3" t="s">
        <x:v>343</x:v>
      </x:c>
      <x:c r="I620" s="3" t="s">
        <x:v>102</x:v>
      </x:c>
      <x:c r="J620" s="3" t="s">
        <x:v>103</x:v>
      </x:c>
      <x:c r="K620" s="3" t="s">
        <x:v>104</x:v>
      </x:c>
      <x:c r="L620" s="3" t="s">
        <x:v>129</x:v>
      </x:c>
      <x:c r="M620" s="3" t="s">
        <x:v>130</x:v>
      </x:c>
      <x:c r="N620" s="3" t="s">
        <x:v>131</x:v>
      </x:c>
      <x:c r="O620" s="3" t="s">
        <x:v>132</x:v>
      </x:c>
      <x:c r="P620" s="3" t="s">
        <x:v>133</x:v>
      </x:c>
      <x:c r="Q620" s="3" t="s">
        <x:v>268</x:v>
      </x:c>
      <x:c r="R620" s="3" t="s">
        <x:v>344</x:v>
      </x:c>
      <x:c r="S620" s="3" t="s">
        <x:v>111</x:v>
      </x:c>
      <x:c r="T620" s="3" t="s">
        <x:v>111</x:v>
      </x:c>
      <x:c r="U620" s="3" t="s">
        <x:v>345</x:v>
      </x:c>
      <x:c r="V620" s="3" t="s">
        <x:v>178</x:v>
      </x:c>
      <x:c r="W620" s="3" t="s">
        <x:v>179</x:v>
      </x:c>
      <x:c r="X620" s="3" t="s">
        <x:v>180</x:v>
      </x:c>
      <x:c r="Y620" s="3" t="s">
        <x:v>414</x:v>
      </x:c>
      <x:c r="Z620" s="3" t="s">
        <x:v>346</x:v>
      </x:c>
      <x:c r="AA620" s="3" t="s">
        <x:v>118</x:v>
      </x:c>
      <x:c r="AB620" s="7" t="n">
        <x:v>46293.4569444444</x:v>
      </x:c>
      <x:c r="AC620" s="7" t="n">
        <x:v>46293.4611111111</x:v>
      </x:c>
      <x:c r="AD620" s="7" t="n">
        <x:v>46293.4631944444</x:v>
      </x:c>
      <x:c r="AE620" s="7" t="n">
        <x:v>46293.4909722222</x:v>
      </x:c>
      <x:c r="AF620" s="7" t="n">
        <x:v>46293.5173611111</x:v>
      </x:c>
      <x:c r="AG620" s="3" t="n">
        <x:v>49</x:v>
      </x:c>
      <x:c r="AH620" s="3" t="n">
        <x:v>31</x:v>
      </x:c>
      <x:c r="AI620" s="3" t="s">
        <x:v>135</x:v>
      </x:c>
      <x:c r="AJ620" s="3" t="s">
        <x:v>135</x:v>
      </x:c>
      <x:c r="AK620" s="3" t="n">
        <x:v>120</x:v>
      </x:c>
      <x:c r="AL620" s="3" t="n">
        <x:v>0</x:v>
      </x:c>
      <x:c r="AM620" s="8" t="n">
        <x:v>0.6667</x:v>
      </x:c>
      <x:c r="AN620" s="3" t="n">
        <x:v>3</x:v>
      </x:c>
      <x:c r="AO620" s="3" t="s">
        <x:v>14</x:v>
      </x:c>
      <x:c r="AP620" s="3" t="s">
        <x:v>633</x:v>
      </x:c>
      <x:c r="AQ620" s="3" t="s">
        <x:v>1173</x:v>
      </x:c>
      <x:c r="AR620" s="9" t="n">
        <x:v>953.7</x:v>
      </x:c>
      <x:c r="AS620" s="3" t="s">
        <x:v>185</x:v>
      </x:c>
      <x:c r="AT620" s="7" t="n">
        <x:v>46301.9166666667</x:v>
      </x:c>
    </x:row>
    <x:row r="621" ht="31.299999237060547" hidden="0">
      <x:c r="A621" s="3" t="s">
        <x:v>1174</x:v>
      </x:c>
      <x:c r="B621" s="3" t="s">
        <x:v>187</x:v>
      </x:c>
      <x:c r="C621" s="3" t="s">
        <x:v>188</x:v>
      </x:c>
      <x:c r="D621" s="3" t="s">
        <x:v>189</x:v>
      </x:c>
      <x:c r="E621" s="3" t="s">
        <x:v>249</x:v>
      </x:c>
      <x:c r="F621" s="3" t="s">
        <x:v>149</x:v>
      </x:c>
      <x:c r="G621" s="3" t="s">
        <x:v>349</x:v>
      </x:c>
      <x:c r="H621" s="3" t="s">
        <x:v>343</x:v>
      </x:c>
      <x:c r="I621" s="3" t="s">
        <x:v>102</x:v>
      </x:c>
      <x:c r="J621" s="3" t="s">
        <x:v>103</x:v>
      </x:c>
      <x:c r="K621" s="3" t="s">
        <x:v>104</x:v>
      </x:c>
      <x:c r="L621" s="3" t="s">
        <x:v>191</x:v>
      </x:c>
      <x:c r="M621" s="3" t="s">
        <x:v>192</x:v>
      </x:c>
      <x:c r="N621" s="3" t="s">
        <x:v>193</x:v>
      </x:c>
      <x:c r="O621" s="3" t="s">
        <x:v>194</x:v>
      </x:c>
      <x:c r="P621" s="3" t="s">
        <x:v>195</x:v>
      </x:c>
      <x:c r="Q621" s="3" t="s">
        <x:v>273</x:v>
      </x:c>
      <x:c r="R621" s="3" t="s">
        <x:v>344</x:v>
      </x:c>
      <x:c r="S621" s="3" t="s">
        <x:v>111</x:v>
      </x:c>
      <x:c r="T621" s="3" t="s">
        <x:v>111</x:v>
      </x:c>
      <x:c r="U621" s="3" t="s">
        <x:v>345</x:v>
      </x:c>
      <x:c r="V621" s="3" t="s">
        <x:v>178</x:v>
      </x:c>
      <x:c r="W621" s="3" t="s">
        <x:v>332</x:v>
      </x:c>
      <x:c r="X621" s="3" t="s">
        <x:v>180</x:v>
      </x:c>
      <x:c r="Y621" s="3" t="s">
        <x:v>333</x:v>
      </x:c>
      <x:c r="Z621" s="3" t="s">
        <x:v>346</x:v>
      </x:c>
      <x:c r="AA621" s="3" t="s">
        <x:v>118</x:v>
      </x:c>
      <x:c r="AB621" s="7" t="n">
        <x:v>46293.4590277778</x:v>
      </x:c>
      <x:c r="AC621" s="7" t="n">
        <x:v>46293.4611111111</x:v>
      </x:c>
      <x:c r="AD621" s="7" t="n">
        <x:v>46293.4673611111</x:v>
      </x:c>
      <x:c r="AE621" s="7" t="n">
        <x:v>46293.4763888889</x:v>
      </x:c>
      <x:c r="AF621" s="7" t="n">
        <x:v>46293.5395833333</x:v>
      </x:c>
      <x:c r="AG621" s="3" t="n">
        <x:v>25</x:v>
      </x:c>
      <x:c r="AH621" s="3" t="n">
        <x:v>84</x:v>
      </x:c>
      <x:c r="AI621" s="3" t="s">
        <x:v>135</x:v>
      </x:c>
      <x:c r="AJ621" s="3" t="s">
        <x:v>111</x:v>
      </x:c>
      <x:c r="AK621" s="3" t="n">
        <x:v>120</x:v>
      </x:c>
      <x:c r="AL621" s="3" t="n">
        <x:v>0</x:v>
      </x:c>
      <x:c r="AM621" s="8" t="n">
        <x:v>0.9083</x:v>
      </x:c>
      <x:c r="AN621" s="3" t="n">
        <x:v>1</x:v>
      </x:c>
      <x:c r="AO621" s="3" t="s">
        <x:v>19</x:v>
      </x:c>
      <x:c r="AP621" s="3" t="s">
        <x:v>515</x:v>
      </x:c>
      <x:c r="AQ621" s="3" t="s">
        <x:v>689</x:v>
      </x:c>
      <x:c r="AR621" s="9" t="n">
        <x:v>1357.3</x:v>
      </x:c>
      <x:c r="AS621" s="3" t="s">
        <x:v>185</x:v>
      </x:c>
      <x:c r="AT621" s="7" t="n">
        <x:v>46301.9166666667</x:v>
      </x:c>
    </x:row>
    <x:row r="622" ht="31.299999237060547" hidden="0">
      <x:c r="A622" s="3" t="s">
        <x:v>1175</x:v>
      </x:c>
      <x:c r="B622" s="3" t="s">
        <x:v>297</x:v>
      </x:c>
      <x:c r="C622" s="3" t="s">
        <x:v>298</x:v>
      </x:c>
      <x:c r="D622" s="3" t="s">
        <x:v>299</x:v>
      </x:c>
      <x:c r="E622" s="3" t="s">
        <x:v>249</x:v>
      </x:c>
      <x:c r="F622" s="3" t="s">
        <x:v>127</x:v>
      </x:c>
      <x:c r="G622" s="3" t="s">
        <x:v>469</x:v>
      </x:c>
      <x:c r="H622" s="3" t="s">
        <x:v>301</x:v>
      </x:c>
      <x:c r="I622" s="3" t="s">
        <x:v>302</x:v>
      </x:c>
      <x:c r="J622" s="3" t="s">
        <x:v>303</x:v>
      </x:c>
      <x:c r="K622" s="3" t="s">
        <x:v>104</x:v>
      </x:c>
      <x:c r="L622" s="3" t="s">
        <x:v>304</x:v>
      </x:c>
      <x:c r="M622" s="3" t="s">
        <x:v>305</x:v>
      </x:c>
      <x:c r="N622" s="3" t="s">
        <x:v>306</x:v>
      </x:c>
      <x:c r="O622" s="3" t="s">
        <x:v>307</x:v>
      </x:c>
      <x:c r="P622" s="3" t="s">
        <x:v>308</x:v>
      </x:c>
      <x:c r="Q622" s="3" t="s">
        <x:v>309</x:v>
      </x:c>
      <x:c r="R622" s="3" t="s">
        <x:v>110</x:v>
      </x:c>
      <x:c r="S622" s="3" t="s">
        <x:v>111</x:v>
      </x:c>
      <x:c r="T622" s="3" t="s">
        <x:v>111</x:v>
      </x:c>
      <x:c r="U622" s="3" t="s">
        <x:v>112</x:v>
      </x:c>
      <x:c r="V622" s="3" t="s">
        <x:v>113</x:v>
      </x:c>
      <x:c r="W622" s="3" t="s">
        <x:v>114</x:v>
      </x:c>
      <x:c r="X622" s="3" t="s">
        <x:v>115</x:v>
      </x:c>
      <x:c r="Y622" s="3" t="s">
        <x:v>116</x:v>
      </x:c>
      <x:c r="Z622" s="3" t="s">
        <x:v>117</x:v>
      </x:c>
      <x:c r="AA622" s="3" t="s">
        <x:v>118</x:v>
      </x:c>
      <x:c r="AB622" s="7" t="n">
        <x:v>46293.4597222222</x:v>
      </x:c>
      <x:c r="AC622" s="7" t="n">
        <x:v>46293.4631944444</x:v>
      </x:c>
      <x:c r="AD622" s="7" t="n">
        <x:v>46293.4694444445</x:v>
      </x:c>
      <x:c r="AE622" s="7" t="n">
        <x:v>46293.4833333333</x:v>
      </x:c>
      <x:c r="AF622" s="7" t="n">
        <x:v>46293.5180555556</x:v>
      </x:c>
      <x:c r="AG622" s="3" t="n">
        <x:v>34</x:v>
      </x:c>
      <x:c r="AH622" s="3" t="n">
        <x:v>42</x:v>
      </x:c>
      <x:c r="AI622" s="3" t="s">
        <x:v>135</x:v>
      </x:c>
      <x:c r="AJ622" s="3" t="s">
        <x:v>111</x:v>
      </x:c>
      <x:c r="AK622" s="3" t="n">
        <x:v>120</x:v>
      </x:c>
      <x:c r="AL622" s="3" t="n">
        <x:v>0</x:v>
      </x:c>
      <x:c r="AM622" s="8" t="n">
        <x:v>0.6333</x:v>
      </x:c>
      <x:c r="AN622" s="3" t="n">
        <x:v>0</x:v>
      </x:c>
      <x:c r="AO622" s="3" t="s">
        <x:v>14</x:v>
      </x:c>
      <x:c r="AP622" s="3" t="s">
        <x:v>318</x:v>
      </x:c>
      <x:c r="AQ622" s="3" t="s">
        <x:v>395</x:v>
      </x:c>
      <x:c r="AR622" s="9" t="n">
        <x:v>1095.4</x:v>
      </x:c>
      <x:c r="AS622" s="3" t="s">
        <x:v>121</x:v>
      </x:c>
      <x:c r="AT622" s="7" t="n">
        <x:v>46301.9166666667</x:v>
      </x:c>
    </x:row>
    <x:row r="623" ht="31.299999237060547" hidden="0">
      <x:c r="A623" s="3" t="s">
        <x:v>1176</x:v>
      </x:c>
      <x:c r="B623" s="3" t="s">
        <x:v>146</x:v>
      </x:c>
      <x:c r="C623" s="3" t="s">
        <x:v>147</x:v>
      </x:c>
      <x:c r="D623" s="3" t="s">
        <x:v>148</x:v>
      </x:c>
      <x:c r="E623" s="3" t="s">
        <x:v>249</x:v>
      </x:c>
      <x:c r="F623" s="3" t="s">
        <x:v>169</x:v>
      </x:c>
      <x:c r="G623" s="3" t="s">
        <x:v>477</x:v>
      </x:c>
      <x:c r="H623" s="3" t="s">
        <x:v>343</x:v>
      </x:c>
      <x:c r="I623" s="3" t="s">
        <x:v>102</x:v>
      </x:c>
      <x:c r="J623" s="3" t="s">
        <x:v>103</x:v>
      </x:c>
      <x:c r="K623" s="3" t="s">
        <x:v>104</x:v>
      </x:c>
      <x:c r="L623" s="3" t="s">
        <x:v>151</x:v>
      </x:c>
      <x:c r="M623" s="3" t="s">
        <x:v>152</x:v>
      </x:c>
      <x:c r="N623" s="3" t="s">
        <x:v>153</x:v>
      </x:c>
      <x:c r="O623" s="3" t="s">
        <x:v>154</x:v>
      </x:c>
      <x:c r="P623" s="3" t="s">
        <x:v>155</x:v>
      </x:c>
      <x:c r="Q623" s="3" t="s">
        <x:v>270</x:v>
      </x:c>
      <x:c r="R623" s="3" t="s">
        <x:v>214</x:v>
      </x:c>
      <x:c r="S623" s="3" t="s">
        <x:v>135</x:v>
      </x:c>
      <x:c r="T623" s="3" t="s">
        <x:v>111</x:v>
      </x:c>
      <x:c r="U623" s="3" t="s">
        <x:v>215</x:v>
      </x:c>
      <x:c r="V623" s="3" t="s">
        <x:v>216</x:v>
      </x:c>
      <x:c r="W623" s="3" t="s">
        <x:v>217</x:v>
      </x:c>
      <x:c r="X623" s="3" t="s">
        <x:v>430</x:v>
      </x:c>
      <x:c r="Y623" s="3" t="s">
        <x:v>555</x:v>
      </x:c>
      <x:c r="Z623" s="3" t="s">
        <x:v>219</x:v>
      </x:c>
      <x:c r="AA623" s="3" t="s">
        <x:v>118</x:v>
      </x:c>
      <x:c r="AB623" s="7" t="n">
        <x:v>46293.5270833333</x:v>
      </x:c>
      <x:c r="AC623" s="7" t="n">
        <x:v>46293.5291666667</x:v>
      </x:c>
      <x:c r="AD623" s="7" t="n">
        <x:v>46293.5347222222</x:v>
      </x:c>
      <x:c r="AE623" s="7" t="n">
        <x:v>46293.5409722222</x:v>
      </x:c>
      <x:c r="AF623" s="7" t="n">
        <x:v>46293.575</x:v>
      </x:c>
      <x:c r="AG623" s="3" t="n">
        <x:v>20</x:v>
      </x:c>
      <x:c r="AH623" s="3" t="n">
        <x:v>42</x:v>
      </x:c>
      <x:c r="AI623" s="3" t="s">
        <x:v>135</x:v>
      </x:c>
      <x:c r="AJ623" s="3" t="s">
        <x:v>135</x:v>
      </x:c>
      <x:c r="AK623" s="3" t="n">
        <x:v>180</x:v>
      </x:c>
      <x:c r="AL623" s="3" t="n">
        <x:v>0</x:v>
      </x:c>
      <x:c r="AM623" s="8" t="n">
        <x:v>0.3444</x:v>
      </x:c>
      <x:c r="AN623" s="3" t="n">
        <x:v>2</x:v>
      </x:c>
      <x:c r="AO623" s="3" t="s">
        <x:v>14</x:v>
      </x:c>
      <x:c r="AP623" s="3" t="s">
        <x:v>573</x:v>
      </x:c>
      <x:c r="AQ623" s="3" t="s">
        <x:v>533</x:v>
      </x:c>
      <x:c r="AR623" s="9" t="n">
        <x:v>652.4</x:v>
      </x:c>
      <x:c r="AS623" s="3" t="s">
        <x:v>121</x:v>
      </x:c>
      <x:c r="AT623" s="7" t="n">
        <x:v>46301.9166666667</x:v>
      </x:c>
    </x:row>
    <x:row r="624" ht="31.299999237060547" hidden="0">
      <x:c r="A624" s="3" t="s">
        <x:v>1177</x:v>
      </x:c>
      <x:c r="B624" s="3" t="s">
        <x:v>222</x:v>
      </x:c>
      <x:c r="C624" s="3" t="s">
        <x:v>223</x:v>
      </x:c>
      <x:c r="D624" s="3" t="s">
        <x:v>224</x:v>
      </x:c>
      <x:c r="E624" s="3" t="s">
        <x:v>249</x:v>
      </x:c>
      <x:c r="F624" s="3" t="s">
        <x:v>169</x:v>
      </x:c>
      <x:c r="G624" s="3" t="s">
        <x:v>522</x:v>
      </x:c>
      <x:c r="H624" s="3" t="s">
        <x:v>343</x:v>
      </x:c>
      <x:c r="I624" s="3" t="s">
        <x:v>102</x:v>
      </x:c>
      <x:c r="J624" s="3" t="s">
        <x:v>103</x:v>
      </x:c>
      <x:c r="K624" s="3" t="s">
        <x:v>104</x:v>
      </x:c>
      <x:c r="L624" s="3" t="s">
        <x:v>226</x:v>
      </x:c>
      <x:c r="M624" s="3" t="s">
        <x:v>227</x:v>
      </x:c>
      <x:c r="N624" s="3" t="s">
        <x:v>228</x:v>
      </x:c>
      <x:c r="O624" s="3" t="s">
        <x:v>229</x:v>
      </x:c>
      <x:c r="P624" s="3" t="s">
        <x:v>230</x:v>
      </x:c>
      <x:c r="Q624" s="3" t="s">
        <x:v>274</x:v>
      </x:c>
      <x:c r="R624" s="3" t="s">
        <x:v>380</x:v>
      </x:c>
      <x:c r="S624" s="3" t="s">
        <x:v>111</x:v>
      </x:c>
      <x:c r="T624" s="3" t="s">
        <x:v>111</x:v>
      </x:c>
      <x:c r="U624" s="3" t="s">
        <x:v>381</x:v>
      </x:c>
      <x:c r="V624" s="3" t="s">
        <x:v>312</x:v>
      </x:c>
      <x:c r="W624" s="3" t="s">
        <x:v>382</x:v>
      </x:c>
      <x:c r="X624" s="3" t="s">
        <x:v>314</x:v>
      </x:c>
      <x:c r="Y624" s="3" t="s">
        <x:v>383</x:v>
      </x:c>
      <x:c r="Z624" s="3" t="s">
        <x:v>384</x:v>
      </x:c>
      <x:c r="AA624" s="3" t="s">
        <x:v>385</x:v>
      </x:c>
      <x:c r="AB624" s="7" t="n">
        <x:v>46293.5840277778</x:v>
      </x:c>
      <x:c r="AC624" s="7" t="n">
        <x:v>46293.5861111111</x:v>
      </x:c>
      <x:c r="AD624" s="7" t="n">
        <x:v>46293.5895833333</x:v>
      </x:c>
      <x:c r="AE624" s="7" t="n">
        <x:v>46293.6069444444</x:v>
      </x:c>
      <x:c r="AF624" s="7" t="n">
        <x:v>46293.6506944444</x:v>
      </x:c>
      <x:c r="AG624" s="3" t="n">
        <x:v>33</x:v>
      </x:c>
      <x:c r="AH624" s="3" t="n">
        <x:v>54</x:v>
      </x:c>
      <x:c r="AI624" s="3" t="s">
        <x:v>135</x:v>
      </x:c>
      <x:c r="AJ624" s="3" t="s">
        <x:v>135</x:v>
      </x:c>
      <x:c r="AK624" s="3" t="n">
        <x:v>120</x:v>
      </x:c>
      <x:c r="AL624" s="3" t="n">
        <x:v>0</x:v>
      </x:c>
      <x:c r="AM624" s="8" t="n">
        <x:v>0.725</x:v>
      </x:c>
      <x:c r="AN624" s="3" t="n">
        <x:v>1</x:v>
      </x:c>
      <x:c r="AO624" s="3" t="s">
        <x:v>14</x:v>
      </x:c>
      <x:c r="AP624" s="3" t="s">
        <x:v>471</x:v>
      </x:c>
      <x:c r="AQ624" s="3" t="s">
        <x:v>546</x:v>
      </x:c>
      <x:c r="AR624" s="9" t="n">
        <x:v>797.3</x:v>
      </x:c>
      <x:c r="AS624" s="3" t="s">
        <x:v>121</x:v>
      </x:c>
      <x:c r="AT624" s="7" t="n">
        <x:v>46301.9166666667</x:v>
      </x:c>
    </x:row>
    <x:row r="625" ht="31.299999237060547" hidden="0">
      <x:c r="A625" s="3" t="s">
        <x:v>1178</x:v>
      </x:c>
      <x:c r="B625" s="3" t="s">
        <x:v>222</x:v>
      </x:c>
      <x:c r="C625" s="3" t="s">
        <x:v>223</x:v>
      </x:c>
      <x:c r="D625" s="3" t="s">
        <x:v>224</x:v>
      </x:c>
      <x:c r="E625" s="3" t="s">
        <x:v>249</x:v>
      </x:c>
      <x:c r="F625" s="3" t="s">
        <x:v>99</x:v>
      </x:c>
      <x:c r="G625" s="3" t="s">
        <x:v>342</x:v>
      </x:c>
      <x:c r="H625" s="3" t="s">
        <x:v>343</x:v>
      </x:c>
      <x:c r="I625" s="3" t="s">
        <x:v>102</x:v>
      </x:c>
      <x:c r="J625" s="3" t="s">
        <x:v>103</x:v>
      </x:c>
      <x:c r="K625" s="3" t="s">
        <x:v>104</x:v>
      </x:c>
      <x:c r="L625" s="3" t="s">
        <x:v>226</x:v>
      </x:c>
      <x:c r="M625" s="3" t="s">
        <x:v>227</x:v>
      </x:c>
      <x:c r="N625" s="3" t="s">
        <x:v>228</x:v>
      </x:c>
      <x:c r="O625" s="3" t="s">
        <x:v>229</x:v>
      </x:c>
      <x:c r="P625" s="3" t="s">
        <x:v>230</x:v>
      </x:c>
      <x:c r="Q625" s="3" t="s">
        <x:v>274</x:v>
      </x:c>
      <x:c r="R625" s="3" t="s">
        <x:v>344</x:v>
      </x:c>
      <x:c r="S625" s="3" t="s">
        <x:v>111</x:v>
      </x:c>
      <x:c r="T625" s="3" t="s">
        <x:v>111</x:v>
      </x:c>
      <x:c r="U625" s="3" t="s">
        <x:v>345</x:v>
      </x:c>
      <x:c r="V625" s="3" t="s">
        <x:v>178</x:v>
      </x:c>
      <x:c r="W625" s="3" t="s">
        <x:v>179</x:v>
      </x:c>
      <x:c r="X625" s="3" t="s">
        <x:v>180</x:v>
      </x:c>
      <x:c r="Y625" s="3" t="s">
        <x:v>414</x:v>
      </x:c>
      <x:c r="Z625" s="3" t="s">
        <x:v>346</x:v>
      </x:c>
      <x:c r="AA625" s="3" t="s">
        <x:v>118</x:v>
      </x:c>
      <x:c r="AB625" s="7" t="n">
        <x:v>46293.7145833333</x:v>
      </x:c>
      <x:c r="AC625" s="7" t="n">
        <x:v>46293.7180555556</x:v>
      </x:c>
      <x:c r="AD625" s="7" t="n">
        <x:v>46293.7229166667</x:v>
      </x:c>
      <x:c r="AE625" s="7" t="n">
        <x:v>46293.7284722222</x:v>
      </x:c>
      <x:c r="AF625" s="7" t="n">
        <x:v>46293.7777777778</x:v>
      </x:c>
      <x:c r="AG625" s="3" t="n">
        <x:v>20</x:v>
      </x:c>
      <x:c r="AH625" s="3" t="n">
        <x:v>67</x:v>
      </x:c>
      <x:c r="AI625" s="3" t="s">
        <x:v>135</x:v>
      </x:c>
      <x:c r="AJ625" s="3" t="s">
        <x:v>135</x:v>
      </x:c>
      <x:c r="AK625" s="3" t="n">
        <x:v>120</x:v>
      </x:c>
      <x:c r="AL625" s="3" t="n">
        <x:v>0</x:v>
      </x:c>
      <x:c r="AM625" s="8" t="n">
        <x:v>0.725</x:v>
      </x:c>
      <x:c r="AN625" s="3" t="n">
        <x:v>0</x:v>
      </x:c>
      <x:c r="AO625" s="3" t="s">
        <x:v>14</x:v>
      </x:c>
      <x:c r="AP625" s="3" t="s">
        <x:v>347</x:v>
      </x:c>
      <x:c r="AQ625" s="3" t="s">
        <x:v>370</x:v>
      </x:c>
      <x:c r="AR625" s="9" t="n">
        <x:v>832.4</x:v>
      </x:c>
      <x:c r="AS625" s="3" t="s">
        <x:v>185</x:v>
      </x:c>
      <x:c r="AT625" s="7" t="n">
        <x:v>46301.9166666667</x:v>
      </x:c>
    </x:row>
    <x:row r="626" ht="31.299999237060547" hidden="0">
      <x:c r="A626" s="3" t="s">
        <x:v>1179</x:v>
      </x:c>
      <x:c r="B626" s="3" t="s">
        <x:v>433</x:v>
      </x:c>
      <x:c r="C626" s="3" t="s">
        <x:v>434</x:v>
      </x:c>
      <x:c r="D626" s="3" t="s">
        <x:v>435</x:v>
      </x:c>
      <x:c r="E626" s="3" t="s">
        <x:v>249</x:v>
      </x:c>
      <x:c r="F626" s="3" t="s">
        <x:v>169</x:v>
      </x:c>
      <x:c r="G626" s="3" t="s">
        <x:v>324</x:v>
      </x:c>
      <x:c r="H626" s="3" t="s">
        <x:v>301</x:v>
      </x:c>
      <x:c r="I626" s="3" t="s">
        <x:v>302</x:v>
      </x:c>
      <x:c r="J626" s="3" t="s">
        <x:v>303</x:v>
      </x:c>
      <x:c r="K626" s="3" t="s">
        <x:v>104</x:v>
      </x:c>
      <x:c r="L626" s="3" t="s">
        <x:v>437</x:v>
      </x:c>
      <x:c r="M626" s="3" t="s">
        <x:v>106</x:v>
      </x:c>
      <x:c r="N626" s="3" t="s">
        <x:v>438</x:v>
      </x:c>
      <x:c r="O626" s="3" t="s">
        <x:v>439</x:v>
      </x:c>
      <x:c r="P626" s="3" t="s">
        <x:v>440</x:v>
      </x:c>
      <x:c r="Q626" s="3" t="s">
        <x:v>441</x:v>
      </x:c>
      <x:c r="R626" s="3" t="s">
        <x:v>330</x:v>
      </x:c>
      <x:c r="S626" s="3" t="s">
        <x:v>135</x:v>
      </x:c>
      <x:c r="T626" s="3" t="s">
        <x:v>111</x:v>
      </x:c>
      <x:c r="U626" s="3" t="s">
        <x:v>331</x:v>
      </x:c>
      <x:c r="V626" s="3" t="s">
        <x:v>178</x:v>
      </x:c>
      <x:c r="W626" s="3" t="s">
        <x:v>179</x:v>
      </x:c>
      <x:c r="X626" s="3" t="s">
        <x:v>180</x:v>
      </x:c>
      <x:c r="Y626" s="3" t="s">
        <x:v>414</x:v>
      </x:c>
      <x:c r="Z626" s="3" t="s">
        <x:v>334</x:v>
      </x:c>
      <x:c r="AA626" s="3" t="s">
        <x:v>118</x:v>
      </x:c>
      <x:c r="AB626" s="7" t="n">
        <x:v>46293.7534722222</x:v>
      </x:c>
      <x:c r="AC626" s="7" t="n">
        <x:v>46293.7548611111</x:v>
      </x:c>
      <x:c r="AD626" s="7" t="n">
        <x:v>46293.7590277778</x:v>
      </x:c>
      <x:c r="AE626" s="7" t="n">
        <x:v>46293.7805555556</x:v>
      </x:c>
      <x:c r="AF626" s="7" t="n">
        <x:v>46293.8013888889</x:v>
      </x:c>
      <x:c r="AG626" s="3" t="n">
        <x:v>39</x:v>
      </x:c>
      <x:c r="AH626" s="3" t="n">
        <x:v>25</x:v>
      </x:c>
      <x:c r="AI626" s="3" t="s">
        <x:v>135</x:v>
      </x:c>
      <x:c r="AJ626" s="3" t="s">
        <x:v>135</x:v>
      </x:c>
      <x:c r="AK626" s="3" t="n">
        <x:v>180</x:v>
      </x:c>
      <x:c r="AL626" s="3" t="n">
        <x:v>0</x:v>
      </x:c>
      <x:c r="AM626" s="8" t="n">
        <x:v>0.3556</x:v>
      </x:c>
      <x:c r="AN626" s="3" t="n">
        <x:v>1</x:v>
      </x:c>
      <x:c r="AO626" s="3" t="s">
        <x:v>9</x:v>
      </x:c>
      <x:c r="AP626" s="3" t="s">
        <x:v>500</x:v>
      </x:c>
      <x:c r="AQ626" s="3" t="s">
        <x:v>562</x:v>
      </x:c>
      <x:c r="AR626" s="9" t="n">
        <x:v>615.5</x:v>
      </x:c>
      <x:c r="AS626" s="3" t="s">
        <x:v>144</x:v>
      </x:c>
      <x:c r="AT626" s="7" t="n">
        <x:v>46301.9166666667</x:v>
      </x:c>
    </x:row>
    <x:row r="627" ht="31.299999237060547" hidden="0">
      <x:c r="A627" s="3" t="s">
        <x:v>1180</x:v>
      </x:c>
      <x:c r="B627" s="3" t="s">
        <x:v>166</x:v>
      </x:c>
      <x:c r="C627" s="3" t="s">
        <x:v>167</x:v>
      </x:c>
      <x:c r="D627" s="3" t="s">
        <x:v>168</x:v>
      </x:c>
      <x:c r="E627" s="3" t="s">
        <x:v>249</x:v>
      </x:c>
      <x:c r="F627" s="3" t="s">
        <x:v>127</x:v>
      </x:c>
      <x:c r="G627" s="3" t="s">
        <x:v>498</x:v>
      </x:c>
      <x:c r="H627" s="3" t="s">
        <x:v>101</x:v>
      </x:c>
      <x:c r="I627" s="3" t="s">
        <x:v>102</x:v>
      </x:c>
      <x:c r="J627" s="3" t="s">
        <x:v>103</x:v>
      </x:c>
      <x:c r="K627" s="3" t="s">
        <x:v>104</x:v>
      </x:c>
      <x:c r="L627" s="3" t="s">
        <x:v>171</x:v>
      </x:c>
      <x:c r="M627" s="3" t="s">
        <x:v>172</x:v>
      </x:c>
      <x:c r="N627" s="3" t="s">
        <x:v>173</x:v>
      </x:c>
      <x:c r="O627" s="3" t="s">
        <x:v>174</x:v>
      </x:c>
      <x:c r="P627" s="3" t="s">
        <x:v>175</x:v>
      </x:c>
      <x:c r="Q627" s="3" t="s">
        <x:v>271</x:v>
      </x:c>
      <x:c r="R627" s="3" t="s">
        <x:v>310</x:v>
      </x:c>
      <x:c r="S627" s="3" t="s">
        <x:v>135</x:v>
      </x:c>
      <x:c r="T627" s="3" t="s">
        <x:v>111</x:v>
      </x:c>
      <x:c r="U627" s="3" t="s">
        <x:v>311</x:v>
      </x:c>
      <x:c r="V627" s="3" t="s">
        <x:v>312</x:v>
      </x:c>
      <x:c r="W627" s="3" t="s">
        <x:v>351</x:v>
      </x:c>
      <x:c r="X627" s="3" t="s">
        <x:v>314</x:v>
      </x:c>
      <x:c r="Y627" s="3" t="s">
        <x:v>352</x:v>
      </x:c>
      <x:c r="Z627" s="3" t="s">
        <x:v>316</x:v>
      </x:c>
      <x:c r="AA627" s="3" t="s">
        <x:v>317</x:v>
      </x:c>
      <x:c r="AB627" s="7" t="n">
        <x:v>46293.8020833333</x:v>
      </x:c>
      <x:c r="AC627" s="7" t="n">
        <x:v>46293.8055555556</x:v>
      </x:c>
      <x:c r="AD627" s="7" t="n">
        <x:v>46293.8118055556</x:v>
      </x:c>
      <x:c r="AE627" s="7" t="n">
        <x:v>46293.83125</x:v>
      </x:c>
      <x:c r="AF627" s="7" t="n">
        <x:v>46293.8777777778</x:v>
      </x:c>
      <x:c r="AG627" s="3" t="n">
        <x:v>42</x:v>
      </x:c>
      <x:c r="AH627" s="3" t="n">
        <x:v>61</x:v>
      </x:c>
      <x:c r="AI627" s="3" t="s">
        <x:v>135</x:v>
      </x:c>
      <x:c r="AJ627" s="3" t="s">
        <x:v>135</x:v>
      </x:c>
      <x:c r="AK627" s="3" t="n">
        <x:v>150</x:v>
      </x:c>
      <x:c r="AL627" s="3" t="n">
        <x:v>0</x:v>
      </x:c>
      <x:c r="AM627" s="8" t="n">
        <x:v>0.6867</x:v>
      </x:c>
      <x:c r="AN627" s="3" t="n">
        <x:v>4</x:v>
      </x:c>
      <x:c r="AO627" s="3" t="s">
        <x:v>14</x:v>
      </x:c>
      <x:c r="AP627" s="3" t="s">
        <x:v>940</x:v>
      </x:c>
      <x:c r="AQ627" s="3" t="s">
        <x:v>1166</x:v>
      </x:c>
      <x:c r="AR627" s="9" t="n">
        <x:v>1518.2</x:v>
      </x:c>
      <x:c r="AS627" s="3" t="s">
        <x:v>185</x:v>
      </x:c>
      <x:c r="AT627" s="7" t="n">
        <x:v>46301.9166666667</x:v>
      </x:c>
    </x:row>
    <x:row r="628" ht="31.299999237060547" hidden="0">
      <x:c r="A628" s="3" t="s">
        <x:v>1181</x:v>
      </x:c>
      <x:c r="B628" s="3" t="s">
        <x:v>146</x:v>
      </x:c>
      <x:c r="C628" s="3" t="s">
        <x:v>147</x:v>
      </x:c>
      <x:c r="D628" s="3" t="s">
        <x:v>148</x:v>
      </x:c>
      <x:c r="E628" s="3" t="s">
        <x:v>249</x:v>
      </x:c>
      <x:c r="F628" s="3" t="s">
        <x:v>149</x:v>
      </x:c>
      <x:c r="G628" s="3" t="s">
        <x:v>354</x:v>
      </x:c>
      <x:c r="H628" s="3" t="s">
        <x:v>101</x:v>
      </x:c>
      <x:c r="I628" s="3" t="s">
        <x:v>102</x:v>
      </x:c>
      <x:c r="J628" s="3" t="s">
        <x:v>103</x:v>
      </x:c>
      <x:c r="K628" s="3" t="s">
        <x:v>104</x:v>
      </x:c>
      <x:c r="L628" s="3" t="s">
        <x:v>151</x:v>
      </x:c>
      <x:c r="M628" s="3" t="s">
        <x:v>152</x:v>
      </x:c>
      <x:c r="N628" s="3" t="s">
        <x:v>153</x:v>
      </x:c>
      <x:c r="O628" s="3" t="s">
        <x:v>154</x:v>
      </x:c>
      <x:c r="P628" s="3" t="s">
        <x:v>155</x:v>
      </x:c>
      <x:c r="Q628" s="3" t="s">
        <x:v>270</x:v>
      </x:c>
      <x:c r="R628" s="3" t="s">
        <x:v>176</x:v>
      </x:c>
      <x:c r="S628" s="3" t="s">
        <x:v>135</x:v>
      </x:c>
      <x:c r="T628" s="3" t="s">
        <x:v>135</x:v>
      </x:c>
      <x:c r="U628" s="3" t="s">
        <x:v>177</x:v>
      </x:c>
      <x:c r="V628" s="3" t="s">
        <x:v>178</x:v>
      </x:c>
      <x:c r="W628" s="3" t="s">
        <x:v>332</x:v>
      </x:c>
      <x:c r="X628" s="3" t="s">
        <x:v>180</x:v>
      </x:c>
      <x:c r="Y628" s="3" t="s">
        <x:v>333</x:v>
      </x:c>
      <x:c r="Z628" s="3" t="s">
        <x:v>182</x:v>
      </x:c>
      <x:c r="AA628" s="3" t="s">
        <x:v>118</x:v>
      </x:c>
      <x:c r="AB628" s="7" t="n">
        <x:v>46293.8159722222</x:v>
      </x:c>
      <x:c r="AC628" s="7" t="n">
        <x:v>46293.8180555556</x:v>
      </x:c>
      <x:c r="AD628" s="7" t="n">
        <x:v>46293.8222222222</x:v>
      </x:c>
      <x:c r="AE628" s="7" t="n">
        <x:v>46293.8472222222</x:v>
      </x:c>
      <x:c r="AF628" s="7" t="n">
        <x:v>46293.8583333333</x:v>
      </x:c>
      <x:c r="AG628" s="3" t="n">
        <x:v>45</x:v>
      </x:c>
      <x:c r="AH628" s="3" t="n">
        <x:v>12</x:v>
      </x:c>
      <x:c r="AI628" s="3" t="s">
        <x:v>135</x:v>
      </x:c>
      <x:c r="AJ628" s="3" t="s">
        <x:v>135</x:v>
      </x:c>
      <x:c r="AK628" s="3" t="n">
        <x:v>180</x:v>
      </x:c>
      <x:c r="AL628" s="3" t="n">
        <x:v>0</x:v>
      </x:c>
      <x:c r="AM628" s="8" t="n">
        <x:v>0.3167</x:v>
      </x:c>
      <x:c r="AN628" s="3" t="n">
        <x:v>2</x:v>
      </x:c>
      <x:c r="AO628" s="3" t="s">
        <x:v>14</x:v>
      </x:c>
      <x:c r="AP628" s="3" t="s">
        <x:v>573</x:v>
      </x:c>
      <x:c r="AQ628" s="3" t="s">
        <x:v>533</x:v>
      </x:c>
      <x:c r="AR628" s="9" t="n">
        <x:v>548.9</x:v>
      </x:c>
      <x:c r="AS628" s="3" t="s">
        <x:v>121</x:v>
      </x:c>
      <x:c r="AT628" s="7" t="n">
        <x:v>46301.9166666667</x:v>
      </x:c>
    </x:row>
    <x:row r="629" ht="31.299999237060547" hidden="0">
      <x:c r="A629" s="3" t="s">
        <x:v>1182</x:v>
      </x:c>
      <x:c r="B629" s="3" t="s">
        <x:v>433</x:v>
      </x:c>
      <x:c r="C629" s="3" t="s">
        <x:v>434</x:v>
      </x:c>
      <x:c r="D629" s="3" t="s">
        <x:v>435</x:v>
      </x:c>
      <x:c r="E629" s="3" t="s">
        <x:v>249</x:v>
      </x:c>
      <x:c r="F629" s="3" t="s">
        <x:v>169</x:v>
      </x:c>
      <x:c r="G629" s="3" t="s">
        <x:v>469</x:v>
      </x:c>
      <x:c r="H629" s="3" t="s">
        <x:v>301</x:v>
      </x:c>
      <x:c r="I629" s="3" t="s">
        <x:v>302</x:v>
      </x:c>
      <x:c r="J629" s="3" t="s">
        <x:v>303</x:v>
      </x:c>
      <x:c r="K629" s="3" t="s">
        <x:v>104</x:v>
      </x:c>
      <x:c r="L629" s="3" t="s">
        <x:v>437</x:v>
      </x:c>
      <x:c r="M629" s="3" t="s">
        <x:v>106</x:v>
      </x:c>
      <x:c r="N629" s="3" t="s">
        <x:v>438</x:v>
      </x:c>
      <x:c r="O629" s="3" t="s">
        <x:v>439</x:v>
      </x:c>
      <x:c r="P629" s="3" t="s">
        <x:v>440</x:v>
      </x:c>
      <x:c r="Q629" s="3" t="s">
        <x:v>441</x:v>
      </x:c>
      <x:c r="R629" s="3" t="s">
        <x:v>110</x:v>
      </x:c>
      <x:c r="S629" s="3" t="s">
        <x:v>111</x:v>
      </x:c>
      <x:c r="T629" s="3" t="s">
        <x:v>111</x:v>
      </x:c>
      <x:c r="U629" s="3" t="s">
        <x:v>112</x:v>
      </x:c>
      <x:c r="V629" s="3" t="s">
        <x:v>113</x:v>
      </x:c>
      <x:c r="W629" s="3" t="s">
        <x:v>419</x:v>
      </x:c>
      <x:c r="X629" s="3" t="s">
        <x:v>115</x:v>
      </x:c>
      <x:c r="Y629" s="3" t="s">
        <x:v>420</x:v>
      </x:c>
      <x:c r="Z629" s="3" t="s">
        <x:v>117</x:v>
      </x:c>
      <x:c r="AA629" s="3" t="s">
        <x:v>118</x:v>
      </x:c>
      <x:c r="AB629" s="7" t="n">
        <x:v>46293.8284722222</x:v>
      </x:c>
      <x:c r="AC629" s="7" t="n">
        <x:v>46293.83125</x:v>
      </x:c>
      <x:c r="AD629" s="7" t="n">
        <x:v>46293.8375</x:v>
      </x:c>
      <x:c r="AE629" s="7" t="n">
        <x:v>46293.8527777778</x:v>
      </x:c>
      <x:c r="AF629" s="7" t="n">
        <x:v>46293.8923611111</x:v>
      </x:c>
      <x:c r="AG629" s="3" t="n">
        <x:v>35</x:v>
      </x:c>
      <x:c r="AH629" s="3" t="n">
        <x:v>47</x:v>
      </x:c>
      <x:c r="AI629" s="3" t="s">
        <x:v>135</x:v>
      </x:c>
      <x:c r="AJ629" s="3" t="s">
        <x:v>135</x:v>
      </x:c>
      <x:c r="AK629" s="3" t="n">
        <x:v>120</x:v>
      </x:c>
      <x:c r="AL629" s="3" t="n">
        <x:v>0</x:v>
      </x:c>
      <x:c r="AM629" s="8" t="n">
        <x:v>0.6833</x:v>
      </x:c>
      <x:c r="AN629" s="3" t="n">
        <x:v>4</x:v>
      </x:c>
      <x:c r="AO629" s="3" t="s">
        <x:v>14</x:v>
      </x:c>
      <x:c r="AP629" s="3" t="s">
        <x:v>940</x:v>
      </x:c>
      <x:c r="AQ629" s="3" t="s">
        <x:v>938</x:v>
      </x:c>
      <x:c r="AR629" s="9" t="n">
        <x:v>1005.9</x:v>
      </x:c>
      <x:c r="AS629" s="3" t="s">
        <x:v>185</x:v>
      </x:c>
      <x:c r="AT629" s="7" t="n">
        <x:v>46301.9166666667</x:v>
      </x:c>
    </x:row>
    <x:row r="630" ht="31.299999237060547" hidden="0">
      <x:c r="A630" s="3" t="s">
        <x:v>1183</x:v>
      </x:c>
      <x:c r="B630" s="3" t="s">
        <x:v>433</x:v>
      </x:c>
      <x:c r="C630" s="3" t="s">
        <x:v>434</x:v>
      </x:c>
      <x:c r="D630" s="3" t="s">
        <x:v>435</x:v>
      </x:c>
      <x:c r="E630" s="3" t="s">
        <x:v>249</x:v>
      </x:c>
      <x:c r="F630" s="3" t="s">
        <x:v>99</x:v>
      </x:c>
      <x:c r="G630" s="3" t="s">
        <x:v>390</x:v>
      </x:c>
      <x:c r="H630" s="3" t="s">
        <x:v>301</x:v>
      </x:c>
      <x:c r="I630" s="3" t="s">
        <x:v>302</x:v>
      </x:c>
      <x:c r="J630" s="3" t="s">
        <x:v>303</x:v>
      </x:c>
      <x:c r="K630" s="3" t="s">
        <x:v>104</x:v>
      </x:c>
      <x:c r="L630" s="3" t="s">
        <x:v>437</x:v>
      </x:c>
      <x:c r="M630" s="3" t="s">
        <x:v>106</x:v>
      </x:c>
      <x:c r="N630" s="3" t="s">
        <x:v>438</x:v>
      </x:c>
      <x:c r="O630" s="3" t="s">
        <x:v>439</x:v>
      </x:c>
      <x:c r="P630" s="3" t="s">
        <x:v>440</x:v>
      </x:c>
      <x:c r="Q630" s="3" t="s">
        <x:v>441</x:v>
      </x:c>
      <x:c r="R630" s="3" t="s">
        <x:v>391</x:v>
      </x:c>
      <x:c r="S630" s="3" t="s">
        <x:v>135</x:v>
      </x:c>
      <x:c r="T630" s="3" t="s">
        <x:v>135</x:v>
      </x:c>
      <x:c r="U630" s="3" t="s">
        <x:v>392</x:v>
      </x:c>
      <x:c r="V630" s="3" t="s">
        <x:v>312</x:v>
      </x:c>
      <x:c r="W630" s="3" t="s">
        <x:v>382</x:v>
      </x:c>
      <x:c r="X630" s="3" t="s">
        <x:v>314</x:v>
      </x:c>
      <x:c r="Y630" s="3" t="s">
        <x:v>383</x:v>
      </x:c>
      <x:c r="Z630" s="3" t="s">
        <x:v>393</x:v>
      </x:c>
      <x:c r="AA630" s="3" t="s">
        <x:v>394</x:v>
      </x:c>
      <x:c r="AB630" s="7" t="n">
        <x:v>46294.3618055556</x:v>
      </x:c>
      <x:c r="AC630" s="7" t="n">
        <x:v>46294.3652777778</x:v>
      </x:c>
      <x:c r="AD630" s="7" t="n">
        <x:v>46294.3680555556</x:v>
      </x:c>
      <x:c r="AE630" s="7" t="n">
        <x:v>46294.3888888889</x:v>
      </x:c>
      <x:c r="AF630" s="7" t="n">
        <x:v>46294.4270833333</x:v>
      </x:c>
      <x:c r="AG630" s="3" t="n">
        <x:v>39</x:v>
      </x:c>
      <x:c r="AH630" s="3" t="n">
        <x:v>50</x:v>
      </x:c>
      <x:c r="AI630" s="3" t="s">
        <x:v>135</x:v>
      </x:c>
      <x:c r="AJ630" s="3" t="s">
        <x:v>135</x:v>
      </x:c>
      <x:c r="AK630" s="3" t="n">
        <x:v>180</x:v>
      </x:c>
      <x:c r="AL630" s="3" t="n">
        <x:v>0</x:v>
      </x:c>
      <x:c r="AM630" s="8" t="n">
        <x:v>0.4944</x:v>
      </x:c>
      <x:c r="AN630" s="3" t="n">
        <x:v>8</x:v>
      </x:c>
      <x:c r="AO630" s="3" t="s">
        <x:v>14</x:v>
      </x:c>
      <x:c r="AP630" s="3" t="s">
        <x:v>1184</x:v>
      </x:c>
      <x:c r="AQ630" s="3" t="s">
        <x:v>820</x:v>
      </x:c>
      <x:c r="AR630" s="9" t="n">
        <x:v>1045.5</x:v>
      </x:c>
      <x:c r="AS630" s="3" t="s">
        <x:v>185</x:v>
      </x:c>
      <x:c r="AT630" s="7" t="n">
        <x:v>46301.9166666667</x:v>
      </x:c>
    </x:row>
    <x:row r="631" ht="31.299999237060547" hidden="0">
      <x:c r="A631" s="3" t="s">
        <x:v>1185</x:v>
      </x:c>
      <x:c r="B631" s="3" t="s">
        <x:v>321</x:v>
      </x:c>
      <x:c r="C631" s="3" t="s">
        <x:v>322</x:v>
      </x:c>
      <x:c r="D631" s="3" t="s">
        <x:v>323</x:v>
      </x:c>
      <x:c r="E631" s="3" t="s">
        <x:v>249</x:v>
      </x:c>
      <x:c r="F631" s="3" t="s">
        <x:v>149</x:v>
      </x:c>
      <x:c r="G631" s="3" t="s">
        <x:v>390</x:v>
      </x:c>
      <x:c r="H631" s="3" t="s">
        <x:v>301</x:v>
      </x:c>
      <x:c r="I631" s="3" t="s">
        <x:v>302</x:v>
      </x:c>
      <x:c r="J631" s="3" t="s">
        <x:v>303</x:v>
      </x:c>
      <x:c r="K631" s="3" t="s">
        <x:v>104</x:v>
      </x:c>
      <x:c r="L631" s="3" t="s">
        <x:v>325</x:v>
      </x:c>
      <x:c r="M631" s="3" t="s">
        <x:v>326</x:v>
      </x:c>
      <x:c r="N631" s="3" t="s">
        <x:v>131</x:v>
      </x:c>
      <x:c r="O631" s="3" t="s">
        <x:v>327</x:v>
      </x:c>
      <x:c r="P631" s="3" t="s">
        <x:v>328</x:v>
      </x:c>
      <x:c r="Q631" s="3" t="s">
        <x:v>329</x:v>
      </x:c>
      <x:c r="R631" s="3" t="s">
        <x:v>391</x:v>
      </x:c>
      <x:c r="S631" s="3" t="s">
        <x:v>135</x:v>
      </x:c>
      <x:c r="T631" s="3" t="s">
        <x:v>135</x:v>
      </x:c>
      <x:c r="U631" s="3" t="s">
        <x:v>392</x:v>
      </x:c>
      <x:c r="V631" s="3" t="s">
        <x:v>312</x:v>
      </x:c>
      <x:c r="W631" s="3" t="s">
        <x:v>351</x:v>
      </x:c>
      <x:c r="X631" s="3" t="s">
        <x:v>314</x:v>
      </x:c>
      <x:c r="Y631" s="3" t="s">
        <x:v>352</x:v>
      </x:c>
      <x:c r="Z631" s="3" t="s">
        <x:v>393</x:v>
      </x:c>
      <x:c r="AA631" s="3" t="s">
        <x:v>394</x:v>
      </x:c>
      <x:c r="AB631" s="7" t="n">
        <x:v>46294.3993055556</x:v>
      </x:c>
      <x:c r="AC631" s="7" t="n">
        <x:v>46294.4006944444</x:v>
      </x:c>
      <x:c r="AD631" s="7" t="n">
        <x:v>46294.4020833333</x:v>
      </x:c>
      <x:c r="AE631" s="7" t="n">
        <x:v>46294.4236111111</x:v>
      </x:c>
      <x:c r="AF631" s="7" t="n">
        <x:v>46294.4805555556</x:v>
      </x:c>
      <x:c r="AG631" s="3" t="n">
        <x:v>35</x:v>
      </x:c>
      <x:c r="AH631" s="3" t="n">
        <x:v>76</x:v>
      </x:c>
      <x:c r="AI631" s="3" t="s">
        <x:v>135</x:v>
      </x:c>
      <x:c r="AJ631" s="3" t="s">
        <x:v>111</x:v>
      </x:c>
      <x:c r="AK631" s="3" t="n">
        <x:v>180</x:v>
      </x:c>
      <x:c r="AL631" s="3" t="n">
        <x:v>0</x:v>
      </x:c>
      <x:c r="AM631" s="8" t="n">
        <x:v>0.6167</x:v>
      </x:c>
      <x:c r="AN631" s="3" t="n">
        <x:v>2</x:v>
      </x:c>
      <x:c r="AO631" s="3" t="s">
        <x:v>14</x:v>
      </x:c>
      <x:c r="AP631" s="3" t="s">
        <x:v>605</x:v>
      </x:c>
      <x:c r="AQ631" s="3" t="s">
        <x:v>516</x:v>
      </x:c>
      <x:c r="AR631" s="9" t="n">
        <x:v>964.7</x:v>
      </x:c>
      <x:c r="AS631" s="3" t="s">
        <x:v>121</x:v>
      </x:c>
      <x:c r="AT631" s="7" t="n">
        <x:v>46301.9166666667</x:v>
      </x:c>
    </x:row>
    <x:row r="632" ht="31.299999237060547" hidden="0">
      <x:c r="A632" s="3" t="s">
        <x:v>1186</x:v>
      </x:c>
      <x:c r="B632" s="3" t="s">
        <x:v>397</x:v>
      </x:c>
      <x:c r="C632" s="3" t="s">
        <x:v>398</x:v>
      </x:c>
      <x:c r="D632" s="3" t="s">
        <x:v>399</x:v>
      </x:c>
      <x:c r="E632" s="3" t="s">
        <x:v>249</x:v>
      </x:c>
      <x:c r="F632" s="3" t="s">
        <x:v>169</x:v>
      </x:c>
      <x:c r="G632" s="3" t="s">
        <x:v>469</x:v>
      </x:c>
      <x:c r="H632" s="3" t="s">
        <x:v>301</x:v>
      </x:c>
      <x:c r="I632" s="3" t="s">
        <x:v>302</x:v>
      </x:c>
      <x:c r="J632" s="3" t="s">
        <x:v>303</x:v>
      </x:c>
      <x:c r="K632" s="3" t="s">
        <x:v>104</x:v>
      </x:c>
      <x:c r="L632" s="3" t="s">
        <x:v>401</x:v>
      </x:c>
      <x:c r="M632" s="3" t="s">
        <x:v>402</x:v>
      </x:c>
      <x:c r="N632" s="3" t="s">
        <x:v>403</x:v>
      </x:c>
      <x:c r="O632" s="3" t="s">
        <x:v>404</x:v>
      </x:c>
      <x:c r="P632" s="3" t="s">
        <x:v>405</x:v>
      </x:c>
      <x:c r="Q632" s="3" t="s">
        <x:v>406</x:v>
      </x:c>
      <x:c r="R632" s="3" t="s">
        <x:v>110</x:v>
      </x:c>
      <x:c r="S632" s="3" t="s">
        <x:v>111</x:v>
      </x:c>
      <x:c r="T632" s="3" t="s">
        <x:v>111</x:v>
      </x:c>
      <x:c r="U632" s="3" t="s">
        <x:v>112</x:v>
      </x:c>
      <x:c r="V632" s="3" t="s">
        <x:v>113</x:v>
      </x:c>
      <x:c r="W632" s="3" t="s">
        <x:v>114</x:v>
      </x:c>
      <x:c r="X632" s="3" t="s">
        <x:v>115</x:v>
      </x:c>
      <x:c r="Y632" s="3" t="s">
        <x:v>116</x:v>
      </x:c>
      <x:c r="Z632" s="3" t="s">
        <x:v>117</x:v>
      </x:c>
      <x:c r="AA632" s="3" t="s">
        <x:v>118</x:v>
      </x:c>
      <x:c r="AB632" s="7" t="n">
        <x:v>46294.4611111111</x:v>
      </x:c>
      <x:c r="AC632" s="7" t="n">
        <x:v>46294.4652777778</x:v>
      </x:c>
      <x:c r="AD632" s="7" t="n">
        <x:v>46294.4673611111</x:v>
      </x:c>
      <x:c r="AE632" s="7" t="n">
        <x:v>46294.4763888889</x:v>
      </x:c>
      <x:c r="AF632" s="7" t="n">
        <x:v>46294.4895833333</x:v>
      </x:c>
      <x:c r="AG632" s="3" t="n">
        <x:v>22</x:v>
      </x:c>
      <x:c r="AH632" s="3" t="n">
        <x:v>13</x:v>
      </x:c>
      <x:c r="AI632" s="3" t="s">
        <x:v>135</x:v>
      </x:c>
      <x:c r="AJ632" s="3" t="s">
        <x:v>135</x:v>
      </x:c>
      <x:c r="AK632" s="3" t="n">
        <x:v>120</x:v>
      </x:c>
      <x:c r="AL632" s="3" t="n">
        <x:v>0</x:v>
      </x:c>
      <x:c r="AM632" s="8" t="n">
        <x:v>0.2917</x:v>
      </x:c>
      <x:c r="AN632" s="3" t="n">
        <x:v>3</x:v>
      </x:c>
      <x:c r="AO632" s="3" t="s">
        <x:v>14</x:v>
      </x:c>
      <x:c r="AP632" s="3" t="s">
        <x:v>183</x:v>
      </x:c>
      <x:c r="AQ632" s="3" t="s">
        <x:v>872</x:v>
      </x:c>
      <x:c r="AR632" s="9" t="n">
        <x:v>702.6</x:v>
      </x:c>
      <x:c r="AS632" s="3" t="s">
        <x:v>185</x:v>
      </x:c>
      <x:c r="AT632" s="7" t="n">
        <x:v>46301.9166666667</x:v>
      </x:c>
    </x:row>
    <x:row r="633" ht="31.299999237060547" hidden="0">
      <x:c r="A633" s="3" t="s">
        <x:v>1187</x:v>
      </x:c>
      <x:c r="B633" s="3" t="s">
        <x:v>146</x:v>
      </x:c>
      <x:c r="C633" s="3" t="s">
        <x:v>147</x:v>
      </x:c>
      <x:c r="D633" s="3" t="s">
        <x:v>148</x:v>
      </x:c>
      <x:c r="E633" s="3" t="s">
        <x:v>249</x:v>
      </x:c>
      <x:c r="F633" s="3" t="s">
        <x:v>127</x:v>
      </x:c>
      <x:c r="G633" s="3" t="s">
        <x:v>484</x:v>
      </x:c>
      <x:c r="H633" s="3" t="s">
        <x:v>101</x:v>
      </x:c>
      <x:c r="I633" s="3" t="s">
        <x:v>102</x:v>
      </x:c>
      <x:c r="J633" s="3" t="s">
        <x:v>103</x:v>
      </x:c>
      <x:c r="K633" s="3" t="s">
        <x:v>104</x:v>
      </x:c>
      <x:c r="L633" s="3" t="s">
        <x:v>151</x:v>
      </x:c>
      <x:c r="M633" s="3" t="s">
        <x:v>152</x:v>
      </x:c>
      <x:c r="N633" s="3" t="s">
        <x:v>153</x:v>
      </x:c>
      <x:c r="O633" s="3" t="s">
        <x:v>154</x:v>
      </x:c>
      <x:c r="P633" s="3" t="s">
        <x:v>155</x:v>
      </x:c>
      <x:c r="Q633" s="3" t="s">
        <x:v>270</x:v>
      </x:c>
      <x:c r="R633" s="3" t="s">
        <x:v>156</x:v>
      </x:c>
      <x:c r="S633" s="3" t="s">
        <x:v>135</x:v>
      </x:c>
      <x:c r="T633" s="3" t="s">
        <x:v>111</x:v>
      </x:c>
      <x:c r="U633" s="3" t="s">
        <x:v>157</x:v>
      </x:c>
      <x:c r="V633" s="3" t="s">
        <x:v>158</x:v>
      </x:c>
      <x:c r="W633" s="3" t="s">
        <x:v>450</x:v>
      </x:c>
      <x:c r="X633" s="3" t="s">
        <x:v>160</x:v>
      </x:c>
      <x:c r="Y633" s="3" t="s">
        <x:v>451</x:v>
      </x:c>
      <x:c r="Z633" s="3" t="s">
        <x:v>162</x:v>
      </x:c>
      <x:c r="AA633" s="3" t="s">
        <x:v>118</x:v>
      </x:c>
      <x:c r="AB633" s="7" t="n">
        <x:v>46294.4819444444</x:v>
      </x:c>
      <x:c r="AC633" s="7" t="n">
        <x:v>46294.4833333333</x:v>
      </x:c>
      <x:c r="AD633" s="7" t="n">
        <x:v>46294.4861111111</x:v>
      </x:c>
      <x:c r="AE633" s="7" t="n">
        <x:v>46294.49375</x:v>
      </x:c>
      <x:c r="AF633" s="7" t="n">
        <x:v>46294.5340277778</x:v>
      </x:c>
      <x:c r="AG633" s="3" t="n">
        <x:v>17</x:v>
      </x:c>
      <x:c r="AH633" s="3" t="n">
        <x:v>53</x:v>
      </x:c>
      <x:c r="AI633" s="3" t="s">
        <x:v>135</x:v>
      </x:c>
      <x:c r="AJ633" s="3" t="s">
        <x:v>135</x:v>
      </x:c>
      <x:c r="AK633" s="3" t="n">
        <x:v>180</x:v>
      </x:c>
      <x:c r="AL633" s="3" t="n">
        <x:v>0</x:v>
      </x:c>
      <x:c r="AM633" s="8" t="n">
        <x:v>0.3889</x:v>
      </x:c>
      <x:c r="AN633" s="3" t="n">
        <x:v>0</x:v>
      </x:c>
      <x:c r="AO633" s="3" t="s">
        <x:v>9</x:v>
      </x:c>
      <x:c r="AP633" s="3" t="s">
        <x:v>142</x:v>
      </x:c>
      <x:c r="AQ633" s="3" t="s">
        <x:v>459</x:v>
      </x:c>
      <x:c r="AR633" s="9" t="n">
        <x:v>718.1</x:v>
      </x:c>
      <x:c r="AS633" s="3" t="s">
        <x:v>121</x:v>
      </x:c>
      <x:c r="AT633" s="7" t="n">
        <x:v>46301.9166666667</x:v>
      </x:c>
    </x:row>
    <x:row r="634" ht="31.299999237060547" hidden="0">
      <x:c r="A634" s="3" t="s">
        <x:v>1188</x:v>
      </x:c>
      <x:c r="B634" s="3" t="s">
        <x:v>123</x:v>
      </x:c>
      <x:c r="C634" s="3" t="s">
        <x:v>124</x:v>
      </x:c>
      <x:c r="D634" s="3" t="s">
        <x:v>125</x:v>
      </x:c>
      <x:c r="E634" s="3" t="s">
        <x:v>249</x:v>
      </x:c>
      <x:c r="F634" s="3" t="s">
        <x:v>149</x:v>
      </x:c>
      <x:c r="G634" s="3" t="s">
        <x:v>416</x:v>
      </x:c>
      <x:c r="H634" s="3" t="s">
        <x:v>339</x:v>
      </x:c>
      <x:c r="I634" s="3" t="s">
        <x:v>102</x:v>
      </x:c>
      <x:c r="J634" s="3" t="s">
        <x:v>103</x:v>
      </x:c>
      <x:c r="K634" s="3" t="s">
        <x:v>104</x:v>
      </x:c>
      <x:c r="L634" s="3" t="s">
        <x:v>129</x:v>
      </x:c>
      <x:c r="M634" s="3" t="s">
        <x:v>130</x:v>
      </x:c>
      <x:c r="N634" s="3" t="s">
        <x:v>131</x:v>
      </x:c>
      <x:c r="O634" s="3" t="s">
        <x:v>132</x:v>
      </x:c>
      <x:c r="P634" s="3" t="s">
        <x:v>133</x:v>
      </x:c>
      <x:c r="Q634" s="3" t="s">
        <x:v>268</x:v>
      </x:c>
      <x:c r="R634" s="3" t="s">
        <x:v>373</x:v>
      </x:c>
      <x:c r="S634" s="3" t="s">
        <x:v>135</x:v>
      </x:c>
      <x:c r="T634" s="3" t="s">
        <x:v>111</x:v>
      </x:c>
      <x:c r="U634" s="3" t="s">
        <x:v>374</x:v>
      </x:c>
      <x:c r="V634" s="3" t="s">
        <x:v>178</x:v>
      </x:c>
      <x:c r="W634" s="3" t="s">
        <x:v>332</x:v>
      </x:c>
      <x:c r="X634" s="3" t="s">
        <x:v>180</x:v>
      </x:c>
      <x:c r="Y634" s="3" t="s">
        <x:v>333</x:v>
      </x:c>
      <x:c r="Z634" s="3" t="s">
        <x:v>375</x:v>
      </x:c>
      <x:c r="AA634" s="3" t="s">
        <x:v>118</x:v>
      </x:c>
      <x:c r="AB634" s="7" t="n">
        <x:v>46294.5326388889</x:v>
      </x:c>
      <x:c r="AC634" s="7" t="n">
        <x:v>46294.5354166667</x:v>
      </x:c>
      <x:c r="AD634" s="7" t="n">
        <x:v>46294.5375</x:v>
      </x:c>
      <x:c r="AE634" s="7" t="n">
        <x:v>46294.5597222222</x:v>
      </x:c>
      <x:c r="AF634" s="7" t="n">
        <x:v>46294.5756944444</x:v>
      </x:c>
      <x:c r="AG634" s="3" t="n">
        <x:v>39</x:v>
      </x:c>
      <x:c r="AH634" s="3" t="n">
        <x:v>20</x:v>
      </x:c>
      <x:c r="AI634" s="3" t="s">
        <x:v>135</x:v>
      </x:c>
      <x:c r="AJ634" s="3" t="s">
        <x:v>135</x:v>
      </x:c>
      <x:c r="AK634" s="3" t="n">
        <x:v>180</x:v>
      </x:c>
      <x:c r="AL634" s="3" t="n">
        <x:v>0</x:v>
      </x:c>
      <x:c r="AM634" s="8" t="n">
        <x:v>0.3278</x:v>
      </x:c>
      <x:c r="AN634" s="3" t="n">
        <x:v>1</x:v>
      </x:c>
      <x:c r="AO634" s="3" t="s">
        <x:v>9</x:v>
      </x:c>
      <x:c r="AP634" s="3" t="s">
        <x:v>500</x:v>
      </x:c>
      <x:c r="AQ634" s="3" t="s">
        <x:v>472</x:v>
      </x:c>
      <x:c r="AR634" s="9" t="n">
        <x:v>579.5</x:v>
      </x:c>
      <x:c r="AS634" s="3" t="s">
        <x:v>144</x:v>
      </x:c>
      <x:c r="AT634" s="7" t="n">
        <x:v>46301.9166666667</x:v>
      </x:c>
    </x:row>
    <x:row r="635" ht="31.299999237060547" hidden="0">
      <x:c r="A635" s="3" t="s">
        <x:v>1189</x:v>
      </x:c>
      <x:c r="B635" s="3" t="s">
        <x:v>397</x:v>
      </x:c>
      <x:c r="C635" s="3" t="s">
        <x:v>398</x:v>
      </x:c>
      <x:c r="D635" s="3" t="s">
        <x:v>399</x:v>
      </x:c>
      <x:c r="E635" s="3" t="s">
        <x:v>249</x:v>
      </x:c>
      <x:c r="F635" s="3" t="s">
        <x:v>149</x:v>
      </x:c>
      <x:c r="G635" s="3" t="s">
        <x:v>425</x:v>
      </x:c>
      <x:c r="H635" s="3" t="s">
        <x:v>301</x:v>
      </x:c>
      <x:c r="I635" s="3" t="s">
        <x:v>302</x:v>
      </x:c>
      <x:c r="J635" s="3" t="s">
        <x:v>303</x:v>
      </x:c>
      <x:c r="K635" s="3" t="s">
        <x:v>104</x:v>
      </x:c>
      <x:c r="L635" s="3" t="s">
        <x:v>401</x:v>
      </x:c>
      <x:c r="M635" s="3" t="s">
        <x:v>402</x:v>
      </x:c>
      <x:c r="N635" s="3" t="s">
        <x:v>403</x:v>
      </x:c>
      <x:c r="O635" s="3" t="s">
        <x:v>404</x:v>
      </x:c>
      <x:c r="P635" s="3" t="s">
        <x:v>405</x:v>
      </x:c>
      <x:c r="Q635" s="3" t="s">
        <x:v>406</x:v>
      </x:c>
      <x:c r="R635" s="3" t="s">
        <x:v>134</x:v>
      </x:c>
      <x:c r="S635" s="3" t="s">
        <x:v>135</x:v>
      </x:c>
      <x:c r="T635" s="3" t="s">
        <x:v>111</x:v>
      </x:c>
      <x:c r="U635" s="3" t="s">
        <x:v>136</x:v>
      </x:c>
      <x:c r="V635" s="3" t="s">
        <x:v>137</x:v>
      </x:c>
      <x:c r="W635" s="3" t="s">
        <x:v>138</x:v>
      </x:c>
      <x:c r="X635" s="3" t="s">
        <x:v>139</x:v>
      </x:c>
      <x:c r="Y635" s="3" t="s">
        <x:v>454</x:v>
      </x:c>
      <x:c r="Z635" s="3" t="s">
        <x:v>141</x:v>
      </x:c>
      <x:c r="AA635" s="3" t="s">
        <x:v>118</x:v>
      </x:c>
      <x:c r="AB635" s="7" t="n">
        <x:v>46294.5902777778</x:v>
      </x:c>
      <x:c r="AC635" s="7" t="n">
        <x:v>46294.5944444445</x:v>
      </x:c>
      <x:c r="AD635" s="7" t="n">
        <x:v>46294.5993055556</x:v>
      </x:c>
      <x:c r="AE635" s="7" t="n">
        <x:v>46294.625</x:v>
      </x:c>
      <x:c r="AF635" s="7" t="n">
        <x:v>46294.6541666667</x:v>
      </x:c>
      <x:c r="AG635" s="3" t="n">
        <x:v>50</x:v>
      </x:c>
      <x:c r="AH635" s="3" t="n">
        <x:v>34</x:v>
      </x:c>
      <x:c r="AI635" s="3" t="s">
        <x:v>135</x:v>
      </x:c>
      <x:c r="AJ635" s="3" t="s">
        <x:v>135</x:v>
      </x:c>
      <x:c r="AK635" s="3" t="n">
        <x:v>180</x:v>
      </x:c>
      <x:c r="AL635" s="3" t="n">
        <x:v>0</x:v>
      </x:c>
      <x:c r="AM635" s="8" t="n">
        <x:v>0.4667</x:v>
      </x:c>
      <x:c r="AN635" s="3" t="n">
        <x:v>2</x:v>
      </x:c>
      <x:c r="AO635" s="3" t="s">
        <x:v>14</x:v>
      </x:c>
      <x:c r="AP635" s="3" t="s">
        <x:v>573</x:v>
      </x:c>
      <x:c r="AQ635" s="3" t="s">
        <x:v>539</x:v>
      </x:c>
      <x:c r="AR635" s="9" t="n">
        <x:v>729.8</x:v>
      </x:c>
      <x:c r="AS635" s="3" t="s">
        <x:v>121</x:v>
      </x:c>
      <x:c r="AT635" s="7" t="n">
        <x:v>46301.9166666667</x:v>
      </x:c>
    </x:row>
    <x:row r="636" ht="31.299999237060547" hidden="0">
      <x:c r="A636" s="3" t="s">
        <x:v>1190</x:v>
      </x:c>
      <x:c r="B636" s="3" t="s">
        <x:v>233</x:v>
      </x:c>
      <x:c r="C636" s="3" t="s">
        <x:v>234</x:v>
      </x:c>
      <x:c r="D636" s="3" t="s">
        <x:v>235</x:v>
      </x:c>
      <x:c r="E636" s="3" t="s">
        <x:v>249</x:v>
      </x:c>
      <x:c r="F636" s="3" t="s">
        <x:v>127</x:v>
      </x:c>
      <x:c r="G636" s="3" t="s">
        <x:v>428</x:v>
      </x:c>
      <x:c r="H636" s="3" t="s">
        <x:v>339</x:v>
      </x:c>
      <x:c r="I636" s="3" t="s">
        <x:v>102</x:v>
      </x:c>
      <x:c r="J636" s="3" t="s">
        <x:v>103</x:v>
      </x:c>
      <x:c r="K636" s="3" t="s">
        <x:v>104</x:v>
      </x:c>
      <x:c r="L636" s="3" t="s">
        <x:v>237</x:v>
      </x:c>
      <x:c r="M636" s="3" t="s">
        <x:v>172</x:v>
      </x:c>
      <x:c r="N636" s="3" t="s">
        <x:v>238</x:v>
      </x:c>
      <x:c r="O636" s="3" t="s">
        <x:v>239</x:v>
      </x:c>
      <x:c r="P636" s="3" t="s">
        <x:v>240</x:v>
      </x:c>
      <x:c r="Q636" s="3" t="s">
        <x:v>276</x:v>
      </x:c>
      <x:c r="R636" s="3" t="s">
        <x:v>214</x:v>
      </x:c>
      <x:c r="S636" s="3" t="s">
        <x:v>135</x:v>
      </x:c>
      <x:c r="T636" s="3" t="s">
        <x:v>111</x:v>
      </x:c>
      <x:c r="U636" s="3" t="s">
        <x:v>215</x:v>
      </x:c>
      <x:c r="V636" s="3" t="s">
        <x:v>216</x:v>
      </x:c>
      <x:c r="W636" s="3" t="s">
        <x:v>429</x:v>
      </x:c>
      <x:c r="X636" s="3" t="s">
        <x:v>430</x:v>
      </x:c>
      <x:c r="Y636" s="3" t="s">
        <x:v>431</x:v>
      </x:c>
      <x:c r="Z636" s="3" t="s">
        <x:v>219</x:v>
      </x:c>
      <x:c r="AA636" s="3" t="s">
        <x:v>118</x:v>
      </x:c>
      <x:c r="AB636" s="7" t="n">
        <x:v>46294.6236111111</x:v>
      </x:c>
      <x:c r="AC636" s="7" t="n">
        <x:v>46294.6284722222</x:v>
      </x:c>
      <x:c r="AD636" s="7" t="n">
        <x:v>46294.6333333333</x:v>
      </x:c>
      <x:c r="AE636" s="7" t="n">
        <x:v>46294.6611111111</x:v>
      </x:c>
      <x:c r="AF636" s="7" t="n">
        <x:v>46294.6854166667</x:v>
      </x:c>
      <x:c r="AG636" s="3" t="n">
        <x:v>54</x:v>
      </x:c>
      <x:c r="AH636" s="3" t="n">
        <x:v>25</x:v>
      </x:c>
      <x:c r="AI636" s="3" t="s">
        <x:v>135</x:v>
      </x:c>
      <x:c r="AJ636" s="3" t="s">
        <x:v>111</x:v>
      </x:c>
      <x:c r="AK636" s="3" t="n">
        <x:v>150</x:v>
      </x:c>
      <x:c r="AL636" s="3" t="n">
        <x:v>0</x:v>
      </x:c>
      <x:c r="AM636" s="8" t="n">
        <x:v>0.5267</x:v>
      </x:c>
      <x:c r="AN636" s="3" t="n">
        <x:v>1</x:v>
      </x:c>
      <x:c r="AO636" s="3" t="s">
        <x:v>9</x:v>
      </x:c>
      <x:c r="AP636" s="3" t="s">
        <x:v>584</x:v>
      </x:c>
      <x:c r="AQ636" s="3" t="s">
        <x:v>501</x:v>
      </x:c>
      <x:c r="AR636" s="9" t="n">
        <x:v>683</x:v>
      </x:c>
      <x:c r="AS636" s="3" t="s">
        <x:v>144</x:v>
      </x:c>
      <x:c r="AT636" s="7" t="n">
        <x:v>46301.9166666667</x:v>
      </x:c>
    </x:row>
    <x:row r="637" ht="31.299999237060547" hidden="0">
      <x:c r="A637" s="3" t="s">
        <x:v>1191</x:v>
      </x:c>
      <x:c r="B637" s="3" t="s">
        <x:v>433</x:v>
      </x:c>
      <x:c r="C637" s="3" t="s">
        <x:v>434</x:v>
      </x:c>
      <x:c r="D637" s="3" t="s">
        <x:v>435</x:v>
      </x:c>
      <x:c r="E637" s="3" t="s">
        <x:v>249</x:v>
      </x:c>
      <x:c r="F637" s="3" t="s">
        <x:v>127</x:v>
      </x:c>
      <x:c r="G637" s="3" t="s">
        <x:v>614</x:v>
      </x:c>
      <x:c r="H637" s="3" t="s">
        <x:v>301</x:v>
      </x:c>
      <x:c r="I637" s="3" t="s">
        <x:v>302</x:v>
      </x:c>
      <x:c r="J637" s="3" t="s">
        <x:v>303</x:v>
      </x:c>
      <x:c r="K637" s="3" t="s">
        <x:v>104</x:v>
      </x:c>
      <x:c r="L637" s="3" t="s">
        <x:v>437</x:v>
      </x:c>
      <x:c r="M637" s="3" t="s">
        <x:v>106</x:v>
      </x:c>
      <x:c r="N637" s="3" t="s">
        <x:v>438</x:v>
      </x:c>
      <x:c r="O637" s="3" t="s">
        <x:v>439</x:v>
      </x:c>
      <x:c r="P637" s="3" t="s">
        <x:v>440</x:v>
      </x:c>
      <x:c r="Q637" s="3" t="s">
        <x:v>441</x:v>
      </x:c>
      <x:c r="R637" s="3" t="s">
        <x:v>196</x:v>
      </x:c>
      <x:c r="S637" s="3" t="s">
        <x:v>111</x:v>
      </x:c>
      <x:c r="T637" s="3" t="s">
        <x:v>111</x:v>
      </x:c>
      <x:c r="U637" s="3" t="s">
        <x:v>197</x:v>
      </x:c>
      <x:c r="V637" s="3" t="s">
        <x:v>198</x:v>
      </x:c>
      <x:c r="W637" s="3" t="s">
        <x:v>365</x:v>
      </x:c>
      <x:c r="X637" s="3" t="s">
        <x:v>366</x:v>
      </x:c>
      <x:c r="Y637" s="3" t="s">
        <x:v>367</x:v>
      </x:c>
      <x:c r="Z637" s="3" t="s">
        <x:v>201</x:v>
      </x:c>
      <x:c r="AA637" s="3" t="s">
        <x:v>368</x:v>
      </x:c>
      <x:c r="AB637" s="7" t="n">
        <x:v>46294.6354166667</x:v>
      </x:c>
      <x:c r="AC637" s="7" t="n">
        <x:v>46294.6402777778</x:v>
      </x:c>
      <x:c r="AD637" s="7" t="n">
        <x:v>46294.6458333333</x:v>
      </x:c>
      <x:c r="AE637" s="7" t="n">
        <x:v>46294.6548611111</x:v>
      </x:c>
      <x:c r="AF637" s="7" t="n">
        <x:v>46294.6986111111</x:v>
      </x:c>
      <x:c r="AG637" s="3" t="n">
        <x:v>28</x:v>
      </x:c>
      <x:c r="AH637" s="3" t="n">
        <x:v>56</x:v>
      </x:c>
      <x:c r="AI637" s="3" t="s">
        <x:v>135</x:v>
      </x:c>
      <x:c r="AJ637" s="3" t="s">
        <x:v>135</x:v>
      </x:c>
      <x:c r="AK637" s="3" t="n">
        <x:v>120</x:v>
      </x:c>
      <x:c r="AL637" s="3" t="n">
        <x:v>0</x:v>
      </x:c>
      <x:c r="AM637" s="8" t="n">
        <x:v>0.7</x:v>
      </x:c>
      <x:c r="AN637" s="3" t="n">
        <x:v>2</x:v>
      </x:c>
      <x:c r="AO637" s="3" t="s">
        <x:v>14</x:v>
      </x:c>
      <x:c r="AP637" s="3" t="s">
        <x:v>717</x:v>
      </x:c>
      <x:c r="AQ637" s="3" t="s">
        <x:v>562</x:v>
      </x:c>
      <x:c r="AR637" s="9" t="n">
        <x:v>789.2</x:v>
      </x:c>
      <x:c r="AS637" s="3" t="s">
        <x:v>185</x:v>
      </x:c>
      <x:c r="AT637" s="7" t="n">
        <x:v>46301.9166666667</x:v>
      </x:c>
    </x:row>
    <x:row r="638" ht="31.299999237060547" hidden="0">
      <x:c r="A638" s="3" t="s">
        <x:v>1192</x:v>
      </x:c>
      <x:c r="B638" s="3" t="s">
        <x:v>83</x:v>
      </x:c>
      <x:c r="C638" s="3" t="s">
        <x:v>96</x:v>
      </x:c>
      <x:c r="D638" s="3" t="s">
        <x:v>97</x:v>
      </x:c>
      <x:c r="E638" s="3" t="s">
        <x:v>249</x:v>
      </x:c>
      <x:c r="F638" s="3" t="s">
        <x:v>127</x:v>
      </x:c>
      <x:c r="G638" s="3" t="s">
        <x:v>379</x:v>
      </x:c>
      <x:c r="H638" s="3" t="s">
        <x:v>339</x:v>
      </x:c>
      <x:c r="I638" s="3" t="s">
        <x:v>102</x:v>
      </x:c>
      <x:c r="J638" s="3" t="s">
        <x:v>103</x:v>
      </x:c>
      <x:c r="K638" s="3" t="s">
        <x:v>104</x:v>
      </x:c>
      <x:c r="L638" s="3" t="s">
        <x:v>105</x:v>
      </x:c>
      <x:c r="M638" s="3" t="s">
        <x:v>106</x:v>
      </x:c>
      <x:c r="N638" s="3" t="s">
        <x:v>107</x:v>
      </x:c>
      <x:c r="O638" s="3" t="s">
        <x:v>108</x:v>
      </x:c>
      <x:c r="P638" s="3" t="s">
        <x:v>109</x:v>
      </x:c>
      <x:c r="Q638" s="3" t="s">
        <x:v>250</x:v>
      </x:c>
      <x:c r="R638" s="3" t="s">
        <x:v>380</x:v>
      </x:c>
      <x:c r="S638" s="3" t="s">
        <x:v>111</x:v>
      </x:c>
      <x:c r="T638" s="3" t="s">
        <x:v>111</x:v>
      </x:c>
      <x:c r="U638" s="3" t="s">
        <x:v>381</x:v>
      </x:c>
      <x:c r="V638" s="3" t="s">
        <x:v>312</x:v>
      </x:c>
      <x:c r="W638" s="3" t="s">
        <x:v>313</x:v>
      </x:c>
      <x:c r="X638" s="3" t="s">
        <x:v>314</x:v>
      </x:c>
      <x:c r="Y638" s="3" t="s">
        <x:v>315</x:v>
      </x:c>
      <x:c r="Z638" s="3" t="s">
        <x:v>384</x:v>
      </x:c>
      <x:c r="AA638" s="3" t="s">
        <x:v>385</x:v>
      </x:c>
      <x:c r="AB638" s="7" t="n">
        <x:v>46294.6708333333</x:v>
      </x:c>
      <x:c r="AC638" s="7" t="n">
        <x:v>46294.6756944444</x:v>
      </x:c>
      <x:c r="AD638" s="7" t="n">
        <x:v>46294.6770833333</x:v>
      </x:c>
      <x:c r="AE638" s="7" t="n">
        <x:v>46294.6972222222</x:v>
      </x:c>
      <x:c r="AF638" s="7" t="n">
        <x:v>46294.7277777778</x:v>
      </x:c>
      <x:c r="AG638" s="3" t="n">
        <x:v>38</x:v>
      </x:c>
      <x:c r="AH638" s="3" t="n">
        <x:v>40</x:v>
      </x:c>
      <x:c r="AI638" s="3" t="s">
        <x:v>111</x:v>
      </x:c>
      <x:c r="AJ638" s="3" t="s">
        <x:v>111</x:v>
      </x:c>
      <x:c r="AK638" s="3" t="n">
        <x:v>60</x:v>
      </x:c>
      <x:c r="AL638" s="3" t="n">
        <x:v>0</x:v>
      </x:c>
      <x:c r="AM638" s="8" t="n">
        <x:v>1.3</x:v>
      </x:c>
      <x:c r="AN638" s="3" t="n">
        <x:v>2</x:v>
      </x:c>
      <x:c r="AO638" s="3" t="s">
        <x:v>24</x:v>
      </x:c>
      <x:c r="AP638" s="3" t="s">
        <x:v>729</x:v>
      </x:c>
      <x:c r="AQ638" s="3" t="s">
        <x:v>562</x:v>
      </x:c>
      <x:c r="AR638" s="9" t="n">
        <x:v>1039</x:v>
      </x:c>
      <x:c r="AS638" s="3" t="s">
        <x:v>185</x:v>
      </x:c>
      <x:c r="AT638" s="7" t="n">
        <x:v>46301.9166666667</x:v>
      </x:c>
    </x:row>
    <x:row r="639" ht="31.299999237060547" hidden="0">
      <x:c r="A639" s="3" t="s">
        <x:v>1193</x:v>
      </x:c>
      <x:c r="B639" s="3" t="s">
        <x:v>83</x:v>
      </x:c>
      <x:c r="C639" s="3" t="s">
        <x:v>96</x:v>
      </x:c>
      <x:c r="D639" s="3" t="s">
        <x:v>97</x:v>
      </x:c>
      <x:c r="E639" s="3" t="s">
        <x:v>249</x:v>
      </x:c>
      <x:c r="F639" s="3" t="s">
        <x:v>149</x:v>
      </x:c>
      <x:c r="G639" s="3" t="s">
        <x:v>379</x:v>
      </x:c>
      <x:c r="H639" s="3" t="s">
        <x:v>339</x:v>
      </x:c>
      <x:c r="I639" s="3" t="s">
        <x:v>102</x:v>
      </x:c>
      <x:c r="J639" s="3" t="s">
        <x:v>103</x:v>
      </x:c>
      <x:c r="K639" s="3" t="s">
        <x:v>104</x:v>
      </x:c>
      <x:c r="L639" s="3" t="s">
        <x:v>105</x:v>
      </x:c>
      <x:c r="M639" s="3" t="s">
        <x:v>106</x:v>
      </x:c>
      <x:c r="N639" s="3" t="s">
        <x:v>107</x:v>
      </x:c>
      <x:c r="O639" s="3" t="s">
        <x:v>108</x:v>
      </x:c>
      <x:c r="P639" s="3" t="s">
        <x:v>109</x:v>
      </x:c>
      <x:c r="Q639" s="3" t="s">
        <x:v>250</x:v>
      </x:c>
      <x:c r="R639" s="3" t="s">
        <x:v>380</x:v>
      </x:c>
      <x:c r="S639" s="3" t="s">
        <x:v>111</x:v>
      </x:c>
      <x:c r="T639" s="3" t="s">
        <x:v>111</x:v>
      </x:c>
      <x:c r="U639" s="3" t="s">
        <x:v>381</x:v>
      </x:c>
      <x:c r="V639" s="3" t="s">
        <x:v>312</x:v>
      </x:c>
      <x:c r="W639" s="3" t="s">
        <x:v>351</x:v>
      </x:c>
      <x:c r="X639" s="3" t="s">
        <x:v>314</x:v>
      </x:c>
      <x:c r="Y639" s="3" t="s">
        <x:v>352</x:v>
      </x:c>
      <x:c r="Z639" s="3" t="s">
        <x:v>384</x:v>
      </x:c>
      <x:c r="AA639" s="3" t="s">
        <x:v>385</x:v>
      </x:c>
      <x:c r="AB639" s="7" t="n">
        <x:v>46294.6798611111</x:v>
      </x:c>
      <x:c r="AC639" s="7" t="n">
        <x:v>46294.6840277778</x:v>
      </x:c>
      <x:c r="AD639" s="7" t="n">
        <x:v>46294.6881944445</x:v>
      </x:c>
      <x:c r="AE639" s="7" t="n">
        <x:v>46294.7152777778</x:v>
      </x:c>
      <x:c r="AF639" s="7" t="n">
        <x:v>46294.7333333333</x:v>
      </x:c>
      <x:c r="AG639" s="3" t="n">
        <x:v>51</x:v>
      </x:c>
      <x:c r="AH639" s="3" t="n">
        <x:v>18</x:v>
      </x:c>
      <x:c r="AI639" s="3" t="s">
        <x:v>111</x:v>
      </x:c>
      <x:c r="AJ639" s="3" t="s">
        <x:v>111</x:v>
      </x:c>
      <x:c r="AK639" s="3" t="n">
        <x:v>60</x:v>
      </x:c>
      <x:c r="AL639" s="3" t="n">
        <x:v>0</x:v>
      </x:c>
      <x:c r="AM639" s="8" t="n">
        <x:v>1.15</x:v>
      </x:c>
      <x:c r="AN639" s="3" t="n">
        <x:v>3</x:v>
      </x:c>
      <x:c r="AO639" s="3" t="s">
        <x:v>24</x:v>
      </x:c>
      <x:c r="AP639" s="3" t="s">
        <x:v>906</x:v>
      </x:c>
      <x:c r="AQ639" s="3" t="s">
        <x:v>1194</x:v>
      </x:c>
      <x:c r="AR639" s="9" t="n">
        <x:v>1189.1</x:v>
      </x:c>
      <x:c r="AS639" s="3" t="s">
        <x:v>185</x:v>
      </x:c>
      <x:c r="AT639" s="7" t="n">
        <x:v>46301.9166666667</x:v>
      </x:c>
    </x:row>
    <x:row r="640" ht="31.299999237060547" hidden="0">
      <x:c r="A640" s="3" t="s">
        <x:v>1195</x:v>
      </x:c>
      <x:c r="B640" s="3" t="s">
        <x:v>233</x:v>
      </x:c>
      <x:c r="C640" s="3" t="s">
        <x:v>234</x:v>
      </x:c>
      <x:c r="D640" s="3" t="s">
        <x:v>235</x:v>
      </x:c>
      <x:c r="E640" s="3" t="s">
        <x:v>249</x:v>
      </x:c>
      <x:c r="F640" s="3" t="s">
        <x:v>149</x:v>
      </x:c>
      <x:c r="G640" s="3" t="s">
        <x:v>623</x:v>
      </x:c>
      <x:c r="H640" s="3" t="s">
        <x:v>101</x:v>
      </x:c>
      <x:c r="I640" s="3" t="s">
        <x:v>102</x:v>
      </x:c>
      <x:c r="J640" s="3" t="s">
        <x:v>103</x:v>
      </x:c>
      <x:c r="K640" s="3" t="s">
        <x:v>104</x:v>
      </x:c>
      <x:c r="L640" s="3" t="s">
        <x:v>237</x:v>
      </x:c>
      <x:c r="M640" s="3" t="s">
        <x:v>172</x:v>
      </x:c>
      <x:c r="N640" s="3" t="s">
        <x:v>238</x:v>
      </x:c>
      <x:c r="O640" s="3" t="s">
        <x:v>239</x:v>
      </x:c>
      <x:c r="P640" s="3" t="s">
        <x:v>240</x:v>
      </x:c>
      <x:c r="Q640" s="3" t="s">
        <x:v>276</x:v>
      </x:c>
      <x:c r="R640" s="3" t="s">
        <x:v>176</x:v>
      </x:c>
      <x:c r="S640" s="3" t="s">
        <x:v>135</x:v>
      </x:c>
      <x:c r="T640" s="3" t="s">
        <x:v>135</x:v>
      </x:c>
      <x:c r="U640" s="3" t="s">
        <x:v>177</x:v>
      </x:c>
      <x:c r="V640" s="3" t="s">
        <x:v>178</x:v>
      </x:c>
      <x:c r="W640" s="3" t="s">
        <x:v>355</x:v>
      </x:c>
      <x:c r="X640" s="3" t="s">
        <x:v>180</x:v>
      </x:c>
      <x:c r="Y640" s="3" t="s">
        <x:v>356</x:v>
      </x:c>
      <x:c r="Z640" s="3" t="s">
        <x:v>182</x:v>
      </x:c>
      <x:c r="AA640" s="3" t="s">
        <x:v>118</x:v>
      </x:c>
      <x:c r="AB640" s="7" t="n">
        <x:v>46294.6868055556</x:v>
      </x:c>
      <x:c r="AC640" s="7" t="n">
        <x:v>46294.6895833333</x:v>
      </x:c>
      <x:c r="AD640" s="7" t="n">
        <x:v>46294.6909722222</x:v>
      </x:c>
      <x:c r="AE640" s="7" t="n">
        <x:v>46294.6993055556</x:v>
      </x:c>
      <x:c r="AF640" s="7" t="n">
        <x:v>46294.7541666667</x:v>
      </x:c>
      <x:c r="AG640" s="3" t="n">
        <x:v>18</x:v>
      </x:c>
      <x:c r="AH640" s="3" t="n">
        <x:v>70</x:v>
      </x:c>
      <x:c r="AI640" s="3" t="s">
        <x:v>135</x:v>
      </x:c>
      <x:c r="AJ640" s="3" t="s">
        <x:v>111</x:v>
      </x:c>
      <x:c r="AK640" s="3" t="n">
        <x:v>150</x:v>
      </x:c>
      <x:c r="AL640" s="3" t="n">
        <x:v>0</x:v>
      </x:c>
      <x:c r="AM640" s="8" t="n">
        <x:v>0.5867</x:v>
      </x:c>
      <x:c r="AN640" s="3" t="n">
        <x:v>0</x:v>
      </x:c>
      <x:c r="AO640" s="3" t="s">
        <x:v>9</x:v>
      </x:c>
      <x:c r="AP640" s="3" t="s">
        <x:v>335</x:v>
      </x:c>
      <x:c r="AQ640" s="3" t="s">
        <x:v>340</x:v>
      </x:c>
      <x:c r="AR640" s="9" t="n">
        <x:v>845</x:v>
      </x:c>
      <x:c r="AS640" s="3" t="s">
        <x:v>121</x:v>
      </x:c>
      <x:c r="AT640" s="7" t="n">
        <x:v>46301.9166666667</x:v>
      </x:c>
    </x:row>
    <x:row r="641" ht="31.299999237060547" hidden="0">
      <x:c r="A641" s="3" t="s">
        <x:v>1196</x:v>
      </x:c>
      <x:c r="B641" s="3" t="s">
        <x:v>123</x:v>
      </x:c>
      <x:c r="C641" s="3" t="s">
        <x:v>124</x:v>
      </x:c>
      <x:c r="D641" s="3" t="s">
        <x:v>125</x:v>
      </x:c>
      <x:c r="E641" s="3" t="s">
        <x:v>249</x:v>
      </x:c>
      <x:c r="F641" s="3" t="s">
        <x:v>169</x:v>
      </x:c>
      <x:c r="G641" s="3" t="s">
        <x:v>349</x:v>
      </x:c>
      <x:c r="H641" s="3" t="s">
        <x:v>343</x:v>
      </x:c>
      <x:c r="I641" s="3" t="s">
        <x:v>102</x:v>
      </x:c>
      <x:c r="J641" s="3" t="s">
        <x:v>103</x:v>
      </x:c>
      <x:c r="K641" s="3" t="s">
        <x:v>104</x:v>
      </x:c>
      <x:c r="L641" s="3" t="s">
        <x:v>129</x:v>
      </x:c>
      <x:c r="M641" s="3" t="s">
        <x:v>130</x:v>
      </x:c>
      <x:c r="N641" s="3" t="s">
        <x:v>131</x:v>
      </x:c>
      <x:c r="O641" s="3" t="s">
        <x:v>132</x:v>
      </x:c>
      <x:c r="P641" s="3" t="s">
        <x:v>133</x:v>
      </x:c>
      <x:c r="Q641" s="3" t="s">
        <x:v>268</x:v>
      </x:c>
      <x:c r="R641" s="3" t="s">
        <x:v>344</x:v>
      </x:c>
      <x:c r="S641" s="3" t="s">
        <x:v>111</x:v>
      </x:c>
      <x:c r="T641" s="3" t="s">
        <x:v>111</x:v>
      </x:c>
      <x:c r="U641" s="3" t="s">
        <x:v>345</x:v>
      </x:c>
      <x:c r="V641" s="3" t="s">
        <x:v>178</x:v>
      </x:c>
      <x:c r="W641" s="3" t="s">
        <x:v>332</x:v>
      </x:c>
      <x:c r="X641" s="3" t="s">
        <x:v>180</x:v>
      </x:c>
      <x:c r="Y641" s="3" t="s">
        <x:v>333</x:v>
      </x:c>
      <x:c r="Z641" s="3" t="s">
        <x:v>346</x:v>
      </x:c>
      <x:c r="AA641" s="3" t="s">
        <x:v>118</x:v>
      </x:c>
      <x:c r="AB641" s="7" t="n">
        <x:v>46294.6993055556</x:v>
      </x:c>
      <x:c r="AC641" s="7" t="n">
        <x:v>46294.7013888889</x:v>
      </x:c>
      <x:c r="AD641" s="7" t="n">
        <x:v>46294.7034722222</x:v>
      </x:c>
      <x:c r="AE641" s="7" t="n">
        <x:v>46294.7236111111</x:v>
      </x:c>
      <x:c r="AF641" s="7" t="n">
        <x:v>46294.7493055556</x:v>
      </x:c>
      <x:c r="AG641" s="3" t="n">
        <x:v>35</x:v>
      </x:c>
      <x:c r="AH641" s="3" t="n">
        <x:v>34</x:v>
      </x:c>
      <x:c r="AI641" s="3" t="s">
        <x:v>135</x:v>
      </x:c>
      <x:c r="AJ641" s="3" t="s">
        <x:v>135</x:v>
      </x:c>
      <x:c r="AK641" s="3" t="n">
        <x:v>120</x:v>
      </x:c>
      <x:c r="AL641" s="3" t="n">
        <x:v>0</x:v>
      </x:c>
      <x:c r="AM641" s="8" t="n">
        <x:v>0.575</x:v>
      </x:c>
      <x:c r="AN641" s="3" t="n">
        <x:v>0</x:v>
      </x:c>
      <x:c r="AO641" s="3" t="s">
        <x:v>9</x:v>
      </x:c>
      <x:c r="AP641" s="3" t="s">
        <x:v>142</x:v>
      </x:c>
      <x:c r="AQ641" s="3" t="s">
        <x:v>482</x:v>
      </x:c>
      <x:c r="AR641" s="9" t="n">
        <x:v>662.3</x:v>
      </x:c>
      <x:c r="AS641" s="3" t="s">
        <x:v>185</x:v>
      </x:c>
      <x:c r="AT641" s="7" t="n">
        <x:v>46301.9166666667</x:v>
      </x:c>
    </x:row>
    <x:row r="642" ht="31.299999237060547" hidden="0">
      <x:c r="A642" s="3" t="s">
        <x:v>1197</x:v>
      </x:c>
      <x:c r="B642" s="3" t="s">
        <x:v>146</x:v>
      </x:c>
      <x:c r="C642" s="3" t="s">
        <x:v>147</x:v>
      </x:c>
      <x:c r="D642" s="3" t="s">
        <x:v>148</x:v>
      </x:c>
      <x:c r="E642" s="3" t="s">
        <x:v>249</x:v>
      </x:c>
      <x:c r="F642" s="3" t="s">
        <x:v>149</x:v>
      </x:c>
      <x:c r="G642" s="3" t="s">
        <x:v>416</x:v>
      </x:c>
      <x:c r="H642" s="3" t="s">
        <x:v>339</x:v>
      </x:c>
      <x:c r="I642" s="3" t="s">
        <x:v>102</x:v>
      </x:c>
      <x:c r="J642" s="3" t="s">
        <x:v>103</x:v>
      </x:c>
      <x:c r="K642" s="3" t="s">
        <x:v>104</x:v>
      </x:c>
      <x:c r="L642" s="3" t="s">
        <x:v>151</x:v>
      </x:c>
      <x:c r="M642" s="3" t="s">
        <x:v>152</x:v>
      </x:c>
      <x:c r="N642" s="3" t="s">
        <x:v>153</x:v>
      </x:c>
      <x:c r="O642" s="3" t="s">
        <x:v>154</x:v>
      </x:c>
      <x:c r="P642" s="3" t="s">
        <x:v>155</x:v>
      </x:c>
      <x:c r="Q642" s="3" t="s">
        <x:v>270</x:v>
      </x:c>
      <x:c r="R642" s="3" t="s">
        <x:v>373</x:v>
      </x:c>
      <x:c r="S642" s="3" t="s">
        <x:v>135</x:v>
      </x:c>
      <x:c r="T642" s="3" t="s">
        <x:v>111</x:v>
      </x:c>
      <x:c r="U642" s="3" t="s">
        <x:v>374</x:v>
      </x:c>
      <x:c r="V642" s="3" t="s">
        <x:v>178</x:v>
      </x:c>
      <x:c r="W642" s="3" t="s">
        <x:v>332</x:v>
      </x:c>
      <x:c r="X642" s="3" t="s">
        <x:v>180</x:v>
      </x:c>
      <x:c r="Y642" s="3" t="s">
        <x:v>333</x:v>
      </x:c>
      <x:c r="Z642" s="3" t="s">
        <x:v>375</x:v>
      </x:c>
      <x:c r="AA642" s="3" t="s">
        <x:v>118</x:v>
      </x:c>
      <x:c r="AB642" s="7" t="n">
        <x:v>46294.7145833333</x:v>
      </x:c>
      <x:c r="AC642" s="7" t="n">
        <x:v>46294.7166666667</x:v>
      </x:c>
      <x:c r="AD642" s="7" t="n">
        <x:v>46294.7222222222</x:v>
      </x:c>
      <x:c r="AE642" s="7" t="n">
        <x:v>46294.73125</x:v>
      </x:c>
      <x:c r="AF642" s="7" t="n">
        <x:v>46294.7756944444</x:v>
      </x:c>
      <x:c r="AG642" s="3" t="n">
        <x:v>24</x:v>
      </x:c>
      <x:c r="AH642" s="3" t="n">
        <x:v>59</x:v>
      </x:c>
      <x:c r="AI642" s="3" t="s">
        <x:v>135</x:v>
      </x:c>
      <x:c r="AJ642" s="3" t="s">
        <x:v>135</x:v>
      </x:c>
      <x:c r="AK642" s="3" t="n">
        <x:v>180</x:v>
      </x:c>
      <x:c r="AL642" s="3" t="n">
        <x:v>0</x:v>
      </x:c>
      <x:c r="AM642" s="8" t="n">
        <x:v>0.4611</x:v>
      </x:c>
      <x:c r="AN642" s="3" t="n">
        <x:v>3</x:v>
      </x:c>
      <x:c r="AO642" s="3" t="s">
        <x:v>14</x:v>
      </x:c>
      <x:c r="AP642" s="3" t="s">
        <x:v>183</x:v>
      </x:c>
      <x:c r="AQ642" s="3" t="s">
        <x:v>1198</x:v>
      </x:c>
      <x:c r="AR642" s="9" t="n">
        <x:v>1042.8</x:v>
      </x:c>
      <x:c r="AS642" s="3" t="s">
        <x:v>185</x:v>
      </x:c>
      <x:c r="AT642" s="7" t="n">
        <x:v>46301.9166666667</x:v>
      </x:c>
    </x:row>
    <x:row r="643" ht="31.299999237060547" hidden="0">
      <x:c r="A643" s="3" t="s">
        <x:v>1199</x:v>
      </x:c>
      <x:c r="B643" s="3" t="s">
        <x:v>233</x:v>
      </x:c>
      <x:c r="C643" s="3" t="s">
        <x:v>234</x:v>
      </x:c>
      <x:c r="D643" s="3" t="s">
        <x:v>235</x:v>
      </x:c>
      <x:c r="E643" s="3" t="s">
        <x:v>249</x:v>
      </x:c>
      <x:c r="F643" s="3" t="s">
        <x:v>99</x:v>
      </x:c>
      <x:c r="G643" s="3" t="s">
        <x:v>349</x:v>
      </x:c>
      <x:c r="H643" s="3" t="s">
        <x:v>343</x:v>
      </x:c>
      <x:c r="I643" s="3" t="s">
        <x:v>102</x:v>
      </x:c>
      <x:c r="J643" s="3" t="s">
        <x:v>103</x:v>
      </x:c>
      <x:c r="K643" s="3" t="s">
        <x:v>104</x:v>
      </x:c>
      <x:c r="L643" s="3" t="s">
        <x:v>237</x:v>
      </x:c>
      <x:c r="M643" s="3" t="s">
        <x:v>172</x:v>
      </x:c>
      <x:c r="N643" s="3" t="s">
        <x:v>238</x:v>
      </x:c>
      <x:c r="O643" s="3" t="s">
        <x:v>239</x:v>
      </x:c>
      <x:c r="P643" s="3" t="s">
        <x:v>240</x:v>
      </x:c>
      <x:c r="Q643" s="3" t="s">
        <x:v>276</x:v>
      </x:c>
      <x:c r="R643" s="3" t="s">
        <x:v>344</x:v>
      </x:c>
      <x:c r="S643" s="3" t="s">
        <x:v>111</x:v>
      </x:c>
      <x:c r="T643" s="3" t="s">
        <x:v>111</x:v>
      </x:c>
      <x:c r="U643" s="3" t="s">
        <x:v>345</x:v>
      </x:c>
      <x:c r="V643" s="3" t="s">
        <x:v>178</x:v>
      </x:c>
      <x:c r="W643" s="3" t="s">
        <x:v>332</x:v>
      </x:c>
      <x:c r="X643" s="3" t="s">
        <x:v>180</x:v>
      </x:c>
      <x:c r="Y643" s="3" t="s">
        <x:v>333</x:v>
      </x:c>
      <x:c r="Z643" s="3" t="s">
        <x:v>346</x:v>
      </x:c>
      <x:c r="AA643" s="3" t="s">
        <x:v>118</x:v>
      </x:c>
      <x:c r="AB643" s="7" t="n">
        <x:v>46294.7166666667</x:v>
      </x:c>
      <x:c r="AC643" s="7" t="n">
        <x:v>46294.71875</x:v>
      </x:c>
      <x:c r="AD643" s="7" t="n">
        <x:v>46294.7236111111</x:v>
      </x:c>
      <x:c r="AE643" s="7" t="n">
        <x:v>46294.7333333333</x:v>
      </x:c>
      <x:c r="AF643" s="7" t="n">
        <x:v>46294.7736111111</x:v>
      </x:c>
      <x:c r="AG643" s="3" t="n">
        <x:v>24</x:v>
      </x:c>
      <x:c r="AH643" s="3" t="n">
        <x:v>48</x:v>
      </x:c>
      <x:c r="AI643" s="3" t="s">
        <x:v>135</x:v>
      </x:c>
      <x:c r="AJ643" s="3" t="s">
        <x:v>111</x:v>
      </x:c>
      <x:c r="AK643" s="3" t="n">
        <x:v>120</x:v>
      </x:c>
      <x:c r="AL643" s="3" t="n">
        <x:v>0</x:v>
      </x:c>
      <x:c r="AM643" s="8" t="n">
        <x:v>0.6</x:v>
      </x:c>
      <x:c r="AN643" s="3" t="n">
        <x:v>3</x:v>
      </x:c>
      <x:c r="AO643" s="3" t="s">
        <x:v>14</x:v>
      </x:c>
      <x:c r="AP643" s="3" t="s">
        <x:v>955</x:v>
      </x:c>
      <x:c r="AQ643" s="3" t="s">
        <x:v>1200</x:v>
      </x:c>
      <x:c r="AR643" s="9" t="n">
        <x:v>963.6</x:v>
      </x:c>
      <x:c r="AS643" s="3" t="s">
        <x:v>185</x:v>
      </x:c>
      <x:c r="AT643" s="7" t="n">
        <x:v>46301.9166666667</x:v>
      </x:c>
    </x:row>
    <x:row r="644" ht="31.299999237060547" hidden="0">
      <x:c r="A644" s="3" t="s">
        <x:v>1201</x:v>
      </x:c>
      <x:c r="B644" s="3" t="s">
        <x:v>123</x:v>
      </x:c>
      <x:c r="C644" s="3" t="s">
        <x:v>124</x:v>
      </x:c>
      <x:c r="D644" s="3" t="s">
        <x:v>125</x:v>
      </x:c>
      <x:c r="E644" s="3" t="s">
        <x:v>249</x:v>
      </x:c>
      <x:c r="F644" s="3" t="s">
        <x:v>149</x:v>
      </x:c>
      <x:c r="G644" s="3" t="s">
        <x:v>428</x:v>
      </x:c>
      <x:c r="H644" s="3" t="s">
        <x:v>339</x:v>
      </x:c>
      <x:c r="I644" s="3" t="s">
        <x:v>102</x:v>
      </x:c>
      <x:c r="J644" s="3" t="s">
        <x:v>103</x:v>
      </x:c>
      <x:c r="K644" s="3" t="s">
        <x:v>104</x:v>
      </x:c>
      <x:c r="L644" s="3" t="s">
        <x:v>129</x:v>
      </x:c>
      <x:c r="M644" s="3" t="s">
        <x:v>130</x:v>
      </x:c>
      <x:c r="N644" s="3" t="s">
        <x:v>131</x:v>
      </x:c>
      <x:c r="O644" s="3" t="s">
        <x:v>132</x:v>
      </x:c>
      <x:c r="P644" s="3" t="s">
        <x:v>133</x:v>
      </x:c>
      <x:c r="Q644" s="3" t="s">
        <x:v>268</x:v>
      </x:c>
      <x:c r="R644" s="3" t="s">
        <x:v>214</x:v>
      </x:c>
      <x:c r="S644" s="3" t="s">
        <x:v>135</x:v>
      </x:c>
      <x:c r="T644" s="3" t="s">
        <x:v>111</x:v>
      </x:c>
      <x:c r="U644" s="3" t="s">
        <x:v>215</x:v>
      </x:c>
      <x:c r="V644" s="3" t="s">
        <x:v>216</x:v>
      </x:c>
      <x:c r="W644" s="3" t="s">
        <x:v>429</x:v>
      </x:c>
      <x:c r="X644" s="3" t="s">
        <x:v>430</x:v>
      </x:c>
      <x:c r="Y644" s="3" t="s">
        <x:v>431</x:v>
      </x:c>
      <x:c r="Z644" s="3" t="s">
        <x:v>219</x:v>
      </x:c>
      <x:c r="AA644" s="3" t="s">
        <x:v>118</x:v>
      </x:c>
      <x:c r="AB644" s="7" t="n">
        <x:v>46294.7520833333</x:v>
      </x:c>
      <x:c r="AC644" s="7" t="n">
        <x:v>46294.7569444444</x:v>
      </x:c>
      <x:c r="AD644" s="7" t="n">
        <x:v>46294.7604166667</x:v>
      </x:c>
      <x:c r="AE644" s="7" t="n">
        <x:v>46294.7784722222</x:v>
      </x:c>
      <x:c r="AF644" s="7" t="n">
        <x:v>46294.8347222222</x:v>
      </x:c>
      <x:c r="AG644" s="3" t="n">
        <x:v>38</x:v>
      </x:c>
      <x:c r="AH644" s="3" t="n">
        <x:v>74</x:v>
      </x:c>
      <x:c r="AI644" s="3" t="s">
        <x:v>135</x:v>
      </x:c>
      <x:c r="AJ644" s="3" t="s">
        <x:v>135</x:v>
      </x:c>
      <x:c r="AK644" s="3" t="n">
        <x:v>180</x:v>
      </x:c>
      <x:c r="AL644" s="3" t="n">
        <x:v>0</x:v>
      </x:c>
      <x:c r="AM644" s="8" t="n">
        <x:v>0.6222</x:v>
      </x:c>
      <x:c r="AN644" s="3" t="n">
        <x:v>0</x:v>
      </x:c>
      <x:c r="AO644" s="3" t="s">
        <x:v>14</x:v>
      </x:c>
      <x:c r="AP644" s="3" t="s">
        <x:v>347</x:v>
      </x:c>
      <x:c r="AQ644" s="3" t="s">
        <x:v>482</x:v>
      </x:c>
      <x:c r="AR644" s="9" t="n">
        <x:v>963.8</x:v>
      </x:c>
      <x:c r="AS644" s="3" t="s">
        <x:v>121</x:v>
      </x:c>
      <x:c r="AT644" s="7" t="n">
        <x:v>46301.9166666667</x:v>
      </x:c>
    </x:row>
    <x:row r="645" ht="31.299999237060547" hidden="0">
      <x:c r="A645" s="3" t="s">
        <x:v>1202</x:v>
      </x:c>
      <x:c r="B645" s="3" t="s">
        <x:v>123</x:v>
      </x:c>
      <x:c r="C645" s="3" t="s">
        <x:v>124</x:v>
      </x:c>
      <x:c r="D645" s="3" t="s">
        <x:v>125</x:v>
      </x:c>
      <x:c r="E645" s="3" t="s">
        <x:v>249</x:v>
      </x:c>
      <x:c r="F645" s="3" t="s">
        <x:v>127</x:v>
      </x:c>
      <x:c r="G645" s="3" t="s">
        <x:v>447</x:v>
      </x:c>
      <x:c r="H645" s="3" t="s">
        <x:v>343</x:v>
      </x:c>
      <x:c r="I645" s="3" t="s">
        <x:v>102</x:v>
      </x:c>
      <x:c r="J645" s="3" t="s">
        <x:v>103</x:v>
      </x:c>
      <x:c r="K645" s="3" t="s">
        <x:v>104</x:v>
      </x:c>
      <x:c r="L645" s="3" t="s">
        <x:v>129</x:v>
      </x:c>
      <x:c r="M645" s="3" t="s">
        <x:v>130</x:v>
      </x:c>
      <x:c r="N645" s="3" t="s">
        <x:v>131</x:v>
      </x:c>
      <x:c r="O645" s="3" t="s">
        <x:v>132</x:v>
      </x:c>
      <x:c r="P645" s="3" t="s">
        <x:v>133</x:v>
      </x:c>
      <x:c r="Q645" s="3" t="s">
        <x:v>268</x:v>
      </x:c>
      <x:c r="R645" s="3" t="s">
        <x:v>344</x:v>
      </x:c>
      <x:c r="S645" s="3" t="s">
        <x:v>111</x:v>
      </x:c>
      <x:c r="T645" s="3" t="s">
        <x:v>111</x:v>
      </x:c>
      <x:c r="U645" s="3" t="s">
        <x:v>345</x:v>
      </x:c>
      <x:c r="V645" s="3" t="s">
        <x:v>178</x:v>
      </x:c>
      <x:c r="W645" s="3" t="s">
        <x:v>179</x:v>
      </x:c>
      <x:c r="X645" s="3" t="s">
        <x:v>180</x:v>
      </x:c>
      <x:c r="Y645" s="3" t="s">
        <x:v>414</x:v>
      </x:c>
      <x:c r="Z645" s="3" t="s">
        <x:v>346</x:v>
      </x:c>
      <x:c r="AA645" s="3" t="s">
        <x:v>118</x:v>
      </x:c>
      <x:c r="AB645" s="7" t="n">
        <x:v>46295.3034722222</x:v>
      </x:c>
      <x:c r="AC645" s="7" t="n">
        <x:v>46295.3055555556</x:v>
      </x:c>
      <x:c r="AD645" s="7" t="n">
        <x:v>46295.3083333333</x:v>
      </x:c>
      <x:c r="AE645" s="7" t="n">
        <x:v>46295.3229166667</x:v>
      </x:c>
      <x:c r="AF645" s="7" t="n">
        <x:v>46295.3666666667</x:v>
      </x:c>
      <x:c r="AG645" s="3" t="n">
        <x:v>28</x:v>
      </x:c>
      <x:c r="AH645" s="3" t="n">
        <x:v>56</x:v>
      </x:c>
      <x:c r="AI645" s="3" t="s">
        <x:v>135</x:v>
      </x:c>
      <x:c r="AJ645" s="3" t="s">
        <x:v>135</x:v>
      </x:c>
      <x:c r="AK645" s="3" t="n">
        <x:v>120</x:v>
      </x:c>
      <x:c r="AL645" s="3" t="n">
        <x:v>0</x:v>
      </x:c>
      <x:c r="AM645" s="8" t="n">
        <x:v>0.7</x:v>
      </x:c>
      <x:c r="AN645" s="3" t="n">
        <x:v>3</x:v>
      </x:c>
      <x:c r="AO645" s="3" t="s">
        <x:v>14</x:v>
      </x:c>
      <x:c r="AP645" s="3" t="s">
        <x:v>633</x:v>
      </x:c>
      <x:c r="AQ645" s="3" t="s">
        <x:v>1173</x:v>
      </x:c>
      <x:c r="AR645" s="9" t="n">
        <x:v>1039.2</x:v>
      </x:c>
      <x:c r="AS645" s="3" t="s">
        <x:v>185</x:v>
      </x:c>
      <x:c r="AT645" s="7" t="n">
        <x:v>46301.9166666667</x:v>
      </x:c>
    </x:row>
    <x:row r="646" ht="31.299999237060547" hidden="0">
      <x:c r="A646" s="3" t="s">
        <x:v>1203</x:v>
      </x:c>
      <x:c r="B646" s="3" t="s">
        <x:v>297</x:v>
      </x:c>
      <x:c r="C646" s="3" t="s">
        <x:v>298</x:v>
      </x:c>
      <x:c r="D646" s="3" t="s">
        <x:v>299</x:v>
      </x:c>
      <x:c r="E646" s="3" t="s">
        <x:v>249</x:v>
      </x:c>
      <x:c r="F646" s="3" t="s">
        <x:v>127</x:v>
      </x:c>
      <x:c r="G646" s="3" t="s">
        <x:v>390</x:v>
      </x:c>
      <x:c r="H646" s="3" t="s">
        <x:v>301</x:v>
      </x:c>
      <x:c r="I646" s="3" t="s">
        <x:v>302</x:v>
      </x:c>
      <x:c r="J646" s="3" t="s">
        <x:v>303</x:v>
      </x:c>
      <x:c r="K646" s="3" t="s">
        <x:v>104</x:v>
      </x:c>
      <x:c r="L646" s="3" t="s">
        <x:v>304</x:v>
      </x:c>
      <x:c r="M646" s="3" t="s">
        <x:v>305</x:v>
      </x:c>
      <x:c r="N646" s="3" t="s">
        <x:v>306</x:v>
      </x:c>
      <x:c r="O646" s="3" t="s">
        <x:v>307</x:v>
      </x:c>
      <x:c r="P646" s="3" t="s">
        <x:v>308</x:v>
      </x:c>
      <x:c r="Q646" s="3" t="s">
        <x:v>309</x:v>
      </x:c>
      <x:c r="R646" s="3" t="s">
        <x:v>391</x:v>
      </x:c>
      <x:c r="S646" s="3" t="s">
        <x:v>135</x:v>
      </x:c>
      <x:c r="T646" s="3" t="s">
        <x:v>135</x:v>
      </x:c>
      <x:c r="U646" s="3" t="s">
        <x:v>392</x:v>
      </x:c>
      <x:c r="V646" s="3" t="s">
        <x:v>312</x:v>
      </x:c>
      <x:c r="W646" s="3" t="s">
        <x:v>313</x:v>
      </x:c>
      <x:c r="X646" s="3" t="s">
        <x:v>314</x:v>
      </x:c>
      <x:c r="Y646" s="3" t="s">
        <x:v>315</x:v>
      </x:c>
      <x:c r="Z646" s="3" t="s">
        <x:v>393</x:v>
      </x:c>
      <x:c r="AA646" s="3" t="s">
        <x:v>394</x:v>
      </x:c>
      <x:c r="AB646" s="7" t="n">
        <x:v>46295.3076388889</x:v>
      </x:c>
      <x:c r="AC646" s="7" t="n">
        <x:v>46295.3118055556</x:v>
      </x:c>
      <x:c r="AD646" s="7" t="n">
        <x:v>46295.3131944445</x:v>
      </x:c>
      <x:c r="AE646" s="7" t="n">
        <x:v>46295.31875</x:v>
      </x:c>
      <x:c r="AF646" s="7" t="n">
        <x:v>46295.3451388889</x:v>
      </x:c>
      <x:c r="AG646" s="3" t="n">
        <x:v>16</x:v>
      </x:c>
      <x:c r="AH646" s="3" t="n">
        <x:v>29</x:v>
      </x:c>
      <x:c r="AI646" s="3" t="s">
        <x:v>135</x:v>
      </x:c>
      <x:c r="AJ646" s="3" t="s">
        <x:v>111</x:v>
      </x:c>
      <x:c r="AK646" s="3" t="n">
        <x:v>180</x:v>
      </x:c>
      <x:c r="AL646" s="3" t="n">
        <x:v>0</x:v>
      </x:c>
      <x:c r="AM646" s="8" t="n">
        <x:v>0.25</x:v>
      </x:c>
      <x:c r="AN646" s="3" t="n">
        <x:v>4</x:v>
      </x:c>
      <x:c r="AO646" s="3" t="s">
        <x:v>14</x:v>
      </x:c>
      <x:c r="AP646" s="3" t="s">
        <x:v>796</x:v>
      </x:c>
      <x:c r="AQ646" s="3" t="s">
        <x:v>1135</x:v>
      </x:c>
      <x:c r="AR646" s="9" t="n">
        <x:v>1170.8</x:v>
      </x:c>
      <x:c r="AS646" s="3" t="s">
        <x:v>185</x:v>
      </x:c>
      <x:c r="AT646" s="7" t="n">
        <x:v>46301.9166666667</x:v>
      </x:c>
    </x:row>
    <x:row r="647" ht="31.299999237060547" hidden="0">
      <x:c r="A647" s="3" t="s">
        <x:v>1204</x:v>
      </x:c>
      <x:c r="B647" s="3" t="s">
        <x:v>146</x:v>
      </x:c>
      <x:c r="C647" s="3" t="s">
        <x:v>147</x:v>
      </x:c>
      <x:c r="D647" s="3" t="s">
        <x:v>148</x:v>
      </x:c>
      <x:c r="E647" s="3" t="s">
        <x:v>249</x:v>
      </x:c>
      <x:c r="F647" s="3" t="s">
        <x:v>127</x:v>
      </x:c>
      <x:c r="G647" s="3" t="s">
        <x:v>486</x:v>
      </x:c>
      <x:c r="H647" s="3" t="s">
        <x:v>101</x:v>
      </x:c>
      <x:c r="I647" s="3" t="s">
        <x:v>102</x:v>
      </x:c>
      <x:c r="J647" s="3" t="s">
        <x:v>103</x:v>
      </x:c>
      <x:c r="K647" s="3" t="s">
        <x:v>104</x:v>
      </x:c>
      <x:c r="L647" s="3" t="s">
        <x:v>151</x:v>
      </x:c>
      <x:c r="M647" s="3" t="s">
        <x:v>152</x:v>
      </x:c>
      <x:c r="N647" s="3" t="s">
        <x:v>153</x:v>
      </x:c>
      <x:c r="O647" s="3" t="s">
        <x:v>154</x:v>
      </x:c>
      <x:c r="P647" s="3" t="s">
        <x:v>155</x:v>
      </x:c>
      <x:c r="Q647" s="3" t="s">
        <x:v>270</x:v>
      </x:c>
      <x:c r="R647" s="3" t="s">
        <x:v>176</x:v>
      </x:c>
      <x:c r="S647" s="3" t="s">
        <x:v>135</x:v>
      </x:c>
      <x:c r="T647" s="3" t="s">
        <x:v>135</x:v>
      </x:c>
      <x:c r="U647" s="3" t="s">
        <x:v>177</x:v>
      </x:c>
      <x:c r="V647" s="3" t="s">
        <x:v>178</x:v>
      </x:c>
      <x:c r="W647" s="3" t="s">
        <x:v>332</x:v>
      </x:c>
      <x:c r="X647" s="3" t="s">
        <x:v>180</x:v>
      </x:c>
      <x:c r="Y647" s="3" t="s">
        <x:v>333</x:v>
      </x:c>
      <x:c r="Z647" s="3" t="s">
        <x:v>182</x:v>
      </x:c>
      <x:c r="AA647" s="3" t="s">
        <x:v>118</x:v>
      </x:c>
      <x:c r="AB647" s="7" t="n">
        <x:v>46295.3256944444</x:v>
      </x:c>
      <x:c r="AC647" s="7" t="n">
        <x:v>46295.3305555556</x:v>
      </x:c>
      <x:c r="AD647" s="7" t="n">
        <x:v>46295.3340277778</x:v>
      </x:c>
      <x:c r="AE647" s="7" t="n">
        <x:v>46295.3611111111</x:v>
      </x:c>
      <x:c r="AF647" s="7" t="n">
        <x:v>46295.3965277778</x:v>
      </x:c>
      <x:c r="AG647" s="3" t="n">
        <x:v>51</x:v>
      </x:c>
      <x:c r="AH647" s="3" t="n">
        <x:v>45</x:v>
      </x:c>
      <x:c r="AI647" s="3" t="s">
        <x:v>135</x:v>
      </x:c>
      <x:c r="AJ647" s="3" t="s">
        <x:v>135</x:v>
      </x:c>
      <x:c r="AK647" s="3" t="n">
        <x:v>180</x:v>
      </x:c>
      <x:c r="AL647" s="3" t="n">
        <x:v>0</x:v>
      </x:c>
      <x:c r="AM647" s="8" t="n">
        <x:v>0.5333</x:v>
      </x:c>
      <x:c r="AN647" s="3" t="n">
        <x:v>1</x:v>
      </x:c>
      <x:c r="AO647" s="3" t="s">
        <x:v>9</x:v>
      </x:c>
      <x:c r="AP647" s="3" t="s">
        <x:v>500</x:v>
      </x:c>
      <x:c r="AQ647" s="3" t="s">
        <x:v>533</x:v>
      </x:c>
      <x:c r="AR647" s="9" t="n">
        <x:v>813.5</x:v>
      </x:c>
      <x:c r="AS647" s="3" t="s">
        <x:v>185</x:v>
      </x:c>
      <x:c r="AT647" s="7" t="n">
        <x:v>46301.9166666667</x:v>
      </x:c>
    </x:row>
    <x:row r="648" ht="31.299999237060547" hidden="0">
      <x:c r="A648" s="3" t="s">
        <x:v>1205</x:v>
      </x:c>
      <x:c r="B648" s="3" t="s">
        <x:v>222</x:v>
      </x:c>
      <x:c r="C648" s="3" t="s">
        <x:v>223</x:v>
      </x:c>
      <x:c r="D648" s="3" t="s">
        <x:v>224</x:v>
      </x:c>
      <x:c r="E648" s="3" t="s">
        <x:v>249</x:v>
      </x:c>
      <x:c r="F648" s="3" t="s">
        <x:v>127</x:v>
      </x:c>
      <x:c r="G648" s="3" t="s">
        <x:v>477</x:v>
      </x:c>
      <x:c r="H648" s="3" t="s">
        <x:v>343</x:v>
      </x:c>
      <x:c r="I648" s="3" t="s">
        <x:v>102</x:v>
      </x:c>
      <x:c r="J648" s="3" t="s">
        <x:v>103</x:v>
      </x:c>
      <x:c r="K648" s="3" t="s">
        <x:v>104</x:v>
      </x:c>
      <x:c r="L648" s="3" t="s">
        <x:v>226</x:v>
      </x:c>
      <x:c r="M648" s="3" t="s">
        <x:v>227</x:v>
      </x:c>
      <x:c r="N648" s="3" t="s">
        <x:v>228</x:v>
      </x:c>
      <x:c r="O648" s="3" t="s">
        <x:v>229</x:v>
      </x:c>
      <x:c r="P648" s="3" t="s">
        <x:v>230</x:v>
      </x:c>
      <x:c r="Q648" s="3" t="s">
        <x:v>274</x:v>
      </x:c>
      <x:c r="R648" s="3" t="s">
        <x:v>214</x:v>
      </x:c>
      <x:c r="S648" s="3" t="s">
        <x:v>135</x:v>
      </x:c>
      <x:c r="T648" s="3" t="s">
        <x:v>111</x:v>
      </x:c>
      <x:c r="U648" s="3" t="s">
        <x:v>215</x:v>
      </x:c>
      <x:c r="V648" s="3" t="s">
        <x:v>216</x:v>
      </x:c>
      <x:c r="W648" s="3" t="s">
        <x:v>429</x:v>
      </x:c>
      <x:c r="X648" s="3" t="s">
        <x:v>430</x:v>
      </x:c>
      <x:c r="Y648" s="3" t="s">
        <x:v>431</x:v>
      </x:c>
      <x:c r="Z648" s="3" t="s">
        <x:v>219</x:v>
      </x:c>
      <x:c r="AA648" s="3" t="s">
        <x:v>118</x:v>
      </x:c>
      <x:c r="AB648" s="7" t="n">
        <x:v>46295.3430555556</x:v>
      </x:c>
      <x:c r="AC648" s="7" t="n">
        <x:v>46295.3472222222</x:v>
      </x:c>
      <x:c r="AD648" s="7" t="n">
        <x:v>46295.3513888889</x:v>
      </x:c>
      <x:c r="AE648" s="7" t="n">
        <x:v>46295.3680555556</x:v>
      </x:c>
      <x:c r="AF648" s="7" t="n">
        <x:v>46295.4194444444</x:v>
      </x:c>
      <x:c r="AG648" s="3" t="n">
        <x:v>36</x:v>
      </x:c>
      <x:c r="AH648" s="3" t="n">
        <x:v>68</x:v>
      </x:c>
      <x:c r="AI648" s="3" t="s">
        <x:v>135</x:v>
      </x:c>
      <x:c r="AJ648" s="3" t="s">
        <x:v>135</x:v>
      </x:c>
      <x:c r="AK648" s="3" t="n">
        <x:v>180</x:v>
      </x:c>
      <x:c r="AL648" s="3" t="n">
        <x:v>0</x:v>
      </x:c>
      <x:c r="AM648" s="8" t="n">
        <x:v>0.5778</x:v>
      </x:c>
      <x:c r="AN648" s="3" t="n">
        <x:v>1</x:v>
      </x:c>
      <x:c r="AO648" s="3" t="s">
        <x:v>9</x:v>
      </x:c>
      <x:c r="AP648" s="3" t="s">
        <x:v>500</x:v>
      </x:c>
      <x:c r="AQ648" s="3" t="s">
        <x:v>546</x:v>
      </x:c>
      <x:c r="AR648" s="9" t="n">
        <x:v>911.6</x:v>
      </x:c>
      <x:c r="AS648" s="3" t="s">
        <x:v>121</x:v>
      </x:c>
      <x:c r="AT648" s="7" t="n">
        <x:v>46301.9166666667</x:v>
      </x:c>
    </x:row>
    <x:row r="649" ht="31.299999237060547" hidden="0">
      <x:c r="A649" s="3" t="s">
        <x:v>1206</x:v>
      </x:c>
      <x:c r="B649" s="3" t="s">
        <x:v>222</x:v>
      </x:c>
      <x:c r="C649" s="3" t="s">
        <x:v>223</x:v>
      </x:c>
      <x:c r="D649" s="3" t="s">
        <x:v>224</x:v>
      </x:c>
      <x:c r="E649" s="3" t="s">
        <x:v>249</x:v>
      </x:c>
      <x:c r="F649" s="3" t="s">
        <x:v>99</x:v>
      </x:c>
      <x:c r="G649" s="3" t="s">
        <x:v>498</x:v>
      </x:c>
      <x:c r="H649" s="3" t="s">
        <x:v>101</x:v>
      </x:c>
      <x:c r="I649" s="3" t="s">
        <x:v>102</x:v>
      </x:c>
      <x:c r="J649" s="3" t="s">
        <x:v>103</x:v>
      </x:c>
      <x:c r="K649" s="3" t="s">
        <x:v>104</x:v>
      </x:c>
      <x:c r="L649" s="3" t="s">
        <x:v>226</x:v>
      </x:c>
      <x:c r="M649" s="3" t="s">
        <x:v>227</x:v>
      </x:c>
      <x:c r="N649" s="3" t="s">
        <x:v>228</x:v>
      </x:c>
      <x:c r="O649" s="3" t="s">
        <x:v>229</x:v>
      </x:c>
      <x:c r="P649" s="3" t="s">
        <x:v>230</x:v>
      </x:c>
      <x:c r="Q649" s="3" t="s">
        <x:v>274</x:v>
      </x:c>
      <x:c r="R649" s="3" t="s">
        <x:v>310</x:v>
      </x:c>
      <x:c r="S649" s="3" t="s">
        <x:v>135</x:v>
      </x:c>
      <x:c r="T649" s="3" t="s">
        <x:v>111</x:v>
      </x:c>
      <x:c r="U649" s="3" t="s">
        <x:v>311</x:v>
      </x:c>
      <x:c r="V649" s="3" t="s">
        <x:v>312</x:v>
      </x:c>
      <x:c r="W649" s="3" t="s">
        <x:v>313</x:v>
      </x:c>
      <x:c r="X649" s="3" t="s">
        <x:v>314</x:v>
      </x:c>
      <x:c r="Y649" s="3" t="s">
        <x:v>315</x:v>
      </x:c>
      <x:c r="Z649" s="3" t="s">
        <x:v>316</x:v>
      </x:c>
      <x:c r="AA649" s="3" t="s">
        <x:v>317</x:v>
      </x:c>
      <x:c r="AB649" s="7" t="n">
        <x:v>46295.4333333333</x:v>
      </x:c>
      <x:c r="AC649" s="7" t="n">
        <x:v>46295.4354166667</x:v>
      </x:c>
      <x:c r="AD649" s="7" t="n">
        <x:v>46295.4375</x:v>
      </x:c>
      <x:c r="AE649" s="7" t="n">
        <x:v>46295.4513888889</x:v>
      </x:c>
      <x:c r="AF649" s="7" t="n">
        <x:v>46295.4902777778</x:v>
      </x:c>
      <x:c r="AG649" s="3" t="n">
        <x:v>26</x:v>
      </x:c>
      <x:c r="AH649" s="3" t="n">
        <x:v>52</x:v>
      </x:c>
      <x:c r="AI649" s="3" t="s">
        <x:v>135</x:v>
      </x:c>
      <x:c r="AJ649" s="3" t="s">
        <x:v>135</x:v>
      </x:c>
      <x:c r="AK649" s="3" t="n">
        <x:v>180</x:v>
      </x:c>
      <x:c r="AL649" s="3" t="n">
        <x:v>0</x:v>
      </x:c>
      <x:c r="AM649" s="8" t="n">
        <x:v>0.4333</x:v>
      </x:c>
      <x:c r="AN649" s="3" t="n">
        <x:v>2</x:v>
      </x:c>
      <x:c r="AO649" s="3" t="s">
        <x:v>14</x:v>
      </x:c>
      <x:c r="AP649" s="3" t="s">
        <x:v>573</x:v>
      </x:c>
      <x:c r="AQ649" s="3" t="s">
        <x:v>546</x:v>
      </x:c>
      <x:c r="AR649" s="9" t="n">
        <x:v>751.4</x:v>
      </x:c>
      <x:c r="AS649" s="3" t="s">
        <x:v>121</x:v>
      </x:c>
      <x:c r="AT649" s="7" t="n">
        <x:v>46301.9166666667</x:v>
      </x:c>
    </x:row>
    <x:row r="650" ht="31.299999237060547" hidden="0">
      <x:c r="A650" s="3" t="s">
        <x:v>1207</x:v>
      </x:c>
      <x:c r="B650" s="3" t="s">
        <x:v>166</x:v>
      </x:c>
      <x:c r="C650" s="3" t="s">
        <x:v>167</x:v>
      </x:c>
      <x:c r="D650" s="3" t="s">
        <x:v>168</x:v>
      </x:c>
      <x:c r="E650" s="3" t="s">
        <x:v>249</x:v>
      </x:c>
      <x:c r="F650" s="3" t="s">
        <x:v>99</x:v>
      </x:c>
      <x:c r="G650" s="3" t="s">
        <x:v>390</x:v>
      </x:c>
      <x:c r="H650" s="3" t="s">
        <x:v>301</x:v>
      </x:c>
      <x:c r="I650" s="3" t="s">
        <x:v>302</x:v>
      </x:c>
      <x:c r="J650" s="3" t="s">
        <x:v>303</x:v>
      </x:c>
      <x:c r="K650" s="3" t="s">
        <x:v>104</x:v>
      </x:c>
      <x:c r="L650" s="3" t="s">
        <x:v>171</x:v>
      </x:c>
      <x:c r="M650" s="3" t="s">
        <x:v>172</x:v>
      </x:c>
      <x:c r="N650" s="3" t="s">
        <x:v>173</x:v>
      </x:c>
      <x:c r="O650" s="3" t="s">
        <x:v>174</x:v>
      </x:c>
      <x:c r="P650" s="3" t="s">
        <x:v>175</x:v>
      </x:c>
      <x:c r="Q650" s="3" t="s">
        <x:v>271</x:v>
      </x:c>
      <x:c r="R650" s="3" t="s">
        <x:v>391</x:v>
      </x:c>
      <x:c r="S650" s="3" t="s">
        <x:v>135</x:v>
      </x:c>
      <x:c r="T650" s="3" t="s">
        <x:v>135</x:v>
      </x:c>
      <x:c r="U650" s="3" t="s">
        <x:v>392</x:v>
      </x:c>
      <x:c r="V650" s="3" t="s">
        <x:v>312</x:v>
      </x:c>
      <x:c r="W650" s="3" t="s">
        <x:v>382</x:v>
      </x:c>
      <x:c r="X650" s="3" t="s">
        <x:v>314</x:v>
      </x:c>
      <x:c r="Y650" s="3" t="s">
        <x:v>383</x:v>
      </x:c>
      <x:c r="Z650" s="3" t="s">
        <x:v>393</x:v>
      </x:c>
      <x:c r="AA650" s="3" t="s">
        <x:v>394</x:v>
      </x:c>
      <x:c r="AB650" s="7" t="n">
        <x:v>46295.4798611111</x:v>
      </x:c>
      <x:c r="AC650" s="7" t="n">
        <x:v>46295.4833333333</x:v>
      </x:c>
      <x:c r="AD650" s="7" t="n">
        <x:v>46295.4854166667</x:v>
      </x:c>
      <x:c r="AE650" s="7" t="n">
        <x:v>46295.5027777778</x:v>
      </x:c>
      <x:c r="AF650" s="7" t="n">
        <x:v>46295.55</x:v>
      </x:c>
      <x:c r="AG650" s="3" t="n">
        <x:v>33</x:v>
      </x:c>
      <x:c r="AH650" s="3" t="n">
        <x:v>64</x:v>
      </x:c>
      <x:c r="AI650" s="3" t="s">
        <x:v>135</x:v>
      </x:c>
      <x:c r="AJ650" s="3" t="s">
        <x:v>135</x:v>
      </x:c>
      <x:c r="AK650" s="3" t="n">
        <x:v>180</x:v>
      </x:c>
      <x:c r="AL650" s="3" t="n">
        <x:v>0</x:v>
      </x:c>
      <x:c r="AM650" s="8" t="n">
        <x:v>0.5389</x:v>
      </x:c>
      <x:c r="AN650" s="3" t="n">
        <x:v>3</x:v>
      </x:c>
      <x:c r="AO650" s="3" t="s">
        <x:v>14</x:v>
      </x:c>
      <x:c r="AP650" s="3" t="s">
        <x:v>183</x:v>
      </x:c>
      <x:c r="AQ650" s="3" t="s">
        <x:v>802</x:v>
      </x:c>
      <x:c r="AR650" s="9" t="n">
        <x:v>1499.3</x:v>
      </x:c>
      <x:c r="AS650" s="3" t="s">
        <x:v>185</x:v>
      </x:c>
      <x:c r="AT650" s="7" t="n">
        <x:v>46301.9166666667</x:v>
      </x:c>
    </x:row>
    <x:row r="651" ht="31.299999237060547" hidden="0">
      <x:c r="A651" s="3" t="s">
        <x:v>1208</x:v>
      </x:c>
      <x:c r="B651" s="3" t="s">
        <x:v>187</x:v>
      </x:c>
      <x:c r="C651" s="3" t="s">
        <x:v>188</x:v>
      </x:c>
      <x:c r="D651" s="3" t="s">
        <x:v>189</x:v>
      </x:c>
      <x:c r="E651" s="3" t="s">
        <x:v>249</x:v>
      </x:c>
      <x:c r="F651" s="3" t="s">
        <x:v>127</x:v>
      </x:c>
      <x:c r="G651" s="3" t="s">
        <x:v>623</x:v>
      </x:c>
      <x:c r="H651" s="3" t="s">
        <x:v>101</x:v>
      </x:c>
      <x:c r="I651" s="3" t="s">
        <x:v>102</x:v>
      </x:c>
      <x:c r="J651" s="3" t="s">
        <x:v>103</x:v>
      </x:c>
      <x:c r="K651" s="3" t="s">
        <x:v>104</x:v>
      </x:c>
      <x:c r="L651" s="3" t="s">
        <x:v>191</x:v>
      </x:c>
      <x:c r="M651" s="3" t="s">
        <x:v>192</x:v>
      </x:c>
      <x:c r="N651" s="3" t="s">
        <x:v>193</x:v>
      </x:c>
      <x:c r="O651" s="3" t="s">
        <x:v>194</x:v>
      </x:c>
      <x:c r="P651" s="3" t="s">
        <x:v>195</x:v>
      </x:c>
      <x:c r="Q651" s="3" t="s">
        <x:v>273</x:v>
      </x:c>
      <x:c r="R651" s="3" t="s">
        <x:v>176</x:v>
      </x:c>
      <x:c r="S651" s="3" t="s">
        <x:v>135</x:v>
      </x:c>
      <x:c r="T651" s="3" t="s">
        <x:v>135</x:v>
      </x:c>
      <x:c r="U651" s="3" t="s">
        <x:v>177</x:v>
      </x:c>
      <x:c r="V651" s="3" t="s">
        <x:v>178</x:v>
      </x:c>
      <x:c r="W651" s="3" t="s">
        <x:v>179</x:v>
      </x:c>
      <x:c r="X651" s="3" t="s">
        <x:v>180</x:v>
      </x:c>
      <x:c r="Y651" s="3" t="s">
        <x:v>414</x:v>
      </x:c>
      <x:c r="Z651" s="3" t="s">
        <x:v>182</x:v>
      </x:c>
      <x:c r="AA651" s="3" t="s">
        <x:v>118</x:v>
      </x:c>
      <x:c r="AB651" s="7" t="n">
        <x:v>46295.5451388889</x:v>
      </x:c>
      <x:c r="AC651" s="7" t="n">
        <x:v>46295.5479166667</x:v>
      </x:c>
      <x:c r="AD651" s="7" t="n">
        <x:v>46295.5506944444</x:v>
      </x:c>
      <x:c r="AE651" s="7" t="n">
        <x:v>46295.5791666667</x:v>
      </x:c>
      <x:c r="AF651" s="7" t="n">
        <x:v>46295.625</x:v>
      </x:c>
      <x:c r="AG651" s="3" t="n">
        <x:v>49</x:v>
      </x:c>
      <x:c r="AH651" s="3" t="n">
        <x:v>60</x:v>
      </x:c>
      <x:c r="AI651" s="3" t="s">
        <x:v>135</x:v>
      </x:c>
      <x:c r="AJ651" s="3" t="s">
        <x:v>111</x:v>
      </x:c>
      <x:c r="AK651" s="3" t="n">
        <x:v>150</x:v>
      </x:c>
      <x:c r="AL651" s="3" t="n">
        <x:v>0</x:v>
      </x:c>
      <x:c r="AM651" s="8" t="n">
        <x:v>0.7267</x:v>
      </x:c>
      <x:c r="AN651" s="3" t="n">
        <x:v>0</x:v>
      </x:c>
      <x:c r="AO651" s="3" t="s">
        <x:v>14</x:v>
      </x:c>
      <x:c r="AP651" s="3" t="s">
        <x:v>318</x:v>
      </x:c>
      <x:c r="AQ651" s="3" t="s">
        <x:v>386</x:v>
      </x:c>
      <x:c r="AR651" s="9" t="n">
        <x:v>1292.5</x:v>
      </x:c>
      <x:c r="AS651" s="3" t="s">
        <x:v>121</x:v>
      </x:c>
      <x:c r="AT651" s="7" t="n">
        <x:v>46301.9166666667</x:v>
      </x:c>
    </x:row>
    <x:row r="652" ht="31.299999237060547" hidden="0">
      <x:c r="A652" s="3" t="s">
        <x:v>1209</x:v>
      </x:c>
      <x:c r="B652" s="3" t="s">
        <x:v>166</x:v>
      </x:c>
      <x:c r="C652" s="3" t="s">
        <x:v>167</x:v>
      </x:c>
      <x:c r="D652" s="3" t="s">
        <x:v>168</x:v>
      </x:c>
      <x:c r="E652" s="3" t="s">
        <x:v>249</x:v>
      </x:c>
      <x:c r="F652" s="3" t="s">
        <x:v>127</x:v>
      </x:c>
      <x:c r="G652" s="3" t="s">
        <x:v>410</x:v>
      </x:c>
      <x:c r="H652" s="3" t="s">
        <x:v>343</x:v>
      </x:c>
      <x:c r="I652" s="3" t="s">
        <x:v>102</x:v>
      </x:c>
      <x:c r="J652" s="3" t="s">
        <x:v>103</x:v>
      </x:c>
      <x:c r="K652" s="3" t="s">
        <x:v>104</x:v>
      </x:c>
      <x:c r="L652" s="3" t="s">
        <x:v>171</x:v>
      </x:c>
      <x:c r="M652" s="3" t="s">
        <x:v>172</x:v>
      </x:c>
      <x:c r="N652" s="3" t="s">
        <x:v>173</x:v>
      </x:c>
      <x:c r="O652" s="3" t="s">
        <x:v>174</x:v>
      </x:c>
      <x:c r="P652" s="3" t="s">
        <x:v>175</x:v>
      </x:c>
      <x:c r="Q652" s="3" t="s">
        <x:v>271</x:v>
      </x:c>
      <x:c r="R652" s="3" t="s">
        <x:v>344</x:v>
      </x:c>
      <x:c r="S652" s="3" t="s">
        <x:v>111</x:v>
      </x:c>
      <x:c r="T652" s="3" t="s">
        <x:v>111</x:v>
      </x:c>
      <x:c r="U652" s="3" t="s">
        <x:v>345</x:v>
      </x:c>
      <x:c r="V652" s="3" t="s">
        <x:v>178</x:v>
      </x:c>
      <x:c r="W652" s="3" t="s">
        <x:v>179</x:v>
      </x:c>
      <x:c r="X652" s="3" t="s">
        <x:v>180</x:v>
      </x:c>
      <x:c r="Y652" s="3" t="s">
        <x:v>414</x:v>
      </x:c>
      <x:c r="Z652" s="3" t="s">
        <x:v>346</x:v>
      </x:c>
      <x:c r="AA652" s="3" t="s">
        <x:v>118</x:v>
      </x:c>
      <x:c r="AB652" s="7" t="n">
        <x:v>46295.5597222222</x:v>
      </x:c>
      <x:c r="AC652" s="7" t="n">
        <x:v>46295.5631944445</x:v>
      </x:c>
      <x:c r="AD652" s="7" t="n">
        <x:v>46295.5652777778</x:v>
      </x:c>
      <x:c r="AE652" s="7" t="n">
        <x:v>46295.5784722222</x:v>
      </x:c>
      <x:c r="AF652" s="7" t="n">
        <x:v>46295.6291666667</x:v>
      </x:c>
      <x:c r="AG652" s="3" t="n">
        <x:v>27</x:v>
      </x:c>
      <x:c r="AH652" s="3" t="n">
        <x:v>69</x:v>
      </x:c>
      <x:c r="AI652" s="3" t="s">
        <x:v>135</x:v>
      </x:c>
      <x:c r="AJ652" s="3" t="s">
        <x:v>135</x:v>
      </x:c>
      <x:c r="AK652" s="3" t="n">
        <x:v>120</x:v>
      </x:c>
      <x:c r="AL652" s="3" t="n">
        <x:v>0</x:v>
      </x:c>
      <x:c r="AM652" s="8" t="n">
        <x:v>0.8</x:v>
      </x:c>
      <x:c r="AN652" s="3" t="n">
        <x:v>0</x:v>
      </x:c>
      <x:c r="AO652" s="3" t="s">
        <x:v>14</x:v>
      </x:c>
      <x:c r="AP652" s="3" t="s">
        <x:v>347</x:v>
      </x:c>
      <x:c r="AQ652" s="3" t="s">
        <x:v>340</x:v>
      </x:c>
      <x:c r="AR652" s="9" t="n">
        <x:v>1258.3</x:v>
      </x:c>
      <x:c r="AS652" s="3" t="s">
        <x:v>185</x:v>
      </x:c>
      <x:c r="AT652" s="7" t="n">
        <x:v>46301.9166666667</x:v>
      </x:c>
    </x:row>
    <x:row r="653" ht="31.299999237060547" hidden="0">
      <x:c r="A653" s="3" t="s">
        <x:v>1210</x:v>
      </x:c>
      <x:c r="B653" s="3" t="s">
        <x:v>222</x:v>
      </x:c>
      <x:c r="C653" s="3" t="s">
        <x:v>223</x:v>
      </x:c>
      <x:c r="D653" s="3" t="s">
        <x:v>224</x:v>
      </x:c>
      <x:c r="E653" s="3" t="s">
        <x:v>249</x:v>
      </x:c>
      <x:c r="F653" s="3" t="s">
        <x:v>149</x:v>
      </x:c>
      <x:c r="G653" s="3" t="s">
        <x:v>359</x:v>
      </x:c>
      <x:c r="H653" s="3" t="s">
        <x:v>101</x:v>
      </x:c>
      <x:c r="I653" s="3" t="s">
        <x:v>102</x:v>
      </x:c>
      <x:c r="J653" s="3" t="s">
        <x:v>103</x:v>
      </x:c>
      <x:c r="K653" s="3" t="s">
        <x:v>104</x:v>
      </x:c>
      <x:c r="L653" s="3" t="s">
        <x:v>226</x:v>
      </x:c>
      <x:c r="M653" s="3" t="s">
        <x:v>227</x:v>
      </x:c>
      <x:c r="N653" s="3" t="s">
        <x:v>228</x:v>
      </x:c>
      <x:c r="O653" s="3" t="s">
        <x:v>229</x:v>
      </x:c>
      <x:c r="P653" s="3" t="s">
        <x:v>230</x:v>
      </x:c>
      <x:c r="Q653" s="3" t="s">
        <x:v>274</x:v>
      </x:c>
      <x:c r="R653" s="3" t="s">
        <x:v>156</x:v>
      </x:c>
      <x:c r="S653" s="3" t="s">
        <x:v>135</x:v>
      </x:c>
      <x:c r="T653" s="3" t="s">
        <x:v>111</x:v>
      </x:c>
      <x:c r="U653" s="3" t="s">
        <x:v>157</x:v>
      </x:c>
      <x:c r="V653" s="3" t="s">
        <x:v>158</x:v>
      </x:c>
      <x:c r="W653" s="3" t="s">
        <x:v>450</x:v>
      </x:c>
      <x:c r="X653" s="3" t="s">
        <x:v>160</x:v>
      </x:c>
      <x:c r="Y653" s="3" t="s">
        <x:v>451</x:v>
      </x:c>
      <x:c r="Z653" s="3" t="s">
        <x:v>162</x:v>
      </x:c>
      <x:c r="AA653" s="3" t="s">
        <x:v>118</x:v>
      </x:c>
      <x:c r="AB653" s="7" t="n">
        <x:v>46295.5798611111</x:v>
      </x:c>
      <x:c r="AC653" s="7" t="n">
        <x:v>46295.5819444444</x:v>
      </x:c>
      <x:c r="AD653" s="7" t="n">
        <x:v>46295.5861111111</x:v>
      </x:c>
      <x:c r="AE653" s="7" t="n">
        <x:v>46295.5951388889</x:v>
      </x:c>
      <x:c r="AF653" s="7" t="n">
        <x:v>46295.6333333333</x:v>
      </x:c>
      <x:c r="AG653" s="3" t="n">
        <x:v>22</x:v>
      </x:c>
      <x:c r="AH653" s="3" t="n">
        <x:v>48</x:v>
      </x:c>
      <x:c r="AI653" s="3" t="s">
        <x:v>135</x:v>
      </x:c>
      <x:c r="AJ653" s="3" t="s">
        <x:v>135</x:v>
      </x:c>
      <x:c r="AK653" s="3" t="n">
        <x:v>180</x:v>
      </x:c>
      <x:c r="AL653" s="3" t="n">
        <x:v>0</x:v>
      </x:c>
      <x:c r="AM653" s="8" t="n">
        <x:v>0.3889</x:v>
      </x:c>
      <x:c r="AN653" s="3" t="n">
        <x:v>2</x:v>
      </x:c>
      <x:c r="AO653" s="3" t="s">
        <x:v>14</x:v>
      </x:c>
      <x:c r="AP653" s="3" t="s">
        <x:v>573</x:v>
      </x:c>
      <x:c r="AQ653" s="3" t="s">
        <x:v>546</x:v>
      </x:c>
      <x:c r="AR653" s="9" t="n">
        <x:v>704.6</x:v>
      </x:c>
      <x:c r="AS653" s="3" t="s">
        <x:v>121</x:v>
      </x:c>
      <x:c r="AT653" s="7" t="n">
        <x:v>46301.9166666667</x:v>
      </x:c>
    </x:row>
    <x:row r="654" ht="31.299999237060547" hidden="0">
      <x:c r="A654" s="3" t="s">
        <x:v>1211</x:v>
      </x:c>
      <x:c r="B654" s="3" t="s">
        <x:v>397</x:v>
      </x:c>
      <x:c r="C654" s="3" t="s">
        <x:v>398</x:v>
      </x:c>
      <x:c r="D654" s="3" t="s">
        <x:v>399</x:v>
      </x:c>
      <x:c r="E654" s="3" t="s">
        <x:v>249</x:v>
      </x:c>
      <x:c r="F654" s="3" t="s">
        <x:v>99</x:v>
      </x:c>
      <x:c r="G654" s="3" t="s">
        <x:v>480</x:v>
      </x:c>
      <x:c r="H654" s="3" t="s">
        <x:v>301</x:v>
      </x:c>
      <x:c r="I654" s="3" t="s">
        <x:v>302</x:v>
      </x:c>
      <x:c r="J654" s="3" t="s">
        <x:v>303</x:v>
      </x:c>
      <x:c r="K654" s="3" t="s">
        <x:v>104</x:v>
      </x:c>
      <x:c r="L654" s="3" t="s">
        <x:v>401</x:v>
      </x:c>
      <x:c r="M654" s="3" t="s">
        <x:v>402</x:v>
      </x:c>
      <x:c r="N654" s="3" t="s">
        <x:v>403</x:v>
      </x:c>
      <x:c r="O654" s="3" t="s">
        <x:v>404</x:v>
      </x:c>
      <x:c r="P654" s="3" t="s">
        <x:v>405</x:v>
      </x:c>
      <x:c r="Q654" s="3" t="s">
        <x:v>406</x:v>
      </x:c>
      <x:c r="R654" s="3" t="s">
        <x:v>134</x:v>
      </x:c>
      <x:c r="S654" s="3" t="s">
        <x:v>135</x:v>
      </x:c>
      <x:c r="T654" s="3" t="s">
        <x:v>111</x:v>
      </x:c>
      <x:c r="U654" s="3" t="s">
        <x:v>136</x:v>
      </x:c>
      <x:c r="V654" s="3" t="s">
        <x:v>137</x:v>
      </x:c>
      <x:c r="W654" s="3" t="s">
        <x:v>138</x:v>
      </x:c>
      <x:c r="X654" s="3" t="s">
        <x:v>139</x:v>
      </x:c>
      <x:c r="Y654" s="3" t="s">
        <x:v>454</x:v>
      </x:c>
      <x:c r="Z654" s="3" t="s">
        <x:v>141</x:v>
      </x:c>
      <x:c r="AA654" s="3" t="s">
        <x:v>118</x:v>
      </x:c>
      <x:c r="AB654" s="7" t="n">
        <x:v>46295.5819444444</x:v>
      </x:c>
      <x:c r="AC654" s="7" t="n">
        <x:v>46295.5833333333</x:v>
      </x:c>
      <x:c r="AD654" s="7" t="n">
        <x:v>46295.5861111111</x:v>
      </x:c>
      <x:c r="AE654" s="7" t="n">
        <x:v>46295.6138888889</x:v>
      </x:c>
      <x:c r="AF654" s="7" t="n">
        <x:v>46295.6298611111</x:v>
      </x:c>
      <x:c r="AG654" s="3" t="n">
        <x:v>46</x:v>
      </x:c>
      <x:c r="AH654" s="3" t="n">
        <x:v>17</x:v>
      </x:c>
      <x:c r="AI654" s="3" t="s">
        <x:v>135</x:v>
      </x:c>
      <x:c r="AJ654" s="3" t="s">
        <x:v>135</x:v>
      </x:c>
      <x:c r="AK654" s="3" t="n">
        <x:v>180</x:v>
      </x:c>
      <x:c r="AL654" s="3" t="n">
        <x:v>0</x:v>
      </x:c>
      <x:c r="AM654" s="8" t="n">
        <x:v>0.35</x:v>
      </x:c>
      <x:c r="AN654" s="3" t="n">
        <x:v>2</x:v>
      </x:c>
      <x:c r="AO654" s="3" t="s">
        <x:v>14</x:v>
      </x:c>
      <x:c r="AP654" s="3" t="s">
        <x:v>573</x:v>
      </x:c>
      <x:c r="AQ654" s="3" t="s">
        <x:v>539</x:v>
      </x:c>
      <x:c r="AR654" s="9" t="n">
        <x:v>589.4</x:v>
      </x:c>
      <x:c r="AS654" s="3" t="s">
        <x:v>121</x:v>
      </x:c>
      <x:c r="AT654" s="7" t="n">
        <x:v>46301.9166666667</x:v>
      </x:c>
    </x:row>
    <x:row r="655" ht="31.299999237060547" hidden="0">
      <x:c r="A655" s="3" t="s">
        <x:v>1212</x:v>
      </x:c>
      <x:c r="B655" s="3" t="s">
        <x:v>433</x:v>
      </x:c>
      <x:c r="C655" s="3" t="s">
        <x:v>434</x:v>
      </x:c>
      <x:c r="D655" s="3" t="s">
        <x:v>435</x:v>
      </x:c>
      <x:c r="E655" s="3" t="s">
        <x:v>249</x:v>
      </x:c>
      <x:c r="F655" s="3" t="s">
        <x:v>149</x:v>
      </x:c>
      <x:c r="G655" s="3" t="s">
        <x:v>512</x:v>
      </x:c>
      <x:c r="H655" s="3" t="s">
        <x:v>301</x:v>
      </x:c>
      <x:c r="I655" s="3" t="s">
        <x:v>302</x:v>
      </x:c>
      <x:c r="J655" s="3" t="s">
        <x:v>303</x:v>
      </x:c>
      <x:c r="K655" s="3" t="s">
        <x:v>104</x:v>
      </x:c>
      <x:c r="L655" s="3" t="s">
        <x:v>437</x:v>
      </x:c>
      <x:c r="M655" s="3" t="s">
        <x:v>106</x:v>
      </x:c>
      <x:c r="N655" s="3" t="s">
        <x:v>438</x:v>
      </x:c>
      <x:c r="O655" s="3" t="s">
        <x:v>439</x:v>
      </x:c>
      <x:c r="P655" s="3" t="s">
        <x:v>440</x:v>
      </x:c>
      <x:c r="Q655" s="3" t="s">
        <x:v>441</x:v>
      </x:c>
      <x:c r="R655" s="3" t="s">
        <x:v>214</x:v>
      </x:c>
      <x:c r="S655" s="3" t="s">
        <x:v>135</x:v>
      </x:c>
      <x:c r="T655" s="3" t="s">
        <x:v>111</x:v>
      </x:c>
      <x:c r="U655" s="3" t="s">
        <x:v>215</x:v>
      </x:c>
      <x:c r="V655" s="3" t="s">
        <x:v>216</x:v>
      </x:c>
      <x:c r="W655" s="3" t="s">
        <x:v>429</x:v>
      </x:c>
      <x:c r="X655" s="3" t="s">
        <x:v>430</x:v>
      </x:c>
      <x:c r="Y655" s="3" t="s">
        <x:v>431</x:v>
      </x:c>
      <x:c r="Z655" s="3" t="s">
        <x:v>219</x:v>
      </x:c>
      <x:c r="AA655" s="3" t="s">
        <x:v>118</x:v>
      </x:c>
      <x:c r="AB655" s="7" t="n">
        <x:v>46295.5916666667</x:v>
      </x:c>
      <x:c r="AC655" s="7" t="n">
        <x:v>46295.5930555556</x:v>
      </x:c>
      <x:c r="AD655" s="7" t="n">
        <x:v>46295.5944444445</x:v>
      </x:c>
      <x:c r="AE655" s="7" t="n">
        <x:v>46295.6083333333</x:v>
      </x:c>
      <x:c r="AF655" s="7" t="n">
        <x:v>46295.65625</x:v>
      </x:c>
      <x:c r="AG655" s="3" t="n">
        <x:v>24</x:v>
      </x:c>
      <x:c r="AH655" s="3" t="n">
        <x:v>60</x:v>
      </x:c>
      <x:c r="AI655" s="3" t="s">
        <x:v>135</x:v>
      </x:c>
      <x:c r="AJ655" s="3" t="s">
        <x:v>135</x:v>
      </x:c>
      <x:c r="AK655" s="3" t="n">
        <x:v>180</x:v>
      </x:c>
      <x:c r="AL655" s="3" t="n">
        <x:v>0</x:v>
      </x:c>
      <x:c r="AM655" s="8" t="n">
        <x:v>0.4667</x:v>
      </x:c>
      <x:c r="AN655" s="3" t="n">
        <x:v>0</x:v>
      </x:c>
      <x:c r="AO655" s="3" t="s">
        <x:v>9</x:v>
      </x:c>
      <x:c r="AP655" s="3" t="s">
        <x:v>142</x:v>
      </x:c>
      <x:c r="AQ655" s="3" t="s">
        <x:v>120</x:v>
      </x:c>
      <x:c r="AR655" s="9" t="n">
        <x:v>800</x:v>
      </x:c>
      <x:c r="AS655" s="3" t="s">
        <x:v>144</x:v>
      </x:c>
      <x:c r="AT655" s="7" t="n">
        <x:v>46301.9166666667</x:v>
      </x:c>
    </x:row>
    <x:row r="656" ht="31.299999237060547" hidden="0">
      <x:c r="A656" s="3" t="s">
        <x:v>1213</x:v>
      </x:c>
      <x:c r="B656" s="3" t="s">
        <x:v>146</x:v>
      </x:c>
      <x:c r="C656" s="3" t="s">
        <x:v>147</x:v>
      </x:c>
      <x:c r="D656" s="3" t="s">
        <x:v>148</x:v>
      </x:c>
      <x:c r="E656" s="3" t="s">
        <x:v>249</x:v>
      </x:c>
      <x:c r="F656" s="3" t="s">
        <x:v>127</x:v>
      </x:c>
      <x:c r="G656" s="3" t="s">
        <x:v>498</x:v>
      </x:c>
      <x:c r="H656" s="3" t="s">
        <x:v>101</x:v>
      </x:c>
      <x:c r="I656" s="3" t="s">
        <x:v>102</x:v>
      </x:c>
      <x:c r="J656" s="3" t="s">
        <x:v>103</x:v>
      </x:c>
      <x:c r="K656" s="3" t="s">
        <x:v>104</x:v>
      </x:c>
      <x:c r="L656" s="3" t="s">
        <x:v>151</x:v>
      </x:c>
      <x:c r="M656" s="3" t="s">
        <x:v>152</x:v>
      </x:c>
      <x:c r="N656" s="3" t="s">
        <x:v>153</x:v>
      </x:c>
      <x:c r="O656" s="3" t="s">
        <x:v>154</x:v>
      </x:c>
      <x:c r="P656" s="3" t="s">
        <x:v>155</x:v>
      </x:c>
      <x:c r="Q656" s="3" t="s">
        <x:v>270</x:v>
      </x:c>
      <x:c r="R656" s="3" t="s">
        <x:v>310</x:v>
      </x:c>
      <x:c r="S656" s="3" t="s">
        <x:v>135</x:v>
      </x:c>
      <x:c r="T656" s="3" t="s">
        <x:v>111</x:v>
      </x:c>
      <x:c r="U656" s="3" t="s">
        <x:v>311</x:v>
      </x:c>
      <x:c r="V656" s="3" t="s">
        <x:v>312</x:v>
      </x:c>
      <x:c r="W656" s="3" t="s">
        <x:v>313</x:v>
      </x:c>
      <x:c r="X656" s="3" t="s">
        <x:v>314</x:v>
      </x:c>
      <x:c r="Y656" s="3" t="s">
        <x:v>315</x:v>
      </x:c>
      <x:c r="Z656" s="3" t="s">
        <x:v>316</x:v>
      </x:c>
      <x:c r="AA656" s="3" t="s">
        <x:v>317</x:v>
      </x:c>
      <x:c r="AB656" s="7" t="n">
        <x:v>46295.7215277778</x:v>
      </x:c>
      <x:c r="AC656" s="7" t="n">
        <x:v>46295.7256944444</x:v>
      </x:c>
      <x:c r="AD656" s="7" t="n">
        <x:v>46295.7305555556</x:v>
      </x:c>
      <x:c r="AE656" s="7" t="n">
        <x:v>46295.7604166667</x:v>
      </x:c>
      <x:c r="AF656" s="7" t="n">
        <x:v>46295.78125</x:v>
      </x:c>
      <x:c r="AG656" s="3" t="n">
        <x:v>56</x:v>
      </x:c>
      <x:c r="AH656" s="3" t="n">
        <x:v>24</x:v>
      </x:c>
      <x:c r="AI656" s="3" t="s">
        <x:v>135</x:v>
      </x:c>
      <x:c r="AJ656" s="3" t="s">
        <x:v>135</x:v>
      </x:c>
      <x:c r="AK656" s="3" t="n">
        <x:v>180</x:v>
      </x:c>
      <x:c r="AL656" s="3" t="n">
        <x:v>0</x:v>
      </x:c>
      <x:c r="AM656" s="8" t="n">
        <x:v>0.4444</x:v>
      </x:c>
      <x:c r="AN656" s="3" t="n">
        <x:v>4</x:v>
      </x:c>
      <x:c r="AO656" s="3" t="s">
        <x:v>14</x:v>
      </x:c>
      <x:c r="AP656" s="3" t="s">
        <x:v>889</x:v>
      </x:c>
      <x:c r="AQ656" s="3" t="s">
        <x:v>1010</x:v>
      </x:c>
      <x:c r="AR656" s="9" t="n">
        <x:v>934.8</x:v>
      </x:c>
      <x:c r="AS656" s="3" t="s">
        <x:v>185</x:v>
      </x:c>
      <x:c r="AT656" s="7" t="n">
        <x:v>46301.9166666667</x:v>
      </x:c>
    </x:row>
    <x:row r="657" ht="31.299999237060547" hidden="0">
      <x:c r="A657" s="3" t="s">
        <x:v>1214</x:v>
      </x:c>
      <x:c r="B657" s="3" t="s">
        <x:v>187</x:v>
      </x:c>
      <x:c r="C657" s="3" t="s">
        <x:v>188</x:v>
      </x:c>
      <x:c r="D657" s="3" t="s">
        <x:v>189</x:v>
      </x:c>
      <x:c r="E657" s="3" t="s">
        <x:v>249</x:v>
      </x:c>
      <x:c r="F657" s="3" t="s">
        <x:v>127</x:v>
      </x:c>
      <x:c r="G657" s="3" t="s">
        <x:v>338</x:v>
      </x:c>
      <x:c r="H657" s="3" t="s">
        <x:v>339</x:v>
      </x:c>
      <x:c r="I657" s="3" t="s">
        <x:v>102</x:v>
      </x:c>
      <x:c r="J657" s="3" t="s">
        <x:v>103</x:v>
      </x:c>
      <x:c r="K657" s="3" t="s">
        <x:v>104</x:v>
      </x:c>
      <x:c r="L657" s="3" t="s">
        <x:v>191</x:v>
      </x:c>
      <x:c r="M657" s="3" t="s">
        <x:v>192</x:v>
      </x:c>
      <x:c r="N657" s="3" t="s">
        <x:v>193</x:v>
      </x:c>
      <x:c r="O657" s="3" t="s">
        <x:v>194</x:v>
      </x:c>
      <x:c r="P657" s="3" t="s">
        <x:v>195</x:v>
      </x:c>
      <x:c r="Q657" s="3" t="s">
        <x:v>273</x:v>
      </x:c>
      <x:c r="R657" s="3" t="s">
        <x:v>310</x:v>
      </x:c>
      <x:c r="S657" s="3" t="s">
        <x:v>135</x:v>
      </x:c>
      <x:c r="T657" s="3" t="s">
        <x:v>111</x:v>
      </x:c>
      <x:c r="U657" s="3" t="s">
        <x:v>311</x:v>
      </x:c>
      <x:c r="V657" s="3" t="s">
        <x:v>312</x:v>
      </x:c>
      <x:c r="W657" s="3" t="s">
        <x:v>313</x:v>
      </x:c>
      <x:c r="X657" s="3" t="s">
        <x:v>314</x:v>
      </x:c>
      <x:c r="Y657" s="3" t="s">
        <x:v>315</x:v>
      </x:c>
      <x:c r="Z657" s="3" t="s">
        <x:v>316</x:v>
      </x:c>
      <x:c r="AA657" s="3" t="s">
        <x:v>317</x:v>
      </x:c>
      <x:c r="AB657" s="7" t="n">
        <x:v>46295.7881944444</x:v>
      </x:c>
      <x:c r="AC657" s="7" t="n">
        <x:v>46295.7923611111</x:v>
      </x:c>
      <x:c r="AD657" s="7" t="n">
        <x:v>46295.7979166667</x:v>
      </x:c>
      <x:c r="AE657" s="7" t="n">
        <x:v>46295.8180555556</x:v>
      </x:c>
      <x:c r="AF657" s="7" t="n">
        <x:v>46295.8770833333</x:v>
      </x:c>
      <x:c r="AG657" s="3" t="n">
        <x:v>43</x:v>
      </x:c>
      <x:c r="AH657" s="3" t="n">
        <x:v>77</x:v>
      </x:c>
      <x:c r="AI657" s="3" t="s">
        <x:v>135</x:v>
      </x:c>
      <x:c r="AJ657" s="3" t="s">
        <x:v>111</x:v>
      </x:c>
      <x:c r="AK657" s="3" t="n">
        <x:v>150</x:v>
      </x:c>
      <x:c r="AL657" s="3" t="n">
        <x:v>0</x:v>
      </x:c>
      <x:c r="AM657" s="8" t="n">
        <x:v>0.8</x:v>
      </x:c>
      <x:c r="AN657" s="3" t="n">
        <x:v>0</x:v>
      </x:c>
      <x:c r="AO657" s="3" t="s">
        <x:v>14</x:v>
      </x:c>
      <x:c r="AP657" s="3" t="s">
        <x:v>318</x:v>
      </x:c>
      <x:c r="AQ657" s="3" t="s">
        <x:v>386</x:v>
      </x:c>
      <x:c r="AR657" s="9" t="n">
        <x:v>1387.9</x:v>
      </x:c>
      <x:c r="AS657" s="3" t="s">
        <x:v>185</x:v>
      </x:c>
      <x:c r="AT657" s="7" t="n">
        <x:v>46301.9166666667</x:v>
      </x:c>
    </x:row>
    <x:row r="658" ht="31.299999237060547" hidden="0">
      <x:c r="A658" s="3" t="s">
        <x:v>1215</x:v>
      </x:c>
      <x:c r="B658" s="3" t="s">
        <x:v>222</x:v>
      </x:c>
      <x:c r="C658" s="3" t="s">
        <x:v>223</x:v>
      </x:c>
      <x:c r="D658" s="3" t="s">
        <x:v>224</x:v>
      </x:c>
      <x:c r="E658" s="3" t="s">
        <x:v>249</x:v>
      </x:c>
      <x:c r="F658" s="3" t="s">
        <x:v>169</x:v>
      </x:c>
      <x:c r="G658" s="3" t="s">
        <x:v>359</x:v>
      </x:c>
      <x:c r="H658" s="3" t="s">
        <x:v>101</x:v>
      </x:c>
      <x:c r="I658" s="3" t="s">
        <x:v>102</x:v>
      </x:c>
      <x:c r="J658" s="3" t="s">
        <x:v>103</x:v>
      </x:c>
      <x:c r="K658" s="3" t="s">
        <x:v>104</x:v>
      </x:c>
      <x:c r="L658" s="3" t="s">
        <x:v>226</x:v>
      </x:c>
      <x:c r="M658" s="3" t="s">
        <x:v>227</x:v>
      </x:c>
      <x:c r="N658" s="3" t="s">
        <x:v>228</x:v>
      </x:c>
      <x:c r="O658" s="3" t="s">
        <x:v>229</x:v>
      </x:c>
      <x:c r="P658" s="3" t="s">
        <x:v>230</x:v>
      </x:c>
      <x:c r="Q658" s="3" t="s">
        <x:v>274</x:v>
      </x:c>
      <x:c r="R658" s="3" t="s">
        <x:v>156</x:v>
      </x:c>
      <x:c r="S658" s="3" t="s">
        <x:v>135</x:v>
      </x:c>
      <x:c r="T658" s="3" t="s">
        <x:v>111</x:v>
      </x:c>
      <x:c r="U658" s="3" t="s">
        <x:v>157</x:v>
      </x:c>
      <x:c r="V658" s="3" t="s">
        <x:v>158</x:v>
      </x:c>
      <x:c r="W658" s="3" t="s">
        <x:v>450</x:v>
      </x:c>
      <x:c r="X658" s="3" t="s">
        <x:v>160</x:v>
      </x:c>
      <x:c r="Y658" s="3" t="s">
        <x:v>451</x:v>
      </x:c>
      <x:c r="Z658" s="3" t="s">
        <x:v>162</x:v>
      </x:c>
      <x:c r="AA658" s="3" t="s">
        <x:v>118</x:v>
      </x:c>
      <x:c r="AB658" s="7" t="n">
        <x:v>46296.3069444444</x:v>
      </x:c>
      <x:c r="AC658" s="7" t="n">
        <x:v>46296.3090277778</x:v>
      </x:c>
      <x:c r="AD658" s="7" t="n">
        <x:v>46296.3111111111</x:v>
      </x:c>
      <x:c r="AE658" s="7" t="n">
        <x:v>46296.3388888889</x:v>
      </x:c>
      <x:c r="AF658" s="7" t="n">
        <x:v>46296.3701388889</x:v>
      </x:c>
      <x:c r="AG658" s="3" t="n">
        <x:v>46</x:v>
      </x:c>
      <x:c r="AH658" s="3" t="n">
        <x:v>36</x:v>
      </x:c>
      <x:c r="AI658" s="3" t="s">
        <x:v>135</x:v>
      </x:c>
      <x:c r="AJ658" s="3" t="s">
        <x:v>135</x:v>
      </x:c>
      <x:c r="AK658" s="3" t="n">
        <x:v>180</x:v>
      </x:c>
      <x:c r="AL658" s="3" t="n">
        <x:v>0</x:v>
      </x:c>
      <x:c r="AM658" s="8" t="n">
        <x:v>0.4556</x:v>
      </x:c>
      <x:c r="AN658" s="3" t="n">
        <x:v>3</x:v>
      </x:c>
      <x:c r="AO658" s="3" t="s">
        <x:v>14</x:v>
      </x:c>
      <x:c r="AP658" s="3" t="s">
        <x:v>183</x:v>
      </x:c>
      <x:c r="AQ658" s="3" t="s">
        <x:v>1216</x:v>
      </x:c>
      <x:c r="AR658" s="9" t="n">
        <x:v>976.2</x:v>
      </x:c>
      <x:c r="AS658" s="3" t="s">
        <x:v>185</x:v>
      </x:c>
      <x:c r="AT658" s="7" t="n">
        <x:v>46301.9166666667</x:v>
      </x:c>
    </x:row>
    <x:row r="659" ht="31.299999237060547" hidden="0">
      <x:c r="A659" s="3" t="s">
        <x:v>1217</x:v>
      </x:c>
      <x:c r="B659" s="3" t="s">
        <x:v>397</x:v>
      </x:c>
      <x:c r="C659" s="3" t="s">
        <x:v>398</x:v>
      </x:c>
      <x:c r="D659" s="3" t="s">
        <x:v>399</x:v>
      </x:c>
      <x:c r="E659" s="3" t="s">
        <x:v>249</x:v>
      </x:c>
      <x:c r="F659" s="3" t="s">
        <x:v>169</x:v>
      </x:c>
      <x:c r="G659" s="3" t="s">
        <x:v>575</x:v>
      </x:c>
      <x:c r="H659" s="3" t="s">
        <x:v>301</x:v>
      </x:c>
      <x:c r="I659" s="3" t="s">
        <x:v>302</x:v>
      </x:c>
      <x:c r="J659" s="3" t="s">
        <x:v>303</x:v>
      </x:c>
      <x:c r="K659" s="3" t="s">
        <x:v>104</x:v>
      </x:c>
      <x:c r="L659" s="3" t="s">
        <x:v>401</x:v>
      </x:c>
      <x:c r="M659" s="3" t="s">
        <x:v>402</x:v>
      </x:c>
      <x:c r="N659" s="3" t="s">
        <x:v>403</x:v>
      </x:c>
      <x:c r="O659" s="3" t="s">
        <x:v>404</x:v>
      </x:c>
      <x:c r="P659" s="3" t="s">
        <x:v>405</x:v>
      </x:c>
      <x:c r="Q659" s="3" t="s">
        <x:v>406</x:v>
      </x:c>
      <x:c r="R659" s="3" t="s">
        <x:v>196</x:v>
      </x:c>
      <x:c r="S659" s="3" t="s">
        <x:v>111</x:v>
      </x:c>
      <x:c r="T659" s="3" t="s">
        <x:v>111</x:v>
      </x:c>
      <x:c r="U659" s="3" t="s">
        <x:v>197</x:v>
      </x:c>
      <x:c r="V659" s="3" t="s">
        <x:v>198</x:v>
      </x:c>
      <x:c r="W659" s="3" t="s">
        <x:v>199</x:v>
      </x:c>
      <x:c r="X659" s="3" t="s">
        <x:v>366</x:v>
      </x:c>
      <x:c r="Y659" s="3" t="s">
        <x:v>527</x:v>
      </x:c>
      <x:c r="Z659" s="3" t="s">
        <x:v>201</x:v>
      </x:c>
      <x:c r="AA659" s="3" t="s">
        <x:v>368</x:v>
      </x:c>
      <x:c r="AB659" s="7" t="n">
        <x:v>46296.4145833333</x:v>
      </x:c>
      <x:c r="AC659" s="7" t="n">
        <x:v>46296.4180555556</x:v>
      </x:c>
      <x:c r="AD659" s="7" t="n">
        <x:v>46296.4222222222</x:v>
      </x:c>
      <x:c r="AE659" s="7" t="n">
        <x:v>46296.4326388889</x:v>
      </x:c>
      <x:c r="AF659" s="7" t="n">
        <x:v>46296.46875</x:v>
      </x:c>
      <x:c r="AG659" s="3" t="n">
        <x:v>26</x:v>
      </x:c>
      <x:c r="AH659" s="3" t="n">
        <x:v>42</x:v>
      </x:c>
      <x:c r="AI659" s="3" t="s">
        <x:v>135</x:v>
      </x:c>
      <x:c r="AJ659" s="3" t="s">
        <x:v>135</x:v>
      </x:c>
      <x:c r="AK659" s="3" t="n">
        <x:v>120</x:v>
      </x:c>
      <x:c r="AL659" s="3" t="n">
        <x:v>0</x:v>
      </x:c>
      <x:c r="AM659" s="8" t="n">
        <x:v>0.5667</x:v>
      </x:c>
      <x:c r="AN659" s="3" t="n">
        <x:v>1</x:v>
      </x:c>
      <x:c r="AO659" s="3" t="s">
        <x:v>9</x:v>
      </x:c>
      <x:c r="AP659" s="3" t="s">
        <x:v>500</x:v>
      </x:c>
      <x:c r="AQ659" s="3" t="s">
        <x:v>539</x:v>
      </x:c>
      <x:c r="AR659" s="9" t="n">
        <x:v>679.4</x:v>
      </x:c>
      <x:c r="AS659" s="3" t="s">
        <x:v>121</x:v>
      </x:c>
      <x:c r="AT659" s="7" t="n">
        <x:v>46301.9166666667</x:v>
      </x:c>
    </x:row>
    <x:row r="660" ht="31.299999237060547" hidden="0">
      <x:c r="A660" s="3" t="s">
        <x:v>1218</x:v>
      </x:c>
      <x:c r="B660" s="3" t="s">
        <x:v>297</x:v>
      </x:c>
      <x:c r="C660" s="3" t="s">
        <x:v>298</x:v>
      </x:c>
      <x:c r="D660" s="3" t="s">
        <x:v>299</x:v>
      </x:c>
      <x:c r="E660" s="3" t="s">
        <x:v>249</x:v>
      </x:c>
      <x:c r="F660" s="3" t="s">
        <x:v>149</x:v>
      </x:c>
      <x:c r="G660" s="3" t="s">
        <x:v>657</x:v>
      </x:c>
      <x:c r="H660" s="3" t="s">
        <x:v>301</x:v>
      </x:c>
      <x:c r="I660" s="3" t="s">
        <x:v>302</x:v>
      </x:c>
      <x:c r="J660" s="3" t="s">
        <x:v>303</x:v>
      </x:c>
      <x:c r="K660" s="3" t="s">
        <x:v>104</x:v>
      </x:c>
      <x:c r="L660" s="3" t="s">
        <x:v>304</x:v>
      </x:c>
      <x:c r="M660" s="3" t="s">
        <x:v>305</x:v>
      </x:c>
      <x:c r="N660" s="3" t="s">
        <x:v>306</x:v>
      </x:c>
      <x:c r="O660" s="3" t="s">
        <x:v>307</x:v>
      </x:c>
      <x:c r="P660" s="3" t="s">
        <x:v>308</x:v>
      </x:c>
      <x:c r="Q660" s="3" t="s">
        <x:v>309</x:v>
      </x:c>
      <x:c r="R660" s="3" t="s">
        <x:v>330</x:v>
      </x:c>
      <x:c r="S660" s="3" t="s">
        <x:v>135</x:v>
      </x:c>
      <x:c r="T660" s="3" t="s">
        <x:v>111</x:v>
      </x:c>
      <x:c r="U660" s="3" t="s">
        <x:v>331</x:v>
      </x:c>
      <x:c r="V660" s="3" t="s">
        <x:v>178</x:v>
      </x:c>
      <x:c r="W660" s="3" t="s">
        <x:v>355</x:v>
      </x:c>
      <x:c r="X660" s="3" t="s">
        <x:v>180</x:v>
      </x:c>
      <x:c r="Y660" s="3" t="s">
        <x:v>356</x:v>
      </x:c>
      <x:c r="Z660" s="3" t="s">
        <x:v>334</x:v>
      </x:c>
      <x:c r="AA660" s="3" t="s">
        <x:v>118</x:v>
      </x:c>
      <x:c r="AB660" s="7" t="n">
        <x:v>46296.5666666667</x:v>
      </x:c>
      <x:c r="AC660" s="7" t="n">
        <x:v>46296.5708333333</x:v>
      </x:c>
      <x:c r="AD660" s="7" t="n">
        <x:v>46296.575</x:v>
      </x:c>
      <x:c r="AE660" s="7" t="n">
        <x:v>46296.5930555556</x:v>
      </x:c>
      <x:c r="AF660" s="7" t="n">
        <x:v>46296.64375</x:v>
      </x:c>
      <x:c r="AG660" s="3" t="n">
        <x:v>38</x:v>
      </x:c>
      <x:c r="AH660" s="3" t="n">
        <x:v>68</x:v>
      </x:c>
      <x:c r="AI660" s="3" t="s">
        <x:v>135</x:v>
      </x:c>
      <x:c r="AJ660" s="3" t="s">
        <x:v>111</x:v>
      </x:c>
      <x:c r="AK660" s="3" t="n">
        <x:v>180</x:v>
      </x:c>
      <x:c r="AL660" s="3" t="n">
        <x:v>0</x:v>
      </x:c>
      <x:c r="AM660" s="8" t="n">
        <x:v>0.5889</x:v>
      </x:c>
      <x:c r="AN660" s="3" t="n">
        <x:v>0</x:v>
      </x:c>
      <x:c r="AO660" s="3" t="s">
        <x:v>9</x:v>
      </x:c>
      <x:c r="AP660" s="3" t="s">
        <x:v>335</x:v>
      </x:c>
      <x:c r="AQ660" s="3" t="s">
        <x:v>319</x:v>
      </x:c>
      <x:c r="AR660" s="9" t="n">
        <x:v>1300.6</x:v>
      </x:c>
      <x:c r="AS660" s="3" t="s">
        <x:v>121</x:v>
      </x:c>
      <x:c r="AT660" s="7" t="n">
        <x:v>46301.9166666667</x:v>
      </x:c>
    </x:row>
    <x:row r="661" ht="31.299999237060547" hidden="0">
      <x:c r="A661" s="3" t="s">
        <x:v>1219</x:v>
      </x:c>
      <x:c r="B661" s="3" t="s">
        <x:v>433</x:v>
      </x:c>
      <x:c r="C661" s="3" t="s">
        <x:v>434</x:v>
      </x:c>
      <x:c r="D661" s="3" t="s">
        <x:v>435</x:v>
      </x:c>
      <x:c r="E661" s="3" t="s">
        <x:v>249</x:v>
      </x:c>
      <x:c r="F661" s="3" t="s">
        <x:v>127</x:v>
      </x:c>
      <x:c r="G661" s="3" t="s">
        <x:v>300</x:v>
      </x:c>
      <x:c r="H661" s="3" t="s">
        <x:v>301</x:v>
      </x:c>
      <x:c r="I661" s="3" t="s">
        <x:v>302</x:v>
      </x:c>
      <x:c r="J661" s="3" t="s">
        <x:v>303</x:v>
      </x:c>
      <x:c r="K661" s="3" t="s">
        <x:v>104</x:v>
      </x:c>
      <x:c r="L661" s="3" t="s">
        <x:v>437</x:v>
      </x:c>
      <x:c r="M661" s="3" t="s">
        <x:v>106</x:v>
      </x:c>
      <x:c r="N661" s="3" t="s">
        <x:v>438</x:v>
      </x:c>
      <x:c r="O661" s="3" t="s">
        <x:v>439</x:v>
      </x:c>
      <x:c r="P661" s="3" t="s">
        <x:v>440</x:v>
      </x:c>
      <x:c r="Q661" s="3" t="s">
        <x:v>441</x:v>
      </x:c>
      <x:c r="R661" s="3" t="s">
        <x:v>310</x:v>
      </x:c>
      <x:c r="S661" s="3" t="s">
        <x:v>135</x:v>
      </x:c>
      <x:c r="T661" s="3" t="s">
        <x:v>111</x:v>
      </x:c>
      <x:c r="U661" s="3" t="s">
        <x:v>311</x:v>
      </x:c>
      <x:c r="V661" s="3" t="s">
        <x:v>312</x:v>
      </x:c>
      <x:c r="W661" s="3" t="s">
        <x:v>313</x:v>
      </x:c>
      <x:c r="X661" s="3" t="s">
        <x:v>314</x:v>
      </x:c>
      <x:c r="Y661" s="3" t="s">
        <x:v>315</x:v>
      </x:c>
      <x:c r="Z661" s="3" t="s">
        <x:v>316</x:v>
      </x:c>
      <x:c r="AA661" s="3" t="s">
        <x:v>317</x:v>
      </x:c>
      <x:c r="AB661" s="7" t="n">
        <x:v>46296.5673611111</x:v>
      </x:c>
      <x:c r="AC661" s="7" t="n">
        <x:v>46296.5708333333</x:v>
      </x:c>
      <x:c r="AD661" s="7" t="n">
        <x:v>46296.5756944444</x:v>
      </x:c>
      <x:c r="AE661" s="7" t="n">
        <x:v>46296.6006944444</x:v>
      </x:c>
      <x:c r="AF661" s="7" t="n">
        <x:v>46296.6326388889</x:v>
      </x:c>
      <x:c r="AG661" s="3" t="n">
        <x:v>48</x:v>
      </x:c>
      <x:c r="AH661" s="3" t="n">
        <x:v>37</x:v>
      </x:c>
      <x:c r="AI661" s="3" t="s">
        <x:v>135</x:v>
      </x:c>
      <x:c r="AJ661" s="3" t="s">
        <x:v>135</x:v>
      </x:c>
      <x:c r="AK661" s="3" t="n">
        <x:v>180</x:v>
      </x:c>
      <x:c r="AL661" s="3" t="n">
        <x:v>0</x:v>
      </x:c>
      <x:c r="AM661" s="8" t="n">
        <x:v>0.4722</x:v>
      </x:c>
      <x:c r="AN661" s="3" t="n">
        <x:v>1</x:v>
      </x:c>
      <x:c r="AO661" s="3" t="s">
        <x:v>9</x:v>
      </x:c>
      <x:c r="AP661" s="3" t="s">
        <x:v>500</x:v>
      </x:c>
      <x:c r="AQ661" s="3" t="s">
        <x:v>562</x:v>
      </x:c>
      <x:c r="AR661" s="9" t="n">
        <x:v>742.4</x:v>
      </x:c>
      <x:c r="AS661" s="3" t="s">
        <x:v>144</x:v>
      </x:c>
      <x:c r="AT661" s="7" t="n">
        <x:v>46301.9166666667</x:v>
      </x:c>
    </x:row>
    <x:row r="662" ht="31.299999237060547" hidden="0">
      <x:c r="A662" s="3" t="s">
        <x:v>1220</x:v>
      </x:c>
      <x:c r="B662" s="3" t="s">
        <x:v>433</x:v>
      </x:c>
      <x:c r="C662" s="3" t="s">
        <x:v>434</x:v>
      </x:c>
      <x:c r="D662" s="3" t="s">
        <x:v>435</x:v>
      </x:c>
      <x:c r="E662" s="3" t="s">
        <x:v>249</x:v>
      </x:c>
      <x:c r="F662" s="3" t="s">
        <x:v>169</x:v>
      </x:c>
      <x:c r="G662" s="3" t="s">
        <x:v>614</x:v>
      </x:c>
      <x:c r="H662" s="3" t="s">
        <x:v>301</x:v>
      </x:c>
      <x:c r="I662" s="3" t="s">
        <x:v>302</x:v>
      </x:c>
      <x:c r="J662" s="3" t="s">
        <x:v>303</x:v>
      </x:c>
      <x:c r="K662" s="3" t="s">
        <x:v>104</x:v>
      </x:c>
      <x:c r="L662" s="3" t="s">
        <x:v>437</x:v>
      </x:c>
      <x:c r="M662" s="3" t="s">
        <x:v>106</x:v>
      </x:c>
      <x:c r="N662" s="3" t="s">
        <x:v>438</x:v>
      </x:c>
      <x:c r="O662" s="3" t="s">
        <x:v>439</x:v>
      </x:c>
      <x:c r="P662" s="3" t="s">
        <x:v>440</x:v>
      </x:c>
      <x:c r="Q662" s="3" t="s">
        <x:v>441</x:v>
      </x:c>
      <x:c r="R662" s="3" t="s">
        <x:v>196</x:v>
      </x:c>
      <x:c r="S662" s="3" t="s">
        <x:v>111</x:v>
      </x:c>
      <x:c r="T662" s="3" t="s">
        <x:v>111</x:v>
      </x:c>
      <x:c r="U662" s="3" t="s">
        <x:v>197</x:v>
      </x:c>
      <x:c r="V662" s="3" t="s">
        <x:v>198</x:v>
      </x:c>
      <x:c r="W662" s="3" t="s">
        <x:v>199</x:v>
      </x:c>
      <x:c r="X662" s="3" t="s">
        <x:v>366</x:v>
      </x:c>
      <x:c r="Y662" s="3" t="s">
        <x:v>527</x:v>
      </x:c>
      <x:c r="Z662" s="3" t="s">
        <x:v>201</x:v>
      </x:c>
      <x:c r="AA662" s="3" t="s">
        <x:v>368</x:v>
      </x:c>
      <x:c r="AB662" s="7" t="n">
        <x:v>46296.6020833333</x:v>
      </x:c>
      <x:c r="AC662" s="7" t="n">
        <x:v>46296.6055555556</x:v>
      </x:c>
      <x:c r="AD662" s="7" t="n">
        <x:v>46296.6083333333</x:v>
      </x:c>
      <x:c r="AE662" s="7" t="n">
        <x:v>46296.6256944445</x:v>
      </x:c>
      <x:c r="AF662" s="7" t="n">
        <x:v>46296.6506944444</x:v>
      </x:c>
      <x:c r="AG662" s="3" t="n">
        <x:v>34</x:v>
      </x:c>
      <x:c r="AH662" s="3" t="n">
        <x:v>33</x:v>
      </x:c>
      <x:c r="AI662" s="3" t="s">
        <x:v>135</x:v>
      </x:c>
      <x:c r="AJ662" s="3" t="s">
        <x:v>135</x:v>
      </x:c>
      <x:c r="AK662" s="3" t="n">
        <x:v>120</x:v>
      </x:c>
      <x:c r="AL662" s="3" t="n">
        <x:v>0</x:v>
      </x:c>
      <x:c r="AM662" s="8" t="n">
        <x:v>0.5583</x:v>
      </x:c>
      <x:c r="AN662" s="3" t="n">
        <x:v>3</x:v>
      </x:c>
      <x:c r="AO662" s="3" t="s">
        <x:v>14</x:v>
      </x:c>
      <x:c r="AP662" s="3" t="s">
        <x:v>183</x:v>
      </x:c>
      <x:c r="AQ662" s="3" t="s">
        <x:v>1221</x:v>
      </x:c>
      <x:c r="AR662" s="9" t="n">
        <x:v>900.6</x:v>
      </x:c>
      <x:c r="AS662" s="3" t="s">
        <x:v>185</x:v>
      </x:c>
      <x:c r="AT662" s="7" t="n">
        <x:v>46301.9166666667</x:v>
      </x:c>
    </x:row>
    <x:row r="663" ht="31.299999237060547" hidden="0">
      <x:c r="A663" s="3" t="s">
        <x:v>1222</x:v>
      </x:c>
      <x:c r="B663" s="3" t="s">
        <x:v>233</x:v>
      </x:c>
      <x:c r="C663" s="3" t="s">
        <x:v>234</x:v>
      </x:c>
      <x:c r="D663" s="3" t="s">
        <x:v>235</x:v>
      </x:c>
      <x:c r="E663" s="3" t="s">
        <x:v>249</x:v>
      </x:c>
      <x:c r="F663" s="3" t="s">
        <x:v>99</x:v>
      </x:c>
      <x:c r="G663" s="3" t="s">
        <x:v>522</x:v>
      </x:c>
      <x:c r="H663" s="3" t="s">
        <x:v>343</x:v>
      </x:c>
      <x:c r="I663" s="3" t="s">
        <x:v>102</x:v>
      </x:c>
      <x:c r="J663" s="3" t="s">
        <x:v>103</x:v>
      </x:c>
      <x:c r="K663" s="3" t="s">
        <x:v>104</x:v>
      </x:c>
      <x:c r="L663" s="3" t="s">
        <x:v>237</x:v>
      </x:c>
      <x:c r="M663" s="3" t="s">
        <x:v>172</x:v>
      </x:c>
      <x:c r="N663" s="3" t="s">
        <x:v>238</x:v>
      </x:c>
      <x:c r="O663" s="3" t="s">
        <x:v>239</x:v>
      </x:c>
      <x:c r="P663" s="3" t="s">
        <x:v>240</x:v>
      </x:c>
      <x:c r="Q663" s="3" t="s">
        <x:v>276</x:v>
      </x:c>
      <x:c r="R663" s="3" t="s">
        <x:v>380</x:v>
      </x:c>
      <x:c r="S663" s="3" t="s">
        <x:v>111</x:v>
      </x:c>
      <x:c r="T663" s="3" t="s">
        <x:v>111</x:v>
      </x:c>
      <x:c r="U663" s="3" t="s">
        <x:v>381</x:v>
      </x:c>
      <x:c r="V663" s="3" t="s">
        <x:v>312</x:v>
      </x:c>
      <x:c r="W663" s="3" t="s">
        <x:v>313</x:v>
      </x:c>
      <x:c r="X663" s="3" t="s">
        <x:v>314</x:v>
      </x:c>
      <x:c r="Y663" s="3" t="s">
        <x:v>315</x:v>
      </x:c>
      <x:c r="Z663" s="3" t="s">
        <x:v>384</x:v>
      </x:c>
      <x:c r="AA663" s="3" t="s">
        <x:v>385</x:v>
      </x:c>
      <x:c r="AB663" s="7" t="n">
        <x:v>46296.6493055556</x:v>
      </x:c>
      <x:c r="AC663" s="7" t="n">
        <x:v>46296.6541666667</x:v>
      </x:c>
      <x:c r="AD663" s="7" t="n">
        <x:v>46296.6576388889</x:v>
      </x:c>
      <x:c r="AE663" s="7" t="n">
        <x:v>46296.6631944444</x:v>
      </x:c>
      <x:c r="AF663" s="7" t="n">
        <x:v>46296.6902777778</x:v>
      </x:c>
      <x:c r="AG663" s="3" t="n">
        <x:v>20</x:v>
      </x:c>
      <x:c r="AH663" s="3" t="n">
        <x:v>36</x:v>
      </x:c>
      <x:c r="AI663" s="3" t="s">
        <x:v>135</x:v>
      </x:c>
      <x:c r="AJ663" s="3" t="s">
        <x:v>111</x:v>
      </x:c>
      <x:c r="AK663" s="3" t="n">
        <x:v>120</x:v>
      </x:c>
      <x:c r="AL663" s="3" t="n">
        <x:v>0</x:v>
      </x:c>
      <x:c r="AM663" s="8" t="n">
        <x:v>0.4667</x:v>
      </x:c>
      <x:c r="AN663" s="3" t="n">
        <x:v>2</x:v>
      </x:c>
      <x:c r="AO663" s="3" t="s">
        <x:v>14</x:v>
      </x:c>
      <x:c r="AP663" s="3" t="s">
        <x:v>636</x:v>
      </x:c>
      <x:c r="AQ663" s="3" t="s">
        <x:v>501</x:v>
      </x:c>
      <x:c r="AR663" s="9" t="n">
        <x:v>609.2</x:v>
      </x:c>
      <x:c r="AS663" s="3" t="s">
        <x:v>121</x:v>
      </x:c>
      <x:c r="AT663" s="7" t="n">
        <x:v>46301.9166666667</x:v>
      </x:c>
    </x:row>
    <x:row r="664" ht="31.299999237060547" hidden="0">
      <x:c r="A664" s="3" t="s">
        <x:v>1223</x:v>
      </x:c>
      <x:c r="B664" s="3" t="s">
        <x:v>146</x:v>
      </x:c>
      <x:c r="C664" s="3" t="s">
        <x:v>147</x:v>
      </x:c>
      <x:c r="D664" s="3" t="s">
        <x:v>148</x:v>
      </x:c>
      <x:c r="E664" s="3" t="s">
        <x:v>249</x:v>
      </x:c>
      <x:c r="F664" s="3" t="s">
        <x:v>169</x:v>
      </x:c>
      <x:c r="G664" s="3" t="s">
        <x:v>416</x:v>
      </x:c>
      <x:c r="H664" s="3" t="s">
        <x:v>339</x:v>
      </x:c>
      <x:c r="I664" s="3" t="s">
        <x:v>102</x:v>
      </x:c>
      <x:c r="J664" s="3" t="s">
        <x:v>103</x:v>
      </x:c>
      <x:c r="K664" s="3" t="s">
        <x:v>104</x:v>
      </x:c>
      <x:c r="L664" s="3" t="s">
        <x:v>151</x:v>
      </x:c>
      <x:c r="M664" s="3" t="s">
        <x:v>152</x:v>
      </x:c>
      <x:c r="N664" s="3" t="s">
        <x:v>153</x:v>
      </x:c>
      <x:c r="O664" s="3" t="s">
        <x:v>154</x:v>
      </x:c>
      <x:c r="P664" s="3" t="s">
        <x:v>155</x:v>
      </x:c>
      <x:c r="Q664" s="3" t="s">
        <x:v>270</x:v>
      </x:c>
      <x:c r="R664" s="3" t="s">
        <x:v>373</x:v>
      </x:c>
      <x:c r="S664" s="3" t="s">
        <x:v>135</x:v>
      </x:c>
      <x:c r="T664" s="3" t="s">
        <x:v>111</x:v>
      </x:c>
      <x:c r="U664" s="3" t="s">
        <x:v>374</x:v>
      </x:c>
      <x:c r="V664" s="3" t="s">
        <x:v>178</x:v>
      </x:c>
      <x:c r="W664" s="3" t="s">
        <x:v>179</x:v>
      </x:c>
      <x:c r="X664" s="3" t="s">
        <x:v>180</x:v>
      </x:c>
      <x:c r="Y664" s="3" t="s">
        <x:v>414</x:v>
      </x:c>
      <x:c r="Z664" s="3" t="s">
        <x:v>375</x:v>
      </x:c>
      <x:c r="AA664" s="3" t="s">
        <x:v>118</x:v>
      </x:c>
      <x:c r="AB664" s="7" t="n">
        <x:v>46296.6638888889</x:v>
      </x:c>
      <x:c r="AC664" s="7" t="n">
        <x:v>46296.6652777778</x:v>
      </x:c>
      <x:c r="AD664" s="7" t="n">
        <x:v>46296.6666666667</x:v>
      </x:c>
      <x:c r="AE664" s="7" t="n">
        <x:v>46296.6743055556</x:v>
      </x:c>
      <x:c r="AF664" s="7" t="n">
        <x:v>46296.6993055556</x:v>
      </x:c>
      <x:c r="AG664" s="3" t="n">
        <x:v>15</x:v>
      </x:c>
      <x:c r="AH664" s="3" t="n">
        <x:v>31</x:v>
      </x:c>
      <x:c r="AI664" s="3" t="s">
        <x:v>135</x:v>
      </x:c>
      <x:c r="AJ664" s="3" t="s">
        <x:v>135</x:v>
      </x:c>
      <x:c r="AK664" s="3" t="n">
        <x:v>180</x:v>
      </x:c>
      <x:c r="AL664" s="3" t="n">
        <x:v>0</x:v>
      </x:c>
      <x:c r="AM664" s="8" t="n">
        <x:v>0.2556</x:v>
      </x:c>
      <x:c r="AN664" s="3" t="n">
        <x:v>4</x:v>
      </x:c>
      <x:c r="AO664" s="3" t="s">
        <x:v>14</x:v>
      </x:c>
      <x:c r="AP664" s="3" t="s">
        <x:v>889</x:v>
      </x:c>
      <x:c r="AQ664" s="3" t="s">
        <x:v>1198</x:v>
      </x:c>
      <x:c r="AR664" s="9" t="n">
        <x:v>800.7</x:v>
      </x:c>
      <x:c r="AS664" s="3" t="s">
        <x:v>185</x:v>
      </x:c>
      <x:c r="AT664" s="7" t="n">
        <x:v>46301.9166666667</x:v>
      </x:c>
    </x:row>
    <x:row r="665" ht="31.299999237060547" hidden="0">
      <x:c r="A665" s="3" t="s">
        <x:v>1224</x:v>
      </x:c>
      <x:c r="B665" s="3" t="s">
        <x:v>222</x:v>
      </x:c>
      <x:c r="C665" s="3" t="s">
        <x:v>223</x:v>
      </x:c>
      <x:c r="D665" s="3" t="s">
        <x:v>224</x:v>
      </x:c>
      <x:c r="E665" s="3" t="s">
        <x:v>249</x:v>
      </x:c>
      <x:c r="F665" s="3" t="s">
        <x:v>99</x:v>
      </x:c>
      <x:c r="G665" s="3" t="s">
        <x:v>477</x:v>
      </x:c>
      <x:c r="H665" s="3" t="s">
        <x:v>343</x:v>
      </x:c>
      <x:c r="I665" s="3" t="s">
        <x:v>102</x:v>
      </x:c>
      <x:c r="J665" s="3" t="s">
        <x:v>103</x:v>
      </x:c>
      <x:c r="K665" s="3" t="s">
        <x:v>104</x:v>
      </x:c>
      <x:c r="L665" s="3" t="s">
        <x:v>226</x:v>
      </x:c>
      <x:c r="M665" s="3" t="s">
        <x:v>227</x:v>
      </x:c>
      <x:c r="N665" s="3" t="s">
        <x:v>228</x:v>
      </x:c>
      <x:c r="O665" s="3" t="s">
        <x:v>229</x:v>
      </x:c>
      <x:c r="P665" s="3" t="s">
        <x:v>230</x:v>
      </x:c>
      <x:c r="Q665" s="3" t="s">
        <x:v>274</x:v>
      </x:c>
      <x:c r="R665" s="3" t="s">
        <x:v>214</x:v>
      </x:c>
      <x:c r="S665" s="3" t="s">
        <x:v>135</x:v>
      </x:c>
      <x:c r="T665" s="3" t="s">
        <x:v>111</x:v>
      </x:c>
      <x:c r="U665" s="3" t="s">
        <x:v>215</x:v>
      </x:c>
      <x:c r="V665" s="3" t="s">
        <x:v>216</x:v>
      </x:c>
      <x:c r="W665" s="3" t="s">
        <x:v>429</x:v>
      </x:c>
      <x:c r="X665" s="3" t="s">
        <x:v>430</x:v>
      </x:c>
      <x:c r="Y665" s="3" t="s">
        <x:v>431</x:v>
      </x:c>
      <x:c r="Z665" s="3" t="s">
        <x:v>219</x:v>
      </x:c>
      <x:c r="AA665" s="3" t="s">
        <x:v>118</x:v>
      </x:c>
      <x:c r="AB665" s="7" t="n">
        <x:v>46296.6673611111</x:v>
      </x:c>
      <x:c r="AC665" s="7" t="n">
        <x:v>46296.6708333333</x:v>
      </x:c>
      <x:c r="AD665" s="7" t="n">
        <x:v>46296.675</x:v>
      </x:c>
      <x:c r="AE665" s="7" t="n">
        <x:v>46296.6979166667</x:v>
      </x:c>
      <x:c r="AF665" s="7" t="n">
        <x:v>46296.7340277778</x:v>
      </x:c>
      <x:c r="AG665" s="3" t="n">
        <x:v>44</x:v>
      </x:c>
      <x:c r="AH665" s="3" t="n">
        <x:v>45</x:v>
      </x:c>
      <x:c r="AI665" s="3" t="s">
        <x:v>135</x:v>
      </x:c>
      <x:c r="AJ665" s="3" t="s">
        <x:v>135</x:v>
      </x:c>
      <x:c r="AK665" s="3" t="n">
        <x:v>180</x:v>
      </x:c>
      <x:c r="AL665" s="3" t="n">
        <x:v>0</x:v>
      </x:c>
      <x:c r="AM665" s="8" t="n">
        <x:v>0.4944</x:v>
      </x:c>
      <x:c r="AN665" s="3" t="n">
        <x:v>2</x:v>
      </x:c>
      <x:c r="AO665" s="3" t="s">
        <x:v>14</x:v>
      </x:c>
      <x:c r="AP665" s="3" t="s">
        <x:v>573</x:v>
      </x:c>
      <x:c r="AQ665" s="3" t="s">
        <x:v>546</x:v>
      </x:c>
      <x:c r="AR665" s="9" t="n">
        <x:v>782</x:v>
      </x:c>
      <x:c r="AS665" s="3" t="s">
        <x:v>121</x:v>
      </x:c>
      <x:c r="AT665" s="7" t="n">
        <x:v>46301.9166666667</x:v>
      </x:c>
    </x:row>
    <x:row r="666" ht="31.299999237060547" hidden="0">
      <x:c r="A666" s="3" t="s">
        <x:v>1225</x:v>
      </x:c>
      <x:c r="B666" s="3" t="s">
        <x:v>297</x:v>
      </x:c>
      <x:c r="C666" s="3" t="s">
        <x:v>298</x:v>
      </x:c>
      <x:c r="D666" s="3" t="s">
        <x:v>299</x:v>
      </x:c>
      <x:c r="E666" s="3" t="s">
        <x:v>249</x:v>
      </x:c>
      <x:c r="F666" s="3" t="s">
        <x:v>99</x:v>
      </x:c>
      <x:c r="G666" s="3" t="s">
        <x:v>469</x:v>
      </x:c>
      <x:c r="H666" s="3" t="s">
        <x:v>301</x:v>
      </x:c>
      <x:c r="I666" s="3" t="s">
        <x:v>302</x:v>
      </x:c>
      <x:c r="J666" s="3" t="s">
        <x:v>303</x:v>
      </x:c>
      <x:c r="K666" s="3" t="s">
        <x:v>104</x:v>
      </x:c>
      <x:c r="L666" s="3" t="s">
        <x:v>304</x:v>
      </x:c>
      <x:c r="M666" s="3" t="s">
        <x:v>305</x:v>
      </x:c>
      <x:c r="N666" s="3" t="s">
        <x:v>306</x:v>
      </x:c>
      <x:c r="O666" s="3" t="s">
        <x:v>307</x:v>
      </x:c>
      <x:c r="P666" s="3" t="s">
        <x:v>308</x:v>
      </x:c>
      <x:c r="Q666" s="3" t="s">
        <x:v>309</x:v>
      </x:c>
      <x:c r="R666" s="3" t="s">
        <x:v>110</x:v>
      </x:c>
      <x:c r="S666" s="3" t="s">
        <x:v>111</x:v>
      </x:c>
      <x:c r="T666" s="3" t="s">
        <x:v>111</x:v>
      </x:c>
      <x:c r="U666" s="3" t="s">
        <x:v>112</x:v>
      </x:c>
      <x:c r="V666" s="3" t="s">
        <x:v>113</x:v>
      </x:c>
      <x:c r="W666" s="3" t="s">
        <x:v>114</x:v>
      </x:c>
      <x:c r="X666" s="3" t="s">
        <x:v>115</x:v>
      </x:c>
      <x:c r="Y666" s="3" t="s">
        <x:v>116</x:v>
      </x:c>
      <x:c r="Z666" s="3" t="s">
        <x:v>117</x:v>
      </x:c>
      <x:c r="AA666" s="3" t="s">
        <x:v>118</x:v>
      </x:c>
      <x:c r="AB666" s="7" t="n">
        <x:v>46296.6701388889</x:v>
      </x:c>
      <x:c r="AC666" s="7" t="n">
        <x:v>46296.6715277778</x:v>
      </x:c>
      <x:c r="AD666" s="7" t="n">
        <x:v>46296.6756944444</x:v>
      </x:c>
      <x:c r="AE666" s="7" t="n">
        <x:v>46296.6958333333</x:v>
      </x:c>
      <x:c r="AF666" s="7" t="n">
        <x:v>46296.7666666667</x:v>
      </x:c>
      <x:c r="AG666" s="3" t="n">
        <x:v>37</x:v>
      </x:c>
      <x:c r="AH666" s="3" t="n">
        <x:v>97</x:v>
      </x:c>
      <x:c r="AI666" s="3" t="s">
        <x:v>135</x:v>
      </x:c>
      <x:c r="AJ666" s="3" t="s">
        <x:v>111</x:v>
      </x:c>
      <x:c r="AK666" s="3" t="n">
        <x:v>120</x:v>
      </x:c>
      <x:c r="AL666" s="3" t="n">
        <x:v>0</x:v>
      </x:c>
      <x:c r="AM666" s="8" t="n">
        <x:v>1.1167</x:v>
      </x:c>
      <x:c r="AN666" s="3" t="n">
        <x:v>1</x:v>
      </x:c>
      <x:c r="AO666" s="3" t="s">
        <x:v>24</x:v>
      </x:c>
      <x:c r="AP666" s="3" t="s">
        <x:v>766</x:v>
      </x:c>
      <x:c r="AQ666" s="3" t="s">
        <x:v>603</x:v>
      </x:c>
      <x:c r="AR666" s="9" t="n">
        <x:v>1504.9</x:v>
      </x:c>
      <x:c r="AS666" s="3" t="s">
        <x:v>185</x:v>
      </x:c>
      <x:c r="AT666" s="7" t="n">
        <x:v>46301.9166666667</x:v>
      </x:c>
    </x:row>
    <x:row r="667" ht="31.299999237060547" hidden="0">
      <x:c r="A667" s="3" t="s">
        <x:v>1226</x:v>
      </x:c>
      <x:c r="B667" s="3" t="s">
        <x:v>83</x:v>
      </x:c>
      <x:c r="C667" s="3" t="s">
        <x:v>96</x:v>
      </x:c>
      <x:c r="D667" s="3" t="s">
        <x:v>97</x:v>
      </x:c>
      <x:c r="E667" s="3" t="s">
        <x:v>249</x:v>
      </x:c>
      <x:c r="F667" s="3" t="s">
        <x:v>127</x:v>
      </x:c>
      <x:c r="G667" s="3" t="s">
        <x:v>338</x:v>
      </x:c>
      <x:c r="H667" s="3" t="s">
        <x:v>339</x:v>
      </x:c>
      <x:c r="I667" s="3" t="s">
        <x:v>102</x:v>
      </x:c>
      <x:c r="J667" s="3" t="s">
        <x:v>103</x:v>
      </x:c>
      <x:c r="K667" s="3" t="s">
        <x:v>104</x:v>
      </x:c>
      <x:c r="L667" s="3" t="s">
        <x:v>105</x:v>
      </x:c>
      <x:c r="M667" s="3" t="s">
        <x:v>106</x:v>
      </x:c>
      <x:c r="N667" s="3" t="s">
        <x:v>107</x:v>
      </x:c>
      <x:c r="O667" s="3" t="s">
        <x:v>108</x:v>
      </x:c>
      <x:c r="P667" s="3" t="s">
        <x:v>109</x:v>
      </x:c>
      <x:c r="Q667" s="3" t="s">
        <x:v>250</x:v>
      </x:c>
      <x:c r="R667" s="3" t="s">
        <x:v>310</x:v>
      </x:c>
      <x:c r="S667" s="3" t="s">
        <x:v>135</x:v>
      </x:c>
      <x:c r="T667" s="3" t="s">
        <x:v>111</x:v>
      </x:c>
      <x:c r="U667" s="3" t="s">
        <x:v>311</x:v>
      </x:c>
      <x:c r="V667" s="3" t="s">
        <x:v>312</x:v>
      </x:c>
      <x:c r="W667" s="3" t="s">
        <x:v>313</x:v>
      </x:c>
      <x:c r="X667" s="3" t="s">
        <x:v>314</x:v>
      </x:c>
      <x:c r="Y667" s="3" t="s">
        <x:v>315</x:v>
      </x:c>
      <x:c r="Z667" s="3" t="s">
        <x:v>316</x:v>
      </x:c>
      <x:c r="AA667" s="3" t="s">
        <x:v>317</x:v>
      </x:c>
      <x:c r="AB667" s="7" t="n">
        <x:v>46296.7125</x:v>
      </x:c>
      <x:c r="AC667" s="7" t="n">
        <x:v>46296.7152777778</x:v>
      </x:c>
      <x:c r="AD667" s="7" t="n">
        <x:v>46296.71875</x:v>
      </x:c>
      <x:c r="AE667" s="7" t="n">
        <x:v>46296.7284722222</x:v>
      </x:c>
      <x:c r="AF667" s="7" t="n">
        <x:v>46296.7569444444</x:v>
      </x:c>
      <x:c r="AG667" s="3" t="n">
        <x:v>23</x:v>
      </x:c>
      <x:c r="AH667" s="3" t="n">
        <x:v>32</x:v>
      </x:c>
      <x:c r="AI667" s="3" t="s">
        <x:v>111</x:v>
      </x:c>
      <x:c r="AJ667" s="3" t="s">
        <x:v>111</x:v>
      </x:c>
      <x:c r="AK667" s="3" t="n">
        <x:v>60</x:v>
      </x:c>
      <x:c r="AL667" s="3" t="n">
        <x:v>0</x:v>
      </x:c>
      <x:c r="AM667" s="8" t="n">
        <x:v>0.9167</x:v>
      </x:c>
      <x:c r="AN667" s="3" t="n">
        <x:v>0</x:v>
      </x:c>
      <x:c r="AO667" s="3" t="s">
        <x:v>19</x:v>
      </x:c>
      <x:c r="AP667" s="3" t="s">
        <x:v>552</x:v>
      </x:c>
      <x:c r="AQ667" s="3" t="s">
        <x:v>422</x:v>
      </x:c>
      <x:c r="AR667" s="9" t="n">
        <x:v>913.9</x:v>
      </x:c>
      <x:c r="AS667" s="3" t="s">
        <x:v>121</x:v>
      </x:c>
      <x:c r="AT667" s="7" t="n">
        <x:v>46301.9166666667</x:v>
      </x:c>
    </x:row>
    <x:row r="668" ht="31.299999237060547" hidden="0">
      <x:c r="A668" s="3" t="s">
        <x:v>1227</x:v>
      </x:c>
      <x:c r="B668" s="3" t="s">
        <x:v>123</x:v>
      </x:c>
      <x:c r="C668" s="3" t="s">
        <x:v>124</x:v>
      </x:c>
      <x:c r="D668" s="3" t="s">
        <x:v>125</x:v>
      </x:c>
      <x:c r="E668" s="3" t="s">
        <x:v>249</x:v>
      </x:c>
      <x:c r="F668" s="3" t="s">
        <x:v>149</x:v>
      </x:c>
      <x:c r="G668" s="3" t="s">
        <x:v>349</x:v>
      </x:c>
      <x:c r="H668" s="3" t="s">
        <x:v>343</x:v>
      </x:c>
      <x:c r="I668" s="3" t="s">
        <x:v>102</x:v>
      </x:c>
      <x:c r="J668" s="3" t="s">
        <x:v>103</x:v>
      </x:c>
      <x:c r="K668" s="3" t="s">
        <x:v>104</x:v>
      </x:c>
      <x:c r="L668" s="3" t="s">
        <x:v>129</x:v>
      </x:c>
      <x:c r="M668" s="3" t="s">
        <x:v>130</x:v>
      </x:c>
      <x:c r="N668" s="3" t="s">
        <x:v>131</x:v>
      </x:c>
      <x:c r="O668" s="3" t="s">
        <x:v>132</x:v>
      </x:c>
      <x:c r="P668" s="3" t="s">
        <x:v>133</x:v>
      </x:c>
      <x:c r="Q668" s="3" t="s">
        <x:v>268</x:v>
      </x:c>
      <x:c r="R668" s="3" t="s">
        <x:v>344</x:v>
      </x:c>
      <x:c r="S668" s="3" t="s">
        <x:v>111</x:v>
      </x:c>
      <x:c r="T668" s="3" t="s">
        <x:v>111</x:v>
      </x:c>
      <x:c r="U668" s="3" t="s">
        <x:v>345</x:v>
      </x:c>
      <x:c r="V668" s="3" t="s">
        <x:v>178</x:v>
      </x:c>
      <x:c r="W668" s="3" t="s">
        <x:v>355</x:v>
      </x:c>
      <x:c r="X668" s="3" t="s">
        <x:v>180</x:v>
      </x:c>
      <x:c r="Y668" s="3" t="s">
        <x:v>356</x:v>
      </x:c>
      <x:c r="Z668" s="3" t="s">
        <x:v>346</x:v>
      </x:c>
      <x:c r="AA668" s="3" t="s">
        <x:v>118</x:v>
      </x:c>
      <x:c r="AB668" s="7" t="n">
        <x:v>46296.7763888889</x:v>
      </x:c>
      <x:c r="AC668" s="7" t="n">
        <x:v>46296.7805555556</x:v>
      </x:c>
      <x:c r="AD668" s="7" t="n">
        <x:v>46296.7868055556</x:v>
      </x:c>
      <x:c r="AE668" s="7" t="n">
        <x:v>46296.7965277778</x:v>
      </x:c>
      <x:c r="AF668" s="7" t="n">
        <x:v>46296.8319444444</x:v>
      </x:c>
      <x:c r="AG668" s="3" t="n">
        <x:v>29</x:v>
      </x:c>
      <x:c r="AH668" s="3" t="n">
        <x:v>44</x:v>
      </x:c>
      <x:c r="AI668" s="3" t="s">
        <x:v>135</x:v>
      </x:c>
      <x:c r="AJ668" s="3" t="s">
        <x:v>135</x:v>
      </x:c>
      <x:c r="AK668" s="3" t="n">
        <x:v>120</x:v>
      </x:c>
      <x:c r="AL668" s="3" t="n">
        <x:v>0</x:v>
      </x:c>
      <x:c r="AM668" s="8" t="n">
        <x:v>0.6083</x:v>
      </x:c>
      <x:c r="AN668" s="3" t="n">
        <x:v>1</x:v>
      </x:c>
      <x:c r="AO668" s="3" t="s">
        <x:v>14</x:v>
      </x:c>
      <x:c r="AP668" s="3" t="s">
        <x:v>471</x:v>
      </x:c>
      <x:c r="AQ668" s="3" t="s">
        <x:v>472</x:v>
      </x:c>
      <x:c r="AR668" s="9" t="n">
        <x:v>707.3</x:v>
      </x:c>
      <x:c r="AS668" s="3" t="s">
        <x:v>121</x:v>
      </x:c>
      <x:c r="AT668" s="7" t="n">
        <x:v>46301.9166666667</x:v>
      </x:c>
    </x:row>
    <x:row r="669" ht="31.299999237060547" hidden="0">
      <x:c r="A669" s="3" t="s">
        <x:v>1228</x:v>
      </x:c>
      <x:c r="B669" s="3" t="s">
        <x:v>233</x:v>
      </x:c>
      <x:c r="C669" s="3" t="s">
        <x:v>234</x:v>
      </x:c>
      <x:c r="D669" s="3" t="s">
        <x:v>235</x:v>
      </x:c>
      <x:c r="E669" s="3" t="s">
        <x:v>249</x:v>
      </x:c>
      <x:c r="F669" s="3" t="s">
        <x:v>169</x:v>
      </x:c>
      <x:c r="G669" s="3" t="s">
        <x:v>477</x:v>
      </x:c>
      <x:c r="H669" s="3" t="s">
        <x:v>343</x:v>
      </x:c>
      <x:c r="I669" s="3" t="s">
        <x:v>102</x:v>
      </x:c>
      <x:c r="J669" s="3" t="s">
        <x:v>103</x:v>
      </x:c>
      <x:c r="K669" s="3" t="s">
        <x:v>104</x:v>
      </x:c>
      <x:c r="L669" s="3" t="s">
        <x:v>237</x:v>
      </x:c>
      <x:c r="M669" s="3" t="s">
        <x:v>172</x:v>
      </x:c>
      <x:c r="N669" s="3" t="s">
        <x:v>238</x:v>
      </x:c>
      <x:c r="O669" s="3" t="s">
        <x:v>239</x:v>
      </x:c>
      <x:c r="P669" s="3" t="s">
        <x:v>240</x:v>
      </x:c>
      <x:c r="Q669" s="3" t="s">
        <x:v>276</x:v>
      </x:c>
      <x:c r="R669" s="3" t="s">
        <x:v>214</x:v>
      </x:c>
      <x:c r="S669" s="3" t="s">
        <x:v>135</x:v>
      </x:c>
      <x:c r="T669" s="3" t="s">
        <x:v>111</x:v>
      </x:c>
      <x:c r="U669" s="3" t="s">
        <x:v>215</x:v>
      </x:c>
      <x:c r="V669" s="3" t="s">
        <x:v>216</x:v>
      </x:c>
      <x:c r="W669" s="3" t="s">
        <x:v>429</x:v>
      </x:c>
      <x:c r="X669" s="3" t="s">
        <x:v>430</x:v>
      </x:c>
      <x:c r="Y669" s="3" t="s">
        <x:v>431</x:v>
      </x:c>
      <x:c r="Z669" s="3" t="s">
        <x:v>219</x:v>
      </x:c>
      <x:c r="AA669" s="3" t="s">
        <x:v>118</x:v>
      </x:c>
      <x:c r="AB669" s="7" t="n">
        <x:v>46296.81875</x:v>
      </x:c>
      <x:c r="AC669" s="7" t="n">
        <x:v>46296.8222222222</x:v>
      </x:c>
      <x:c r="AD669" s="7" t="n">
        <x:v>46296.8256944444</x:v>
      </x:c>
      <x:c r="AE669" s="7" t="n">
        <x:v>46296.8451388889</x:v>
      </x:c>
      <x:c r="AF669" s="7" t="n">
        <x:v>46296.8583333333</x:v>
      </x:c>
      <x:c r="AG669" s="3" t="n">
        <x:v>38</x:v>
      </x:c>
      <x:c r="AH669" s="3" t="n">
        <x:v>12</x:v>
      </x:c>
      <x:c r="AI669" s="3" t="s">
        <x:v>135</x:v>
      </x:c>
      <x:c r="AJ669" s="3" t="s">
        <x:v>111</x:v>
      </x:c>
      <x:c r="AK669" s="3" t="n">
        <x:v>150</x:v>
      </x:c>
      <x:c r="AL669" s="3" t="n">
        <x:v>0</x:v>
      </x:c>
      <x:c r="AM669" s="8" t="n">
        <x:v>0.3333</x:v>
      </x:c>
      <x:c r="AN669" s="3" t="n">
        <x:v>2</x:v>
      </x:c>
      <x:c r="AO669" s="3" t="s">
        <x:v>14</x:v>
      </x:c>
      <x:c r="AP669" s="3" t="s">
        <x:v>636</x:v>
      </x:c>
      <x:c r="AQ669" s="3" t="s">
        <x:v>501</x:v>
      </x:c>
      <x:c r="AR669" s="9" t="n">
        <x:v>517.4</x:v>
      </x:c>
      <x:c r="AS669" s="3" t="s">
        <x:v>121</x:v>
      </x:c>
      <x:c r="AT669" s="7" t="n">
        <x:v>46301.9166666667</x:v>
      </x:c>
    </x:row>
    <x:row r="670" ht="31.299999237060547" hidden="0">
      <x:c r="A670" s="3" t="s">
        <x:v>1229</x:v>
      </x:c>
      <x:c r="B670" s="3" t="s">
        <x:v>166</x:v>
      </x:c>
      <x:c r="C670" s="3" t="s">
        <x:v>167</x:v>
      </x:c>
      <x:c r="D670" s="3" t="s">
        <x:v>168</x:v>
      </x:c>
      <x:c r="E670" s="3" t="s">
        <x:v>249</x:v>
      </x:c>
      <x:c r="F670" s="3" t="s">
        <x:v>99</x:v>
      </x:c>
      <x:c r="G670" s="3" t="s">
        <x:v>390</x:v>
      </x:c>
      <x:c r="H670" s="3" t="s">
        <x:v>301</x:v>
      </x:c>
      <x:c r="I670" s="3" t="s">
        <x:v>302</x:v>
      </x:c>
      <x:c r="J670" s="3" t="s">
        <x:v>303</x:v>
      </x:c>
      <x:c r="K670" s="3" t="s">
        <x:v>104</x:v>
      </x:c>
      <x:c r="L670" s="3" t="s">
        <x:v>171</x:v>
      </x:c>
      <x:c r="M670" s="3" t="s">
        <x:v>172</x:v>
      </x:c>
      <x:c r="N670" s="3" t="s">
        <x:v>173</x:v>
      </x:c>
      <x:c r="O670" s="3" t="s">
        <x:v>174</x:v>
      </x:c>
      <x:c r="P670" s="3" t="s">
        <x:v>175</x:v>
      </x:c>
      <x:c r="Q670" s="3" t="s">
        <x:v>271</x:v>
      </x:c>
      <x:c r="R670" s="3" t="s">
        <x:v>391</x:v>
      </x:c>
      <x:c r="S670" s="3" t="s">
        <x:v>135</x:v>
      </x:c>
      <x:c r="T670" s="3" t="s">
        <x:v>135</x:v>
      </x:c>
      <x:c r="U670" s="3" t="s">
        <x:v>392</x:v>
      </x:c>
      <x:c r="V670" s="3" t="s">
        <x:v>312</x:v>
      </x:c>
      <x:c r="W670" s="3" t="s">
        <x:v>351</x:v>
      </x:c>
      <x:c r="X670" s="3" t="s">
        <x:v>314</x:v>
      </x:c>
      <x:c r="Y670" s="3" t="s">
        <x:v>352</x:v>
      </x:c>
      <x:c r="Z670" s="3" t="s">
        <x:v>393</x:v>
      </x:c>
      <x:c r="AA670" s="3" t="s">
        <x:v>394</x:v>
      </x:c>
      <x:c r="AB670" s="7" t="n">
        <x:v>46296.8583333333</x:v>
      </x:c>
      <x:c r="AC670" s="7" t="n">
        <x:v>46296.8631944444</x:v>
      </x:c>
      <x:c r="AD670" s="7" t="n">
        <x:v>46296.8666666667</x:v>
      </x:c>
      <x:c r="AE670" s="7" t="n">
        <x:v>46296.8888888889</x:v>
      </x:c>
      <x:c r="AF670" s="7" t="n">
        <x:v>46296.9659722222</x:v>
      </x:c>
      <x:c r="AG670" s="3" t="n">
        <x:v>44</x:v>
      </x:c>
      <x:c r="AH670" s="3" t="n">
        <x:v>106</x:v>
      </x:c>
      <x:c r="AI670" s="3" t="s">
        <x:v>135</x:v>
      </x:c>
      <x:c r="AJ670" s="3" t="s">
        <x:v>135</x:v>
      </x:c>
      <x:c r="AK670" s="3" t="n">
        <x:v>180</x:v>
      </x:c>
      <x:c r="AL670" s="3" t="n">
        <x:v>0</x:v>
      </x:c>
      <x:c r="AM670" s="8" t="n">
        <x:v>0.8333</x:v>
      </x:c>
      <x:c r="AN670" s="3" t="n">
        <x:v>3</x:v>
      </x:c>
      <x:c r="AO670" s="3" t="s">
        <x:v>14</x:v>
      </x:c>
      <x:c r="AP670" s="3" t="s">
        <x:v>633</x:v>
      </x:c>
      <x:c r="AQ670" s="3" t="s">
        <x:v>802</x:v>
      </x:c>
      <x:c r="AR670" s="9" t="n">
        <x:v>1851.2</x:v>
      </x:c>
      <x:c r="AS670" s="3" t="s">
        <x:v>185</x:v>
      </x:c>
      <x:c r="AT670" s="7" t="n">
        <x:v>46301.9166666667</x:v>
      </x:c>
    </x:row>
    <x:row r="671" ht="31.299999237060547" hidden="0">
      <x:c r="A671" s="3" t="s">
        <x:v>1230</x:v>
      </x:c>
      <x:c r="B671" s="3" t="s">
        <x:v>205</x:v>
      </x:c>
      <x:c r="C671" s="3" t="s">
        <x:v>206</x:v>
      </x:c>
      <x:c r="D671" s="3" t="s">
        <x:v>207</x:v>
      </x:c>
      <x:c r="E671" s="3" t="s">
        <x:v>249</x:v>
      </x:c>
      <x:c r="F671" s="3" t="s">
        <x:v>149</x:v>
      </x:c>
      <x:c r="G671" s="3" t="s">
        <x:v>463</x:v>
      </x:c>
      <x:c r="H671" s="3" t="s">
        <x:v>101</x:v>
      </x:c>
      <x:c r="I671" s="3" t="s">
        <x:v>102</x:v>
      </x:c>
      <x:c r="J671" s="3" t="s">
        <x:v>103</x:v>
      </x:c>
      <x:c r="K671" s="3" t="s">
        <x:v>104</x:v>
      </x:c>
      <x:c r="L671" s="3" t="s">
        <x:v>209</x:v>
      </x:c>
      <x:c r="M671" s="3" t="s">
        <x:v>210</x:v>
      </x:c>
      <x:c r="N671" s="3" t="s">
        <x:v>211</x:v>
      </x:c>
      <x:c r="O671" s="3" t="s">
        <x:v>212</x:v>
      </x:c>
      <x:c r="P671" s="3" t="s">
        <x:v>213</x:v>
      </x:c>
      <x:c r="Q671" s="3" t="s">
        <x:v>254</x:v>
      </x:c>
      <x:c r="R671" s="3" t="s">
        <x:v>380</x:v>
      </x:c>
      <x:c r="S671" s="3" t="s">
        <x:v>111</x:v>
      </x:c>
      <x:c r="T671" s="3" t="s">
        <x:v>111</x:v>
      </x:c>
      <x:c r="U671" s="3" t="s">
        <x:v>381</x:v>
      </x:c>
      <x:c r="V671" s="3" t="s">
        <x:v>312</x:v>
      </x:c>
      <x:c r="W671" s="3" t="s">
        <x:v>351</x:v>
      </x:c>
      <x:c r="X671" s="3" t="s">
        <x:v>314</x:v>
      </x:c>
      <x:c r="Y671" s="3" t="s">
        <x:v>352</x:v>
      </x:c>
      <x:c r="Z671" s="3" t="s">
        <x:v>384</x:v>
      </x:c>
      <x:c r="AA671" s="3" t="s">
        <x:v>385</x:v>
      </x:c>
      <x:c r="AB671" s="7" t="n">
        <x:v>46297.3013888889</x:v>
      </x:c>
      <x:c r="AC671" s="7" t="n">
        <x:v>46297.3027777778</x:v>
      </x:c>
      <x:c r="AD671" s="7" t="n">
        <x:v>46297.3055555556</x:v>
      </x:c>
      <x:c r="AE671" s="7" t="n">
        <x:v>46297.3208333333</x:v>
      </x:c>
      <x:c r="AF671" s="7" t="n">
        <x:v>46297.3694444444</x:v>
      </x:c>
      <x:c r="AG671" s="3" t="n">
        <x:v>28</x:v>
      </x:c>
      <x:c r="AH671" s="3" t="n">
        <x:v>60</x:v>
      </x:c>
      <x:c r="AI671" s="3" t="s">
        <x:v>135</x:v>
      </x:c>
      <x:c r="AJ671" s="3" t="s">
        <x:v>135</x:v>
      </x:c>
      <x:c r="AK671" s="3" t="n">
        <x:v>120</x:v>
      </x:c>
      <x:c r="AL671" s="3" t="n">
        <x:v>0</x:v>
      </x:c>
      <x:c r="AM671" s="8" t="n">
        <x:v>0.7333</x:v>
      </x:c>
      <x:c r="AN671" s="3" t="n">
        <x:v>1</x:v>
      </x:c>
      <x:c r="AO671" s="3" t="s">
        <x:v>14</x:v>
      </x:c>
      <x:c r="AP671" s="3" t="s">
        <x:v>471</x:v>
      </x:c>
      <x:c r="AQ671" s="3" t="s">
        <x:v>697</x:v>
      </x:c>
      <x:c r="AR671" s="9" t="n">
        <x:v>818</x:v>
      </x:c>
      <x:c r="AS671" s="3" t="s">
        <x:v>185</x:v>
      </x:c>
      <x:c r="AT671" s="7" t="n">
        <x:v>46301.9166666667</x:v>
      </x:c>
    </x:row>
    <x:row r="672" ht="31.299999237060547" hidden="0">
      <x:c r="A672" s="3" t="s">
        <x:v>1231</x:v>
      </x:c>
      <x:c r="B672" s="3" t="s">
        <x:v>187</x:v>
      </x:c>
      <x:c r="C672" s="3" t="s">
        <x:v>188</x:v>
      </x:c>
      <x:c r="D672" s="3" t="s">
        <x:v>189</x:v>
      </x:c>
      <x:c r="E672" s="3" t="s">
        <x:v>249</x:v>
      </x:c>
      <x:c r="F672" s="3" t="s">
        <x:v>149</x:v>
      </x:c>
      <x:c r="G672" s="3" t="s">
        <x:v>359</x:v>
      </x:c>
      <x:c r="H672" s="3" t="s">
        <x:v>101</x:v>
      </x:c>
      <x:c r="I672" s="3" t="s">
        <x:v>102</x:v>
      </x:c>
      <x:c r="J672" s="3" t="s">
        <x:v>103</x:v>
      </x:c>
      <x:c r="K672" s="3" t="s">
        <x:v>104</x:v>
      </x:c>
      <x:c r="L672" s="3" t="s">
        <x:v>191</x:v>
      </x:c>
      <x:c r="M672" s="3" t="s">
        <x:v>192</x:v>
      </x:c>
      <x:c r="N672" s="3" t="s">
        <x:v>193</x:v>
      </x:c>
      <x:c r="O672" s="3" t="s">
        <x:v>194</x:v>
      </x:c>
      <x:c r="P672" s="3" t="s">
        <x:v>195</x:v>
      </x:c>
      <x:c r="Q672" s="3" t="s">
        <x:v>273</x:v>
      </x:c>
      <x:c r="R672" s="3" t="s">
        <x:v>156</x:v>
      </x:c>
      <x:c r="S672" s="3" t="s">
        <x:v>135</x:v>
      </x:c>
      <x:c r="T672" s="3" t="s">
        <x:v>111</x:v>
      </x:c>
      <x:c r="U672" s="3" t="s">
        <x:v>157</x:v>
      </x:c>
      <x:c r="V672" s="3" t="s">
        <x:v>158</x:v>
      </x:c>
      <x:c r="W672" s="3" t="s">
        <x:v>159</x:v>
      </x:c>
      <x:c r="X672" s="3" t="s">
        <x:v>160</x:v>
      </x:c>
      <x:c r="Y672" s="3" t="s">
        <x:v>360</x:v>
      </x:c>
      <x:c r="Z672" s="3" t="s">
        <x:v>162</x:v>
      </x:c>
      <x:c r="AA672" s="3" t="s">
        <x:v>118</x:v>
      </x:c>
      <x:c r="AB672" s="7" t="n">
        <x:v>46297.3652777778</x:v>
      </x:c>
      <x:c r="AC672" s="7" t="n">
        <x:v>46297.3666666667</x:v>
      </x:c>
      <x:c r="AD672" s="7" t="n">
        <x:v>46297.3722222222</x:v>
      </x:c>
      <x:c r="AE672" s="7" t="n">
        <x:v>46297.39375</x:v>
      </x:c>
      <x:c r="AF672" s="7" t="n">
        <x:v>46297.4465277778</x:v>
      </x:c>
      <x:c r="AG672" s="3" t="n">
        <x:v>41</x:v>
      </x:c>
      <x:c r="AH672" s="3" t="n">
        <x:v>69</x:v>
      </x:c>
      <x:c r="AI672" s="3" t="s">
        <x:v>135</x:v>
      </x:c>
      <x:c r="AJ672" s="3" t="s">
        <x:v>111</x:v>
      </x:c>
      <x:c r="AK672" s="3" t="n">
        <x:v>150</x:v>
      </x:c>
      <x:c r="AL672" s="3" t="n">
        <x:v>0</x:v>
      </x:c>
      <x:c r="AM672" s="8" t="n">
        <x:v>0.7333</x:v>
      </x:c>
      <x:c r="AN672" s="3" t="n">
        <x:v>0</x:v>
      </x:c>
      <x:c r="AO672" s="3" t="s">
        <x:v>14</x:v>
      </x:c>
      <x:c r="AP672" s="3" t="s">
        <x:v>318</x:v>
      </x:c>
      <x:c r="AQ672" s="3" t="s">
        <x:v>386</x:v>
      </x:c>
      <x:c r="AR672" s="9" t="n">
        <x:v>1321.3</x:v>
      </x:c>
      <x:c r="AS672" s="3" t="s">
        <x:v>121</x:v>
      </x:c>
      <x:c r="AT672" s="7" t="n">
        <x:v>46301.9166666667</x:v>
      </x:c>
    </x:row>
    <x:row r="673" ht="31.299999237060547" hidden="0">
      <x:c r="A673" s="3" t="s">
        <x:v>1232</x:v>
      </x:c>
      <x:c r="B673" s="3" t="s">
        <x:v>321</x:v>
      </x:c>
      <x:c r="C673" s="3" t="s">
        <x:v>322</x:v>
      </x:c>
      <x:c r="D673" s="3" t="s">
        <x:v>323</x:v>
      </x:c>
      <x:c r="E673" s="3" t="s">
        <x:v>249</x:v>
      </x:c>
      <x:c r="F673" s="3" t="s">
        <x:v>99</x:v>
      </x:c>
      <x:c r="G673" s="3" t="s">
        <x:v>512</x:v>
      </x:c>
      <x:c r="H673" s="3" t="s">
        <x:v>301</x:v>
      </x:c>
      <x:c r="I673" s="3" t="s">
        <x:v>302</x:v>
      </x:c>
      <x:c r="J673" s="3" t="s">
        <x:v>303</x:v>
      </x:c>
      <x:c r="K673" s="3" t="s">
        <x:v>104</x:v>
      </x:c>
      <x:c r="L673" s="3" t="s">
        <x:v>325</x:v>
      </x:c>
      <x:c r="M673" s="3" t="s">
        <x:v>326</x:v>
      </x:c>
      <x:c r="N673" s="3" t="s">
        <x:v>131</x:v>
      </x:c>
      <x:c r="O673" s="3" t="s">
        <x:v>327</x:v>
      </x:c>
      <x:c r="P673" s="3" t="s">
        <x:v>328</x:v>
      </x:c>
      <x:c r="Q673" s="3" t="s">
        <x:v>329</x:v>
      </x:c>
      <x:c r="R673" s="3" t="s">
        <x:v>214</x:v>
      </x:c>
      <x:c r="S673" s="3" t="s">
        <x:v>135</x:v>
      </x:c>
      <x:c r="T673" s="3" t="s">
        <x:v>111</x:v>
      </x:c>
      <x:c r="U673" s="3" t="s">
        <x:v>215</x:v>
      </x:c>
      <x:c r="V673" s="3" t="s">
        <x:v>216</x:v>
      </x:c>
      <x:c r="W673" s="3" t="s">
        <x:v>217</x:v>
      </x:c>
      <x:c r="X673" s="3" t="s">
        <x:v>430</x:v>
      </x:c>
      <x:c r="Y673" s="3" t="s">
        <x:v>555</x:v>
      </x:c>
      <x:c r="Z673" s="3" t="s">
        <x:v>219</x:v>
      </x:c>
      <x:c r="AA673" s="3" t="s">
        <x:v>118</x:v>
      </x:c>
      <x:c r="AB673" s="7" t="n">
        <x:v>46297.3770833333</x:v>
      </x:c>
      <x:c r="AC673" s="7" t="n">
        <x:v>46297.3798611111</x:v>
      </x:c>
      <x:c r="AD673" s="7" t="n">
        <x:v>46297.3833333333</x:v>
      </x:c>
      <x:c r="AE673" s="7" t="n">
        <x:v>46297.4125</x:v>
      </x:c>
      <x:c r="AF673" s="7" t="n">
        <x:v>46297.4416666667</x:v>
      </x:c>
      <x:c r="AG673" s="3" t="n">
        <x:v>51</x:v>
      </x:c>
      <x:c r="AH673" s="3" t="n">
        <x:v>37</x:v>
      </x:c>
      <x:c r="AI673" s="3" t="s">
        <x:v>135</x:v>
      </x:c>
      <x:c r="AJ673" s="3" t="s">
        <x:v>111</x:v>
      </x:c>
      <x:c r="AK673" s="3" t="n">
        <x:v>180</x:v>
      </x:c>
      <x:c r="AL673" s="3" t="n">
        <x:v>0</x:v>
      </x:c>
      <x:c r="AM673" s="8" t="n">
        <x:v>0.4889</x:v>
      </x:c>
      <x:c r="AN673" s="3" t="n">
        <x:v>0</x:v>
      </x:c>
      <x:c r="AO673" s="3" t="s">
        <x:v>9</x:v>
      </x:c>
      <x:c r="AP673" s="3" t="s">
        <x:v>335</x:v>
      </x:c>
      <x:c r="AQ673" s="3" t="s">
        <x:v>336</x:v>
      </x:c>
      <x:c r="AR673" s="9" t="n">
        <x:v>755.9</x:v>
      </x:c>
      <x:c r="AS673" s="3" t="s">
        <x:v>144</x:v>
      </x:c>
      <x:c r="AT673" s="7" t="n">
        <x:v>46301.9166666667</x:v>
      </x:c>
    </x:row>
    <x:row r="674" ht="31.299999237060547" hidden="0">
      <x:c r="A674" s="3" t="s">
        <x:v>1233</x:v>
      </x:c>
      <x:c r="B674" s="3" t="s">
        <x:v>297</x:v>
      </x:c>
      <x:c r="C674" s="3" t="s">
        <x:v>298</x:v>
      </x:c>
      <x:c r="D674" s="3" t="s">
        <x:v>299</x:v>
      </x:c>
      <x:c r="E674" s="3" t="s">
        <x:v>249</x:v>
      </x:c>
      <x:c r="F674" s="3" t="s">
        <x:v>149</x:v>
      </x:c>
      <x:c r="G674" s="3" t="s">
        <x:v>300</x:v>
      </x:c>
      <x:c r="H674" s="3" t="s">
        <x:v>301</x:v>
      </x:c>
      <x:c r="I674" s="3" t="s">
        <x:v>302</x:v>
      </x:c>
      <x:c r="J674" s="3" t="s">
        <x:v>303</x:v>
      </x:c>
      <x:c r="K674" s="3" t="s">
        <x:v>104</x:v>
      </x:c>
      <x:c r="L674" s="3" t="s">
        <x:v>304</x:v>
      </x:c>
      <x:c r="M674" s="3" t="s">
        <x:v>305</x:v>
      </x:c>
      <x:c r="N674" s="3" t="s">
        <x:v>306</x:v>
      </x:c>
      <x:c r="O674" s="3" t="s">
        <x:v>307</x:v>
      </x:c>
      <x:c r="P674" s="3" t="s">
        <x:v>308</x:v>
      </x:c>
      <x:c r="Q674" s="3" t="s">
        <x:v>309</x:v>
      </x:c>
      <x:c r="R674" s="3" t="s">
        <x:v>310</x:v>
      </x:c>
      <x:c r="S674" s="3" t="s">
        <x:v>135</x:v>
      </x:c>
      <x:c r="T674" s="3" t="s">
        <x:v>111</x:v>
      </x:c>
      <x:c r="U674" s="3" t="s">
        <x:v>311</x:v>
      </x:c>
      <x:c r="V674" s="3" t="s">
        <x:v>312</x:v>
      </x:c>
      <x:c r="W674" s="3" t="s">
        <x:v>313</x:v>
      </x:c>
      <x:c r="X674" s="3" t="s">
        <x:v>314</x:v>
      </x:c>
      <x:c r="Y674" s="3" t="s">
        <x:v>315</x:v>
      </x:c>
      <x:c r="Z674" s="3" t="s">
        <x:v>316</x:v>
      </x:c>
      <x:c r="AA674" s="3" t="s">
        <x:v>317</x:v>
      </x:c>
      <x:c r="AB674" s="7" t="n">
        <x:v>46297.3840277778</x:v>
      </x:c>
      <x:c r="AC674" s="7" t="n">
        <x:v>46297.3868055556</x:v>
      </x:c>
      <x:c r="AD674" s="7" t="n">
        <x:v>46297.3916666667</x:v>
      </x:c>
      <x:c r="AE674" s="7" t="n">
        <x:v>46297.4048611111</x:v>
      </x:c>
      <x:c r="AF674" s="7" t="n">
        <x:v>46297.4618055556</x:v>
      </x:c>
      <x:c r="AG674" s="3" t="n">
        <x:v>30</x:v>
      </x:c>
      <x:c r="AH674" s="3" t="n">
        <x:v>79</x:v>
      </x:c>
      <x:c r="AI674" s="3" t="s">
        <x:v>135</x:v>
      </x:c>
      <x:c r="AJ674" s="3" t="s">
        <x:v>111</x:v>
      </x:c>
      <x:c r="AK674" s="3" t="n">
        <x:v>180</x:v>
      </x:c>
      <x:c r="AL674" s="3" t="n">
        <x:v>0</x:v>
      </x:c>
      <x:c r="AM674" s="8" t="n">
        <x:v>0.6056</x:v>
      </x:c>
      <x:c r="AN674" s="3" t="n">
        <x:v>2</x:v>
      </x:c>
      <x:c r="AO674" s="3" t="s">
        <x:v>14</x:v>
      </x:c>
      <x:c r="AP674" s="3" t="s">
        <x:v>605</x:v>
      </x:c>
      <x:c r="AQ674" s="3" t="s">
        <x:v>603</x:v>
      </x:c>
      <x:c r="AR674" s="9" t="n">
        <x:v>1343.8</x:v>
      </x:c>
      <x:c r="AS674" s="3" t="s">
        <x:v>121</x:v>
      </x:c>
      <x:c r="AT674" s="7" t="n">
        <x:v>46301.9166666667</x:v>
      </x:c>
    </x:row>
    <x:row r="675" ht="31.299999237060547" hidden="0">
      <x:c r="A675" s="3" t="s">
        <x:v>1234</x:v>
      </x:c>
      <x:c r="B675" s="3" t="s">
        <x:v>233</x:v>
      </x:c>
      <x:c r="C675" s="3" t="s">
        <x:v>234</x:v>
      </x:c>
      <x:c r="D675" s="3" t="s">
        <x:v>235</x:v>
      </x:c>
      <x:c r="E675" s="3" t="s">
        <x:v>249</x:v>
      </x:c>
      <x:c r="F675" s="3" t="s">
        <x:v>127</x:v>
      </x:c>
      <x:c r="G675" s="3" t="s">
        <x:v>377</x:v>
      </x:c>
      <x:c r="H675" s="3" t="s">
        <x:v>343</x:v>
      </x:c>
      <x:c r="I675" s="3" t="s">
        <x:v>102</x:v>
      </x:c>
      <x:c r="J675" s="3" t="s">
        <x:v>103</x:v>
      </x:c>
      <x:c r="K675" s="3" t="s">
        <x:v>104</x:v>
      </x:c>
      <x:c r="L675" s="3" t="s">
        <x:v>237</x:v>
      </x:c>
      <x:c r="M675" s="3" t="s">
        <x:v>172</x:v>
      </x:c>
      <x:c r="N675" s="3" t="s">
        <x:v>238</x:v>
      </x:c>
      <x:c r="O675" s="3" t="s">
        <x:v>239</x:v>
      </x:c>
      <x:c r="P675" s="3" t="s">
        <x:v>240</x:v>
      </x:c>
      <x:c r="Q675" s="3" t="s">
        <x:v>276</x:v>
      </x:c>
      <x:c r="R675" s="3" t="s">
        <x:v>330</x:v>
      </x:c>
      <x:c r="S675" s="3" t="s">
        <x:v>135</x:v>
      </x:c>
      <x:c r="T675" s="3" t="s">
        <x:v>111</x:v>
      </x:c>
      <x:c r="U675" s="3" t="s">
        <x:v>331</x:v>
      </x:c>
      <x:c r="V675" s="3" t="s">
        <x:v>178</x:v>
      </x:c>
      <x:c r="W675" s="3" t="s">
        <x:v>179</x:v>
      </x:c>
      <x:c r="X675" s="3" t="s">
        <x:v>180</x:v>
      </x:c>
      <x:c r="Y675" s="3" t="s">
        <x:v>414</x:v>
      </x:c>
      <x:c r="Z675" s="3" t="s">
        <x:v>334</x:v>
      </x:c>
      <x:c r="AA675" s="3" t="s">
        <x:v>118</x:v>
      </x:c>
      <x:c r="AB675" s="7" t="n">
        <x:v>46297.3881944444</x:v>
      </x:c>
      <x:c r="AC675" s="7" t="n">
        <x:v>46297.3916666667</x:v>
      </x:c>
      <x:c r="AD675" s="7" t="n">
        <x:v>46297.3944444444</x:v>
      </x:c>
      <x:c r="AE675" s="7" t="n">
        <x:v>46297.4145833333</x:v>
      </x:c>
      <x:c r="AF675" s="7" t="n">
        <x:v>46297.4458333333</x:v>
      </x:c>
      <x:c r="AG675" s="3" t="n">
        <x:v>38</x:v>
      </x:c>
      <x:c r="AH675" s="3" t="n">
        <x:v>38</x:v>
      </x:c>
      <x:c r="AI675" s="3" t="s">
        <x:v>135</x:v>
      </x:c>
      <x:c r="AJ675" s="3" t="s">
        <x:v>111</x:v>
      </x:c>
      <x:c r="AK675" s="3" t="n">
        <x:v>150</x:v>
      </x:c>
      <x:c r="AL675" s="3" t="n">
        <x:v>0</x:v>
      </x:c>
      <x:c r="AM675" s="8" t="n">
        <x:v>0.5067</x:v>
      </x:c>
      <x:c r="AN675" s="3" t="n">
        <x:v>2</x:v>
      </x:c>
      <x:c r="AO675" s="3" t="s">
        <x:v>14</x:v>
      </x:c>
      <x:c r="AP675" s="3" t="s">
        <x:v>636</x:v>
      </x:c>
      <x:c r="AQ675" s="3" t="s">
        <x:v>501</x:v>
      </x:c>
      <x:c r="AR675" s="9" t="n">
        <x:v>704.6</x:v>
      </x:c>
      <x:c r="AS675" s="3" t="s">
        <x:v>121</x:v>
      </x:c>
      <x:c r="AT675" s="7" t="n">
        <x:v>46301.9166666667</x:v>
      </x:c>
    </x:row>
    <x:row r="676" ht="31.299999237060547" hidden="0">
      <x:c r="A676" s="3" t="s">
        <x:v>1235</x:v>
      </x:c>
      <x:c r="B676" s="3" t="s">
        <x:v>297</x:v>
      </x:c>
      <x:c r="C676" s="3" t="s">
        <x:v>298</x:v>
      </x:c>
      <x:c r="D676" s="3" t="s">
        <x:v>299</x:v>
      </x:c>
      <x:c r="E676" s="3" t="s">
        <x:v>249</x:v>
      </x:c>
      <x:c r="F676" s="3" t="s">
        <x:v>127</x:v>
      </x:c>
      <x:c r="G676" s="3" t="s">
        <x:v>469</x:v>
      </x:c>
      <x:c r="H676" s="3" t="s">
        <x:v>301</x:v>
      </x:c>
      <x:c r="I676" s="3" t="s">
        <x:v>302</x:v>
      </x:c>
      <x:c r="J676" s="3" t="s">
        <x:v>303</x:v>
      </x:c>
      <x:c r="K676" s="3" t="s">
        <x:v>104</x:v>
      </x:c>
      <x:c r="L676" s="3" t="s">
        <x:v>304</x:v>
      </x:c>
      <x:c r="M676" s="3" t="s">
        <x:v>305</x:v>
      </x:c>
      <x:c r="N676" s="3" t="s">
        <x:v>306</x:v>
      </x:c>
      <x:c r="O676" s="3" t="s">
        <x:v>307</x:v>
      </x:c>
      <x:c r="P676" s="3" t="s">
        <x:v>308</x:v>
      </x:c>
      <x:c r="Q676" s="3" t="s">
        <x:v>309</x:v>
      </x:c>
      <x:c r="R676" s="3" t="s">
        <x:v>110</x:v>
      </x:c>
      <x:c r="S676" s="3" t="s">
        <x:v>111</x:v>
      </x:c>
      <x:c r="T676" s="3" t="s">
        <x:v>111</x:v>
      </x:c>
      <x:c r="U676" s="3" t="s">
        <x:v>112</x:v>
      </x:c>
      <x:c r="V676" s="3" t="s">
        <x:v>113</x:v>
      </x:c>
      <x:c r="W676" s="3" t="s">
        <x:v>114</x:v>
      </x:c>
      <x:c r="X676" s="3" t="s">
        <x:v>115</x:v>
      </x:c>
      <x:c r="Y676" s="3" t="s">
        <x:v>116</x:v>
      </x:c>
      <x:c r="Z676" s="3" t="s">
        <x:v>117</x:v>
      </x:c>
      <x:c r="AA676" s="3" t="s">
        <x:v>118</x:v>
      </x:c>
      <x:c r="AB676" s="7" t="n">
        <x:v>46297.3986111111</x:v>
      </x:c>
      <x:c r="AC676" s="7" t="n">
        <x:v>46297.4034722222</x:v>
      </x:c>
      <x:c r="AD676" s="7" t="n">
        <x:v>46297.4083333333</x:v>
      </x:c>
      <x:c r="AE676" s="7" t="n">
        <x:v>46297.4208333333</x:v>
      </x:c>
      <x:c r="AF676" s="7" t="n">
        <x:v>46297.4701388889</x:v>
      </x:c>
      <x:c r="AG676" s="3" t="n">
        <x:v>32</x:v>
      </x:c>
      <x:c r="AH676" s="3" t="n">
        <x:v>63</x:v>
      </x:c>
      <x:c r="AI676" s="3" t="s">
        <x:v>135</x:v>
      </x:c>
      <x:c r="AJ676" s="3" t="s">
        <x:v>111</x:v>
      </x:c>
      <x:c r="AK676" s="3" t="n">
        <x:v>120</x:v>
      </x:c>
      <x:c r="AL676" s="3" t="n">
        <x:v>0</x:v>
      </x:c>
      <x:c r="AM676" s="8" t="n">
        <x:v>0.7917</x:v>
      </x:c>
      <x:c r="AN676" s="3" t="n">
        <x:v>2</x:v>
      </x:c>
      <x:c r="AO676" s="3" t="s">
        <x:v>14</x:v>
      </x:c>
      <x:c r="AP676" s="3" t="s">
        <x:v>605</x:v>
      </x:c>
      <x:c r="AQ676" s="3" t="s">
        <x:v>603</x:v>
      </x:c>
      <x:c r="AR676" s="9" t="n">
        <x:v>1237.6</x:v>
      </x:c>
      <x:c r="AS676" s="3" t="s">
        <x:v>185</x:v>
      </x:c>
      <x:c r="AT676" s="7" t="n">
        <x:v>46301.9166666667</x:v>
      </x:c>
    </x:row>
    <x:row r="677" ht="31.299999237060547" hidden="0">
      <x:c r="A677" s="3" t="s">
        <x:v>1236</x:v>
      </x:c>
      <x:c r="B677" s="3" t="s">
        <x:v>166</x:v>
      </x:c>
      <x:c r="C677" s="3" t="s">
        <x:v>167</x:v>
      </x:c>
      <x:c r="D677" s="3" t="s">
        <x:v>168</x:v>
      </x:c>
      <x:c r="E677" s="3" t="s">
        <x:v>249</x:v>
      </x:c>
      <x:c r="F677" s="3" t="s">
        <x:v>149</x:v>
      </x:c>
      <x:c r="G677" s="3" t="s">
        <x:v>491</x:v>
      </x:c>
      <x:c r="H677" s="3" t="s">
        <x:v>101</x:v>
      </x:c>
      <x:c r="I677" s="3" t="s">
        <x:v>102</x:v>
      </x:c>
      <x:c r="J677" s="3" t="s">
        <x:v>103</x:v>
      </x:c>
      <x:c r="K677" s="3" t="s">
        <x:v>104</x:v>
      </x:c>
      <x:c r="L677" s="3" t="s">
        <x:v>171</x:v>
      </x:c>
      <x:c r="M677" s="3" t="s">
        <x:v>172</x:v>
      </x:c>
      <x:c r="N677" s="3" t="s">
        <x:v>173</x:v>
      </x:c>
      <x:c r="O677" s="3" t="s">
        <x:v>174</x:v>
      </x:c>
      <x:c r="P677" s="3" t="s">
        <x:v>175</x:v>
      </x:c>
      <x:c r="Q677" s="3" t="s">
        <x:v>271</x:v>
      </x:c>
      <x:c r="R677" s="3" t="s">
        <x:v>373</x:v>
      </x:c>
      <x:c r="S677" s="3" t="s">
        <x:v>135</x:v>
      </x:c>
      <x:c r="T677" s="3" t="s">
        <x:v>111</x:v>
      </x:c>
      <x:c r="U677" s="3" t="s">
        <x:v>374</x:v>
      </x:c>
      <x:c r="V677" s="3" t="s">
        <x:v>178</x:v>
      </x:c>
      <x:c r="W677" s="3" t="s">
        <x:v>355</x:v>
      </x:c>
      <x:c r="X677" s="3" t="s">
        <x:v>180</x:v>
      </x:c>
      <x:c r="Y677" s="3" t="s">
        <x:v>356</x:v>
      </x:c>
      <x:c r="Z677" s="3" t="s">
        <x:v>375</x:v>
      </x:c>
      <x:c r="AA677" s="3" t="s">
        <x:v>118</x:v>
      </x:c>
      <x:c r="AB677" s="7" t="n">
        <x:v>46297.4013888889</x:v>
      </x:c>
      <x:c r="AC677" s="7" t="n">
        <x:v>46297.4048611111</x:v>
      </x:c>
      <x:c r="AD677" s="7" t="n">
        <x:v>46297.4069444445</x:v>
      </x:c>
      <x:c r="AE677" s="7" t="n">
        <x:v>46297.4215277778</x:v>
      </x:c>
      <x:c r="AF677" s="7" t="n">
        <x:v>46297.50625</x:v>
      </x:c>
      <x:c r="AG677" s="3" t="n">
        <x:v>29</x:v>
      </x:c>
      <x:c r="AH677" s="3" t="n">
        <x:v>112</x:v>
      </x:c>
      <x:c r="AI677" s="3" t="s">
        <x:v>135</x:v>
      </x:c>
      <x:c r="AJ677" s="3" t="s">
        <x:v>135</x:v>
      </x:c>
      <x:c r="AK677" s="3" t="n">
        <x:v>150</x:v>
      </x:c>
      <x:c r="AL677" s="3" t="n">
        <x:v>0</x:v>
      </x:c>
      <x:c r="AM677" s="8" t="n">
        <x:v>0.94</x:v>
      </x:c>
      <x:c r="AN677" s="3" t="n">
        <x:v>0</x:v>
      </x:c>
      <x:c r="AO677" s="3" t="s">
        <x:v>19</x:v>
      </x:c>
      <x:c r="AP677" s="3" t="s">
        <x:v>369</x:v>
      </x:c>
      <x:c r="AQ677" s="3" t="s">
        <x:v>340</x:v>
      </x:c>
      <x:c r="AR677" s="9" t="n">
        <x:v>1576.9</x:v>
      </x:c>
      <x:c r="AS677" s="3" t="s">
        <x:v>185</x:v>
      </x:c>
      <x:c r="AT677" s="7" t="n">
        <x:v>46301.9166666667</x:v>
      </x:c>
    </x:row>
    <x:row r="678" ht="31.299999237060547" hidden="0">
      <x:c r="A678" s="3" t="s">
        <x:v>1237</x:v>
      </x:c>
      <x:c r="B678" s="3" t="s">
        <x:v>233</x:v>
      </x:c>
      <x:c r="C678" s="3" t="s">
        <x:v>234</x:v>
      </x:c>
      <x:c r="D678" s="3" t="s">
        <x:v>235</x:v>
      </x:c>
      <x:c r="E678" s="3" t="s">
        <x:v>249</x:v>
      </x:c>
      <x:c r="F678" s="3" t="s">
        <x:v>169</x:v>
      </x:c>
      <x:c r="G678" s="3" t="s">
        <x:v>447</x:v>
      </x:c>
      <x:c r="H678" s="3" t="s">
        <x:v>343</x:v>
      </x:c>
      <x:c r="I678" s="3" t="s">
        <x:v>102</x:v>
      </x:c>
      <x:c r="J678" s="3" t="s">
        <x:v>103</x:v>
      </x:c>
      <x:c r="K678" s="3" t="s">
        <x:v>104</x:v>
      </x:c>
      <x:c r="L678" s="3" t="s">
        <x:v>237</x:v>
      </x:c>
      <x:c r="M678" s="3" t="s">
        <x:v>172</x:v>
      </x:c>
      <x:c r="N678" s="3" t="s">
        <x:v>238</x:v>
      </x:c>
      <x:c r="O678" s="3" t="s">
        <x:v>239</x:v>
      </x:c>
      <x:c r="P678" s="3" t="s">
        <x:v>240</x:v>
      </x:c>
      <x:c r="Q678" s="3" t="s">
        <x:v>276</x:v>
      </x:c>
      <x:c r="R678" s="3" t="s">
        <x:v>344</x:v>
      </x:c>
      <x:c r="S678" s="3" t="s">
        <x:v>111</x:v>
      </x:c>
      <x:c r="T678" s="3" t="s">
        <x:v>111</x:v>
      </x:c>
      <x:c r="U678" s="3" t="s">
        <x:v>345</x:v>
      </x:c>
      <x:c r="V678" s="3" t="s">
        <x:v>178</x:v>
      </x:c>
      <x:c r="W678" s="3" t="s">
        <x:v>355</x:v>
      </x:c>
      <x:c r="X678" s="3" t="s">
        <x:v>180</x:v>
      </x:c>
      <x:c r="Y678" s="3" t="s">
        <x:v>356</x:v>
      </x:c>
      <x:c r="Z678" s="3" t="s">
        <x:v>346</x:v>
      </x:c>
      <x:c r="AA678" s="3" t="s">
        <x:v>118</x:v>
      </x:c>
      <x:c r="AB678" s="7" t="n">
        <x:v>46297.4402777778</x:v>
      </x:c>
      <x:c r="AC678" s="7" t="n">
        <x:v>46297.4451388889</x:v>
      </x:c>
      <x:c r="AD678" s="7" t="n">
        <x:v>46297.4479166667</x:v>
      </x:c>
      <x:c r="AE678" s="7" t="n">
        <x:v>46297.4680555556</x:v>
      </x:c>
      <x:c r="AF678" s="7" t="n">
        <x:v>46297.5263888889</x:v>
      </x:c>
      <x:c r="AG678" s="3" t="n">
        <x:v>40</x:v>
      </x:c>
      <x:c r="AH678" s="3" t="n">
        <x:v>74</x:v>
      </x:c>
      <x:c r="AI678" s="3" t="s">
        <x:v>135</x:v>
      </x:c>
      <x:c r="AJ678" s="3" t="s">
        <x:v>111</x:v>
      </x:c>
      <x:c r="AK678" s="3" t="n">
        <x:v>120</x:v>
      </x:c>
      <x:c r="AL678" s="3" t="n">
        <x:v>0</x:v>
      </x:c>
      <x:c r="AM678" s="8" t="n">
        <x:v>0.95</x:v>
      </x:c>
      <x:c r="AN678" s="3" t="n">
        <x:v>3</x:v>
      </x:c>
      <x:c r="AO678" s="3" t="s">
        <x:v>19</x:v>
      </x:c>
      <x:c r="AP678" s="3" t="s">
        <x:v>970</x:v>
      </x:c>
      <x:c r="AQ678" s="3" t="s">
        <x:v>971</x:v>
      </x:c>
      <x:c r="AR678" s="9" t="n">
        <x:v>1222.8</x:v>
      </x:c>
      <x:c r="AS678" s="3" t="s">
        <x:v>185</x:v>
      </x:c>
      <x:c r="AT678" s="7" t="n">
        <x:v>46301.9166666667</x:v>
      </x:c>
    </x:row>
    <x:row r="679" ht="31.299999237060547" hidden="0">
      <x:c r="A679" s="3" t="s">
        <x:v>1238</x:v>
      </x:c>
      <x:c r="B679" s="3" t="s">
        <x:v>222</x:v>
      </x:c>
      <x:c r="C679" s="3" t="s">
        <x:v>223</x:v>
      </x:c>
      <x:c r="D679" s="3" t="s">
        <x:v>224</x:v>
      </x:c>
      <x:c r="E679" s="3" t="s">
        <x:v>249</x:v>
      </x:c>
      <x:c r="F679" s="3" t="s">
        <x:v>99</x:v>
      </x:c>
      <x:c r="G679" s="3" t="s">
        <x:v>486</x:v>
      </x:c>
      <x:c r="H679" s="3" t="s">
        <x:v>101</x:v>
      </x:c>
      <x:c r="I679" s="3" t="s">
        <x:v>102</x:v>
      </x:c>
      <x:c r="J679" s="3" t="s">
        <x:v>103</x:v>
      </x:c>
      <x:c r="K679" s="3" t="s">
        <x:v>104</x:v>
      </x:c>
      <x:c r="L679" s="3" t="s">
        <x:v>226</x:v>
      </x:c>
      <x:c r="M679" s="3" t="s">
        <x:v>227</x:v>
      </x:c>
      <x:c r="N679" s="3" t="s">
        <x:v>228</x:v>
      </x:c>
      <x:c r="O679" s="3" t="s">
        <x:v>229</x:v>
      </x:c>
      <x:c r="P679" s="3" t="s">
        <x:v>230</x:v>
      </x:c>
      <x:c r="Q679" s="3" t="s">
        <x:v>274</x:v>
      </x:c>
      <x:c r="R679" s="3" t="s">
        <x:v>176</x:v>
      </x:c>
      <x:c r="S679" s="3" t="s">
        <x:v>135</x:v>
      </x:c>
      <x:c r="T679" s="3" t="s">
        <x:v>135</x:v>
      </x:c>
      <x:c r="U679" s="3" t="s">
        <x:v>177</x:v>
      </x:c>
      <x:c r="V679" s="3" t="s">
        <x:v>178</x:v>
      </x:c>
      <x:c r="W679" s="3" t="s">
        <x:v>179</x:v>
      </x:c>
      <x:c r="X679" s="3" t="s">
        <x:v>180</x:v>
      </x:c>
      <x:c r="Y679" s="3" t="s">
        <x:v>414</x:v>
      </x:c>
      <x:c r="Z679" s="3" t="s">
        <x:v>182</x:v>
      </x:c>
      <x:c r="AA679" s="3" t="s">
        <x:v>118</x:v>
      </x:c>
      <x:c r="AB679" s="7" t="n">
        <x:v>46297.45</x:v>
      </x:c>
      <x:c r="AC679" s="7" t="n">
        <x:v>46297.4541666667</x:v>
      </x:c>
      <x:c r="AD679" s="7" t="n">
        <x:v>46297.4597222222</x:v>
      </x:c>
      <x:c r="AE679" s="7" t="n">
        <x:v>46297.4888888889</x:v>
      </x:c>
      <x:c r="AF679" s="7" t="n">
        <x:v>46297.5395833333</x:v>
      </x:c>
      <x:c r="AG679" s="3" t="n">
        <x:v>56</x:v>
      </x:c>
      <x:c r="AH679" s="3" t="n">
        <x:v>63</x:v>
      </x:c>
      <x:c r="AI679" s="3" t="s">
        <x:v>135</x:v>
      </x:c>
      <x:c r="AJ679" s="3" t="s">
        <x:v>135</x:v>
      </x:c>
      <x:c r="AK679" s="3" t="n">
        <x:v>180</x:v>
      </x:c>
      <x:c r="AL679" s="3" t="n">
        <x:v>0</x:v>
      </x:c>
      <x:c r="AM679" s="8" t="n">
        <x:v>0.6611</x:v>
      </x:c>
      <x:c r="AN679" s="3" t="n">
        <x:v>0</x:v>
      </x:c>
      <x:c r="AO679" s="3" t="s">
        <x:v>14</x:v>
      </x:c>
      <x:c r="AP679" s="3" t="s">
        <x:v>347</x:v>
      </x:c>
      <x:c r="AQ679" s="3" t="s">
        <x:v>370</x:v>
      </x:c>
      <x:c r="AR679" s="9" t="n">
        <x:v>965.6</x:v>
      </x:c>
      <x:c r="AS679" s="3" t="s">
        <x:v>121</x:v>
      </x:c>
      <x:c r="AT679" s="7" t="n">
        <x:v>46301.9166666667</x:v>
      </x:c>
    </x:row>
    <x:row r="680" ht="31.299999237060547" hidden="0">
      <x:c r="A680" s="3" t="s">
        <x:v>1239</x:v>
      </x:c>
      <x:c r="B680" s="3" t="s">
        <x:v>233</x:v>
      </x:c>
      <x:c r="C680" s="3" t="s">
        <x:v>234</x:v>
      </x:c>
      <x:c r="D680" s="3" t="s">
        <x:v>235</x:v>
      </x:c>
      <x:c r="E680" s="3" t="s">
        <x:v>249</x:v>
      </x:c>
      <x:c r="F680" s="3" t="s">
        <x:v>99</x:v>
      </x:c>
      <x:c r="G680" s="3" t="s">
        <x:v>447</x:v>
      </x:c>
      <x:c r="H680" s="3" t="s">
        <x:v>343</x:v>
      </x:c>
      <x:c r="I680" s="3" t="s">
        <x:v>102</x:v>
      </x:c>
      <x:c r="J680" s="3" t="s">
        <x:v>103</x:v>
      </x:c>
      <x:c r="K680" s="3" t="s">
        <x:v>104</x:v>
      </x:c>
      <x:c r="L680" s="3" t="s">
        <x:v>237</x:v>
      </x:c>
      <x:c r="M680" s="3" t="s">
        <x:v>172</x:v>
      </x:c>
      <x:c r="N680" s="3" t="s">
        <x:v>238</x:v>
      </x:c>
      <x:c r="O680" s="3" t="s">
        <x:v>239</x:v>
      </x:c>
      <x:c r="P680" s="3" t="s">
        <x:v>240</x:v>
      </x:c>
      <x:c r="Q680" s="3" t="s">
        <x:v>276</x:v>
      </x:c>
      <x:c r="R680" s="3" t="s">
        <x:v>344</x:v>
      </x:c>
      <x:c r="S680" s="3" t="s">
        <x:v>111</x:v>
      </x:c>
      <x:c r="T680" s="3" t="s">
        <x:v>111</x:v>
      </x:c>
      <x:c r="U680" s="3" t="s">
        <x:v>345</x:v>
      </x:c>
      <x:c r="V680" s="3" t="s">
        <x:v>178</x:v>
      </x:c>
      <x:c r="W680" s="3" t="s">
        <x:v>355</x:v>
      </x:c>
      <x:c r="X680" s="3" t="s">
        <x:v>180</x:v>
      </x:c>
      <x:c r="Y680" s="3" t="s">
        <x:v>356</x:v>
      </x:c>
      <x:c r="Z680" s="3" t="s">
        <x:v>346</x:v>
      </x:c>
      <x:c r="AA680" s="3" t="s">
        <x:v>118</x:v>
      </x:c>
      <x:c r="AB680" s="7" t="n">
        <x:v>46297.4993055556</x:v>
      </x:c>
      <x:c r="AC680" s="7" t="n">
        <x:v>46297.5034722222</x:v>
      </x:c>
      <x:c r="AD680" s="7" t="n">
        <x:v>46297.5048611111</x:v>
      </x:c>
      <x:c r="AE680" s="7" t="n">
        <x:v>46297.5298611111</x:v>
      </x:c>
      <x:c r="AF680" s="7" t="n">
        <x:v>46297.5770833333</x:v>
      </x:c>
      <x:c r="AG680" s="3" t="n">
        <x:v>44</x:v>
      </x:c>
      <x:c r="AH680" s="3" t="n">
        <x:v>59</x:v>
      </x:c>
      <x:c r="AI680" s="3" t="s">
        <x:v>135</x:v>
      </x:c>
      <x:c r="AJ680" s="3" t="s">
        <x:v>111</x:v>
      </x:c>
      <x:c r="AK680" s="3" t="n">
        <x:v>120</x:v>
      </x:c>
      <x:c r="AL680" s="3" t="n">
        <x:v>0</x:v>
      </x:c>
      <x:c r="AM680" s="8" t="n">
        <x:v>0.8583</x:v>
      </x:c>
      <x:c r="AN680" s="3" t="n">
        <x:v>4</x:v>
      </x:c>
      <x:c r="AO680" s="3" t="s">
        <x:v>19</x:v>
      </x:c>
      <x:c r="AP680" s="3" t="s">
        <x:v>1240</x:v>
      </x:c>
      <x:c r="AQ680" s="3" t="s">
        <x:v>971</x:v>
      </x:c>
      <x:c r="AR680" s="9" t="n">
        <x:v>1132.8</x:v>
      </x:c>
      <x:c r="AS680" s="3" t="s">
        <x:v>185</x:v>
      </x:c>
      <x:c r="AT680" s="7" t="n">
        <x:v>46301.9166666667</x:v>
      </x:c>
    </x:row>
    <x:row r="681" ht="31.299999237060547" hidden="0">
      <x:c r="A681" s="3" t="s">
        <x:v>1241</x:v>
      </x:c>
      <x:c r="B681" s="3" t="s">
        <x:v>205</x:v>
      </x:c>
      <x:c r="C681" s="3" t="s">
        <x:v>206</x:v>
      </x:c>
      <x:c r="D681" s="3" t="s">
        <x:v>207</x:v>
      </x:c>
      <x:c r="E681" s="3" t="s">
        <x:v>249</x:v>
      </x:c>
      <x:c r="F681" s="3" t="s">
        <x:v>169</x:v>
      </x:c>
      <x:c r="G681" s="3" t="s">
        <x:v>458</x:v>
      </x:c>
      <x:c r="H681" s="3" t="s">
        <x:v>339</x:v>
      </x:c>
      <x:c r="I681" s="3" t="s">
        <x:v>102</x:v>
      </x:c>
      <x:c r="J681" s="3" t="s">
        <x:v>103</x:v>
      </x:c>
      <x:c r="K681" s="3" t="s">
        <x:v>104</x:v>
      </x:c>
      <x:c r="L681" s="3" t="s">
        <x:v>209</x:v>
      </x:c>
      <x:c r="M681" s="3" t="s">
        <x:v>210</x:v>
      </x:c>
      <x:c r="N681" s="3" t="s">
        <x:v>211</x:v>
      </x:c>
      <x:c r="O681" s="3" t="s">
        <x:v>212</x:v>
      </x:c>
      <x:c r="P681" s="3" t="s">
        <x:v>213</x:v>
      </x:c>
      <x:c r="Q681" s="3" t="s">
        <x:v>254</x:v>
      </x:c>
      <x:c r="R681" s="3" t="s">
        <x:v>391</x:v>
      </x:c>
      <x:c r="S681" s="3" t="s">
        <x:v>135</x:v>
      </x:c>
      <x:c r="T681" s="3" t="s">
        <x:v>135</x:v>
      </x:c>
      <x:c r="U681" s="3" t="s">
        <x:v>392</x:v>
      </x:c>
      <x:c r="V681" s="3" t="s">
        <x:v>312</x:v>
      </x:c>
      <x:c r="W681" s="3" t="s">
        <x:v>351</x:v>
      </x:c>
      <x:c r="X681" s="3" t="s">
        <x:v>314</x:v>
      </x:c>
      <x:c r="Y681" s="3" t="s">
        <x:v>352</x:v>
      </x:c>
      <x:c r="Z681" s="3" t="s">
        <x:v>393</x:v>
      </x:c>
      <x:c r="AA681" s="3" t="s">
        <x:v>394</x:v>
      </x:c>
      <x:c r="AB681" s="7" t="n">
        <x:v>46297.5395833333</x:v>
      </x:c>
      <x:c r="AC681" s="7" t="n">
        <x:v>46297.5416666667</x:v>
      </x:c>
      <x:c r="AD681" s="7" t="n">
        <x:v>46297.5458333333</x:v>
      </x:c>
      <x:c r="AE681" s="7" t="n">
        <x:v>46297.5666666667</x:v>
      </x:c>
      <x:c r="AF681" s="7" t="n">
        <x:v>46297.6125</x:v>
      </x:c>
      <x:c r="AG681" s="3" t="n">
        <x:v>39</x:v>
      </x:c>
      <x:c r="AH681" s="3" t="n">
        <x:v>60</x:v>
      </x:c>
      <x:c r="AI681" s="3" t="s">
        <x:v>135</x:v>
      </x:c>
      <x:c r="AJ681" s="3" t="s">
        <x:v>135</x:v>
      </x:c>
      <x:c r="AK681" s="3" t="n">
        <x:v>180</x:v>
      </x:c>
      <x:c r="AL681" s="3" t="n">
        <x:v>0</x:v>
      </x:c>
      <x:c r="AM681" s="8" t="n">
        <x:v>0.55</x:v>
      </x:c>
      <x:c r="AN681" s="3" t="n">
        <x:v>1</x:v>
      </x:c>
      <x:c r="AO681" s="3" t="s">
        <x:v>9</x:v>
      </x:c>
      <x:c r="AP681" s="3" t="s">
        <x:v>500</x:v>
      </x:c>
      <x:c r="AQ681" s="3" t="s">
        <x:v>697</x:v>
      </x:c>
      <x:c r="AR681" s="9" t="n">
        <x:v>867.5</x:v>
      </x:c>
      <x:c r="AS681" s="3" t="s">
        <x:v>121</x:v>
      </x:c>
      <x:c r="AT681" s="7" t="n">
        <x:v>46301.9166666667</x:v>
      </x:c>
    </x:row>
    <x:row r="682" ht="31.299999237060547" hidden="0">
      <x:c r="A682" s="3" t="s">
        <x:v>1242</x:v>
      </x:c>
      <x:c r="B682" s="3" t="s">
        <x:v>187</x:v>
      </x:c>
      <x:c r="C682" s="3" t="s">
        <x:v>188</x:v>
      </x:c>
      <x:c r="D682" s="3" t="s">
        <x:v>189</x:v>
      </x:c>
      <x:c r="E682" s="3" t="s">
        <x:v>249</x:v>
      </x:c>
      <x:c r="F682" s="3" t="s">
        <x:v>169</x:v>
      </x:c>
      <x:c r="G682" s="3" t="s">
        <x:v>456</x:v>
      </x:c>
      <x:c r="H682" s="3" t="s">
        <x:v>343</x:v>
      </x:c>
      <x:c r="I682" s="3" t="s">
        <x:v>102</x:v>
      </x:c>
      <x:c r="J682" s="3" t="s">
        <x:v>103</x:v>
      </x:c>
      <x:c r="K682" s="3" t="s">
        <x:v>104</x:v>
      </x:c>
      <x:c r="L682" s="3" t="s">
        <x:v>191</x:v>
      </x:c>
      <x:c r="M682" s="3" t="s">
        <x:v>192</x:v>
      </x:c>
      <x:c r="N682" s="3" t="s">
        <x:v>193</x:v>
      </x:c>
      <x:c r="O682" s="3" t="s">
        <x:v>194</x:v>
      </x:c>
      <x:c r="P682" s="3" t="s">
        <x:v>195</x:v>
      </x:c>
      <x:c r="Q682" s="3" t="s">
        <x:v>273</x:v>
      </x:c>
      <x:c r="R682" s="3" t="s">
        <x:v>391</x:v>
      </x:c>
      <x:c r="S682" s="3" t="s">
        <x:v>135</x:v>
      </x:c>
      <x:c r="T682" s="3" t="s">
        <x:v>135</x:v>
      </x:c>
      <x:c r="U682" s="3" t="s">
        <x:v>392</x:v>
      </x:c>
      <x:c r="V682" s="3" t="s">
        <x:v>312</x:v>
      </x:c>
      <x:c r="W682" s="3" t="s">
        <x:v>351</x:v>
      </x:c>
      <x:c r="X682" s="3" t="s">
        <x:v>314</x:v>
      </x:c>
      <x:c r="Y682" s="3" t="s">
        <x:v>352</x:v>
      </x:c>
      <x:c r="Z682" s="3" t="s">
        <x:v>393</x:v>
      </x:c>
      <x:c r="AA682" s="3" t="s">
        <x:v>394</x:v>
      </x:c>
      <x:c r="AB682" s="7" t="n">
        <x:v>46297.5506944444</x:v>
      </x:c>
      <x:c r="AC682" s="7" t="n">
        <x:v>46297.5548611111</x:v>
      </x:c>
      <x:c r="AD682" s="7" t="n">
        <x:v>46297.5604166667</x:v>
      </x:c>
      <x:c r="AE682" s="7" t="n">
        <x:v>46297.5868055556</x:v>
      </x:c>
      <x:c r="AF682" s="7" t="n">
        <x:v>46297.64375</x:v>
      </x:c>
      <x:c r="AG682" s="3" t="n">
        <x:v>52</x:v>
      </x:c>
      <x:c r="AH682" s="3" t="n">
        <x:v>76</x:v>
      </x:c>
      <x:c r="AI682" s="3" t="s">
        <x:v>135</x:v>
      </x:c>
      <x:c r="AJ682" s="3" t="s">
        <x:v>111</x:v>
      </x:c>
      <x:c r="AK682" s="3" t="n">
        <x:v>150</x:v>
      </x:c>
      <x:c r="AL682" s="3" t="n">
        <x:v>0</x:v>
      </x:c>
      <x:c r="AM682" s="8" t="n">
        <x:v>0.8533</x:v>
      </x:c>
      <x:c r="AN682" s="3" t="n">
        <x:v>0</x:v>
      </x:c>
      <x:c r="AO682" s="3" t="s">
        <x:v>19</x:v>
      </x:c>
      <x:c r="AP682" s="3" t="s">
        <x:v>444</x:v>
      </x:c>
      <x:c r="AQ682" s="3" t="s">
        <x:v>386</x:v>
      </x:c>
      <x:c r="AR682" s="9" t="n">
        <x:v>1421.2</x:v>
      </x:c>
      <x:c r="AS682" s="3" t="s">
        <x:v>185</x:v>
      </x:c>
      <x:c r="AT682" s="7" t="n">
        <x:v>46301.9166666667</x:v>
      </x:c>
    </x:row>
    <x:row r="683" ht="31.299999237060547" hidden="0">
      <x:c r="A683" s="3" t="s">
        <x:v>1243</x:v>
      </x:c>
      <x:c r="B683" s="3" t="s">
        <x:v>187</x:v>
      </x:c>
      <x:c r="C683" s="3" t="s">
        <x:v>188</x:v>
      </x:c>
      <x:c r="D683" s="3" t="s">
        <x:v>189</x:v>
      </x:c>
      <x:c r="E683" s="3" t="s">
        <x:v>249</x:v>
      </x:c>
      <x:c r="F683" s="3" t="s">
        <x:v>127</x:v>
      </x:c>
      <x:c r="G683" s="3" t="s">
        <x:v>377</x:v>
      </x:c>
      <x:c r="H683" s="3" t="s">
        <x:v>343</x:v>
      </x:c>
      <x:c r="I683" s="3" t="s">
        <x:v>102</x:v>
      </x:c>
      <x:c r="J683" s="3" t="s">
        <x:v>103</x:v>
      </x:c>
      <x:c r="K683" s="3" t="s">
        <x:v>104</x:v>
      </x:c>
      <x:c r="L683" s="3" t="s">
        <x:v>191</x:v>
      </x:c>
      <x:c r="M683" s="3" t="s">
        <x:v>192</x:v>
      </x:c>
      <x:c r="N683" s="3" t="s">
        <x:v>193</x:v>
      </x:c>
      <x:c r="O683" s="3" t="s">
        <x:v>194</x:v>
      </x:c>
      <x:c r="P683" s="3" t="s">
        <x:v>195</x:v>
      </x:c>
      <x:c r="Q683" s="3" t="s">
        <x:v>273</x:v>
      </x:c>
      <x:c r="R683" s="3" t="s">
        <x:v>330</x:v>
      </x:c>
      <x:c r="S683" s="3" t="s">
        <x:v>135</x:v>
      </x:c>
      <x:c r="T683" s="3" t="s">
        <x:v>111</x:v>
      </x:c>
      <x:c r="U683" s="3" t="s">
        <x:v>331</x:v>
      </x:c>
      <x:c r="V683" s="3" t="s">
        <x:v>178</x:v>
      </x:c>
      <x:c r="W683" s="3" t="s">
        <x:v>355</x:v>
      </x:c>
      <x:c r="X683" s="3" t="s">
        <x:v>180</x:v>
      </x:c>
      <x:c r="Y683" s="3" t="s">
        <x:v>356</x:v>
      </x:c>
      <x:c r="Z683" s="3" t="s">
        <x:v>334</x:v>
      </x:c>
      <x:c r="AA683" s="3" t="s">
        <x:v>118</x:v>
      </x:c>
      <x:c r="AB683" s="7" t="n">
        <x:v>46297.5694444444</x:v>
      </x:c>
      <x:c r="AC683" s="7" t="n">
        <x:v>46297.5729166667</x:v>
      </x:c>
      <x:c r="AD683" s="7" t="n">
        <x:v>46297.5756944444</x:v>
      </x:c>
      <x:c r="AE683" s="7" t="n">
        <x:v>46297.5847222222</x:v>
      </x:c>
      <x:c r="AF683" s="7" t="n">
        <x:v>46297.6097222222</x:v>
      </x:c>
      <x:c r="AG683" s="3" t="n">
        <x:v>22</x:v>
      </x:c>
      <x:c r="AH683" s="3" t="n">
        <x:v>30</x:v>
      </x:c>
      <x:c r="AI683" s="3" t="s">
        <x:v>135</x:v>
      </x:c>
      <x:c r="AJ683" s="3" t="s">
        <x:v>111</x:v>
      </x:c>
      <x:c r="AK683" s="3" t="n">
        <x:v>150</x:v>
      </x:c>
      <x:c r="AL683" s="3" t="n">
        <x:v>0</x:v>
      </x:c>
      <x:c r="AM683" s="8" t="n">
        <x:v>0.3467</x:v>
      </x:c>
      <x:c r="AN683" s="3" t="n">
        <x:v>0</x:v>
      </x:c>
      <x:c r="AO683" s="3" t="s">
        <x:v>9</x:v>
      </x:c>
      <x:c r="AP683" s="3" t="s">
        <x:v>335</x:v>
      </x:c>
      <x:c r="AQ683" s="3" t="s">
        <x:v>677</x:v>
      </x:c>
      <x:c r="AR683" s="9" t="n">
        <x:v>955</x:v>
      </x:c>
      <x:c r="AS683" s="3" t="s">
        <x:v>121</x:v>
      </x:c>
      <x:c r="AT683" s="7" t="n">
        <x:v>46301.9166666667</x:v>
      </x:c>
    </x:row>
    <x:row r="684" ht="31.299999237060547" hidden="0">
      <x:c r="A684" s="3" t="s">
        <x:v>1244</x:v>
      </x:c>
      <x:c r="B684" s="3" t="s">
        <x:v>205</x:v>
      </x:c>
      <x:c r="C684" s="3" t="s">
        <x:v>206</x:v>
      </x:c>
      <x:c r="D684" s="3" t="s">
        <x:v>207</x:v>
      </x:c>
      <x:c r="E684" s="3" t="s">
        <x:v>249</x:v>
      </x:c>
      <x:c r="F684" s="3" t="s">
        <x:v>149</x:v>
      </x:c>
      <x:c r="G684" s="3" t="s">
        <x:v>461</x:v>
      </x:c>
      <x:c r="H684" s="3" t="s">
        <x:v>101</x:v>
      </x:c>
      <x:c r="I684" s="3" t="s">
        <x:v>102</x:v>
      </x:c>
      <x:c r="J684" s="3" t="s">
        <x:v>103</x:v>
      </x:c>
      <x:c r="K684" s="3" t="s">
        <x:v>104</x:v>
      </x:c>
      <x:c r="L684" s="3" t="s">
        <x:v>209</x:v>
      </x:c>
      <x:c r="M684" s="3" t="s">
        <x:v>210</x:v>
      </x:c>
      <x:c r="N684" s="3" t="s">
        <x:v>211</x:v>
      </x:c>
      <x:c r="O684" s="3" t="s">
        <x:v>212</x:v>
      </x:c>
      <x:c r="P684" s="3" t="s">
        <x:v>213</x:v>
      </x:c>
      <x:c r="Q684" s="3" t="s">
        <x:v>254</x:v>
      </x:c>
      <x:c r="R684" s="3" t="s">
        <x:v>156</x:v>
      </x:c>
      <x:c r="S684" s="3" t="s">
        <x:v>135</x:v>
      </x:c>
      <x:c r="T684" s="3" t="s">
        <x:v>111</x:v>
      </x:c>
      <x:c r="U684" s="3" t="s">
        <x:v>157</x:v>
      </x:c>
      <x:c r="V684" s="3" t="s">
        <x:v>158</x:v>
      </x:c>
      <x:c r="W684" s="3" t="s">
        <x:v>159</x:v>
      </x:c>
      <x:c r="X684" s="3" t="s">
        <x:v>160</x:v>
      </x:c>
      <x:c r="Y684" s="3" t="s">
        <x:v>360</x:v>
      </x:c>
      <x:c r="Z684" s="3" t="s">
        <x:v>162</x:v>
      </x:c>
      <x:c r="AA684" s="3" t="s">
        <x:v>118</x:v>
      </x:c>
      <x:c r="AB684" s="7" t="n">
        <x:v>46297.6541666667</x:v>
      </x:c>
      <x:c r="AC684" s="7" t="n">
        <x:v>46297.6583333333</x:v>
      </x:c>
      <x:c r="AD684" s="7" t="n">
        <x:v>46297.6625</x:v>
      </x:c>
      <x:c r="AE684" s="7" t="n">
        <x:v>46297.6840277778</x:v>
      </x:c>
      <x:c r="AF684" s="7" t="n">
        <x:v>46297.7111111111</x:v>
      </x:c>
      <x:c r="AG684" s="3" t="n">
        <x:v>43</x:v>
      </x:c>
      <x:c r="AH684" s="3" t="n">
        <x:v>31</x:v>
      </x:c>
      <x:c r="AI684" s="3" t="s">
        <x:v>135</x:v>
      </x:c>
      <x:c r="AJ684" s="3" t="s">
        <x:v>135</x:v>
      </x:c>
      <x:c r="AK684" s="3" t="n">
        <x:v>180</x:v>
      </x:c>
      <x:c r="AL684" s="3" t="n">
        <x:v>0</x:v>
      </x:c>
      <x:c r="AM684" s="8" t="n">
        <x:v>0.4111</x:v>
      </x:c>
      <x:c r="AN684" s="3" t="n">
        <x:v>0</x:v>
      </x:c>
      <x:c r="AO684" s="3" t="s">
        <x:v>9</x:v>
      </x:c>
      <x:c r="AP684" s="3" t="s">
        <x:v>142</x:v>
      </x:c>
      <x:c r="AQ684" s="3" t="s">
        <x:v>220</x:v>
      </x:c>
      <x:c r="AR684" s="9" t="n">
        <x:v>676.7</x:v>
      </x:c>
      <x:c r="AS684" s="3" t="s">
        <x:v>144</x:v>
      </x:c>
      <x:c r="AT684" s="7" t="n">
        <x:v>46301.9166666667</x:v>
      </x:c>
    </x:row>
    <x:row r="685" ht="31.299999237060547" hidden="0">
      <x:c r="A685" s="3" t="s">
        <x:v>1245</x:v>
      </x:c>
      <x:c r="B685" s="3" t="s">
        <x:v>83</x:v>
      </x:c>
      <x:c r="C685" s="3" t="s">
        <x:v>96</x:v>
      </x:c>
      <x:c r="D685" s="3" t="s">
        <x:v>97</x:v>
      </x:c>
      <x:c r="E685" s="3" t="s">
        <x:v>249</x:v>
      </x:c>
      <x:c r="F685" s="3" t="s">
        <x:v>149</x:v>
      </x:c>
      <x:c r="G685" s="3" t="s">
        <x:v>354</x:v>
      </x:c>
      <x:c r="H685" s="3" t="s">
        <x:v>101</x:v>
      </x:c>
      <x:c r="I685" s="3" t="s">
        <x:v>102</x:v>
      </x:c>
      <x:c r="J685" s="3" t="s">
        <x:v>103</x:v>
      </x:c>
      <x:c r="K685" s="3" t="s">
        <x:v>104</x:v>
      </x:c>
      <x:c r="L685" s="3" t="s">
        <x:v>105</x:v>
      </x:c>
      <x:c r="M685" s="3" t="s">
        <x:v>106</x:v>
      </x:c>
      <x:c r="N685" s="3" t="s">
        <x:v>107</x:v>
      </x:c>
      <x:c r="O685" s="3" t="s">
        <x:v>108</x:v>
      </x:c>
      <x:c r="P685" s="3" t="s">
        <x:v>109</x:v>
      </x:c>
      <x:c r="Q685" s="3" t="s">
        <x:v>250</x:v>
      </x:c>
      <x:c r="R685" s="3" t="s">
        <x:v>176</x:v>
      </x:c>
      <x:c r="S685" s="3" t="s">
        <x:v>135</x:v>
      </x:c>
      <x:c r="T685" s="3" t="s">
        <x:v>135</x:v>
      </x:c>
      <x:c r="U685" s="3" t="s">
        <x:v>177</x:v>
      </x:c>
      <x:c r="V685" s="3" t="s">
        <x:v>178</x:v>
      </x:c>
      <x:c r="W685" s="3" t="s">
        <x:v>355</x:v>
      </x:c>
      <x:c r="X685" s="3" t="s">
        <x:v>180</x:v>
      </x:c>
      <x:c r="Y685" s="3" t="s">
        <x:v>356</x:v>
      </x:c>
      <x:c r="Z685" s="3" t="s">
        <x:v>182</x:v>
      </x:c>
      <x:c r="AA685" s="3" t="s">
        <x:v>118</x:v>
      </x:c>
      <x:c r="AB685" s="7" t="n">
        <x:v>46297.7423611111</x:v>
      </x:c>
      <x:c r="AC685" s="7" t="n">
        <x:v>46297.7451388889</x:v>
      </x:c>
      <x:c r="AD685" s="7" t="n">
        <x:v>46297.7479166667</x:v>
      </x:c>
      <x:c r="AE685" s="7" t="n">
        <x:v>46297.7756944444</x:v>
      </x:c>
      <x:c r="AF685" s="7" t="n">
        <x:v>46297.8055555556</x:v>
      </x:c>
      <x:c r="AG685" s="3" t="n">
        <x:v>48</x:v>
      </x:c>
      <x:c r="AH685" s="3" t="n">
        <x:v>37</x:v>
      </x:c>
      <x:c r="AI685" s="3" t="s">
        <x:v>111</x:v>
      </x:c>
      <x:c r="AJ685" s="3" t="s">
        <x:v>111</x:v>
      </x:c>
      <x:c r="AK685" s="3" t="n">
        <x:v>60</x:v>
      </x:c>
      <x:c r="AL685" s="3" t="n">
        <x:v>0</x:v>
      </x:c>
      <x:c r="AM685" s="8" t="n">
        <x:v>1.4167</x:v>
      </x:c>
      <x:c r="AN685" s="3" t="n">
        <x:v>3</x:v>
      </x:c>
      <x:c r="AO685" s="3" t="s">
        <x:v>24</x:v>
      </x:c>
      <x:c r="AP685" s="3" t="s">
        <x:v>906</x:v>
      </x:c>
      <x:c r="AQ685" s="3" t="s">
        <x:v>1114</x:v>
      </x:c>
      <x:c r="AR685" s="9" t="n">
        <x:v>1312.4</x:v>
      </x:c>
      <x:c r="AS685" s="3" t="s">
        <x:v>185</x:v>
      </x:c>
      <x:c r="AT685" s="7" t="n">
        <x:v>46301.9166666667</x:v>
      </x:c>
    </x:row>
    <x:row r="686" ht="31.299999237060547" hidden="0">
      <x:c r="A686" s="3" t="s">
        <x:v>1246</x:v>
      </x:c>
      <x:c r="B686" s="3" t="s">
        <x:v>222</x:v>
      </x:c>
      <x:c r="C686" s="3" t="s">
        <x:v>223</x:v>
      </x:c>
      <x:c r="D686" s="3" t="s">
        <x:v>224</x:v>
      </x:c>
      <x:c r="E686" s="3" t="s">
        <x:v>249</x:v>
      </x:c>
      <x:c r="F686" s="3" t="s">
        <x:v>169</x:v>
      </x:c>
      <x:c r="G686" s="3" t="s">
        <x:v>449</x:v>
      </x:c>
      <x:c r="H686" s="3" t="s">
        <x:v>343</x:v>
      </x:c>
      <x:c r="I686" s="3" t="s">
        <x:v>102</x:v>
      </x:c>
      <x:c r="J686" s="3" t="s">
        <x:v>103</x:v>
      </x:c>
      <x:c r="K686" s="3" t="s">
        <x:v>104</x:v>
      </x:c>
      <x:c r="L686" s="3" t="s">
        <x:v>226</x:v>
      </x:c>
      <x:c r="M686" s="3" t="s">
        <x:v>227</x:v>
      </x:c>
      <x:c r="N686" s="3" t="s">
        <x:v>228</x:v>
      </x:c>
      <x:c r="O686" s="3" t="s">
        <x:v>229</x:v>
      </x:c>
      <x:c r="P686" s="3" t="s">
        <x:v>230</x:v>
      </x:c>
      <x:c r="Q686" s="3" t="s">
        <x:v>274</x:v>
      </x:c>
      <x:c r="R686" s="3" t="s">
        <x:v>156</x:v>
      </x:c>
      <x:c r="S686" s="3" t="s">
        <x:v>135</x:v>
      </x:c>
      <x:c r="T686" s="3" t="s">
        <x:v>111</x:v>
      </x:c>
      <x:c r="U686" s="3" t="s">
        <x:v>157</x:v>
      </x:c>
      <x:c r="V686" s="3" t="s">
        <x:v>158</x:v>
      </x:c>
      <x:c r="W686" s="3" t="s">
        <x:v>450</x:v>
      </x:c>
      <x:c r="X686" s="3" t="s">
        <x:v>160</x:v>
      </x:c>
      <x:c r="Y686" s="3" t="s">
        <x:v>451</x:v>
      </x:c>
      <x:c r="Z686" s="3" t="s">
        <x:v>162</x:v>
      </x:c>
      <x:c r="AA686" s="3" t="s">
        <x:v>118</x:v>
      </x:c>
      <x:c r="AB686" s="7" t="n">
        <x:v>46297.7430555556</x:v>
      </x:c>
      <x:c r="AC686" s="7" t="n">
        <x:v>46297.7479166667</x:v>
      </x:c>
      <x:c r="AD686" s="7" t="n">
        <x:v>46297.7534722222</x:v>
      </x:c>
      <x:c r="AE686" s="7" t="n">
        <x:v>46297.7673611111</x:v>
      </x:c>
      <x:c r="AF686" s="7" t="n">
        <x:v>46297.8027777778</x:v>
      </x:c>
      <x:c r="AG686" s="3" t="n">
        <x:v>35</x:v>
      </x:c>
      <x:c r="AH686" s="3" t="n">
        <x:v>45</x:v>
      </x:c>
      <x:c r="AI686" s="3" t="s">
        <x:v>135</x:v>
      </x:c>
      <x:c r="AJ686" s="3" t="s">
        <x:v>135</x:v>
      </x:c>
      <x:c r="AK686" s="3" t="n">
        <x:v>180</x:v>
      </x:c>
      <x:c r="AL686" s="3" t="n">
        <x:v>0</x:v>
      </x:c>
      <x:c r="AM686" s="8" t="n">
        <x:v>0.4444</x:v>
      </x:c>
      <x:c r="AN686" s="3" t="n">
        <x:v>3</x:v>
      </x:c>
      <x:c r="AO686" s="3" t="s">
        <x:v>14</x:v>
      </x:c>
      <x:c r="AP686" s="3" t="s">
        <x:v>183</x:v>
      </x:c>
      <x:c r="AQ686" s="3" t="s">
        <x:v>1247</x:v>
      </x:c>
      <x:c r="AR686" s="9" t="n">
        <x:v>991.5</x:v>
      </x:c>
      <x:c r="AS686" s="3" t="s">
        <x:v>185</x:v>
      </x:c>
      <x:c r="AT686" s="7" t="n">
        <x:v>46301.9166666667</x:v>
      </x:c>
    </x:row>
    <x:row r="687" ht="31.299999237060547" hidden="0">
      <x:c r="A687" s="3" t="s">
        <x:v>1248</x:v>
      </x:c>
      <x:c r="B687" s="3" t="s">
        <x:v>123</x:v>
      </x:c>
      <x:c r="C687" s="3" t="s">
        <x:v>124</x:v>
      </x:c>
      <x:c r="D687" s="3" t="s">
        <x:v>125</x:v>
      </x:c>
      <x:c r="E687" s="3" t="s">
        <x:v>249</x:v>
      </x:c>
      <x:c r="F687" s="3" t="s">
        <x:v>99</x:v>
      </x:c>
      <x:c r="G687" s="3" t="s">
        <x:v>418</x:v>
      </x:c>
      <x:c r="H687" s="3" t="s">
        <x:v>343</x:v>
      </x:c>
      <x:c r="I687" s="3" t="s">
        <x:v>102</x:v>
      </x:c>
      <x:c r="J687" s="3" t="s">
        <x:v>103</x:v>
      </x:c>
      <x:c r="K687" s="3" t="s">
        <x:v>104</x:v>
      </x:c>
      <x:c r="L687" s="3" t="s">
        <x:v>129</x:v>
      </x:c>
      <x:c r="M687" s="3" t="s">
        <x:v>130</x:v>
      </x:c>
      <x:c r="N687" s="3" t="s">
        <x:v>131</x:v>
      </x:c>
      <x:c r="O687" s="3" t="s">
        <x:v>132</x:v>
      </x:c>
      <x:c r="P687" s="3" t="s">
        <x:v>133</x:v>
      </x:c>
      <x:c r="Q687" s="3" t="s">
        <x:v>268</x:v>
      </x:c>
      <x:c r="R687" s="3" t="s">
        <x:v>110</x:v>
      </x:c>
      <x:c r="S687" s="3" t="s">
        <x:v>111</x:v>
      </x:c>
      <x:c r="T687" s="3" t="s">
        <x:v>111</x:v>
      </x:c>
      <x:c r="U687" s="3" t="s">
        <x:v>112</x:v>
      </x:c>
      <x:c r="V687" s="3" t="s">
        <x:v>113</x:v>
      </x:c>
      <x:c r="W687" s="3" t="s">
        <x:v>114</x:v>
      </x:c>
      <x:c r="X687" s="3" t="s">
        <x:v>115</x:v>
      </x:c>
      <x:c r="Y687" s="3" t="s">
        <x:v>116</x:v>
      </x:c>
      <x:c r="Z687" s="3" t="s">
        <x:v>117</x:v>
      </x:c>
      <x:c r="AA687" s="3" t="s">
        <x:v>118</x:v>
      </x:c>
      <x:c r="AB687" s="7" t="n">
        <x:v>46297.8680555556</x:v>
      </x:c>
      <x:c r="AC687" s="7" t="n">
        <x:v>46297.8708333333</x:v>
      </x:c>
      <x:c r="AD687" s="7" t="n">
        <x:v>46297.8763888889</x:v>
      </x:c>
      <x:c r="AE687" s="7" t="n">
        <x:v>46297.8847222222</x:v>
      </x:c>
      <x:c r="AF687" s="7" t="n">
        <x:v>46297.9354166667</x:v>
      </x:c>
      <x:c r="AG687" s="3" t="n">
        <x:v>24</x:v>
      </x:c>
      <x:c r="AH687" s="3" t="n">
        <x:v>65</x:v>
      </x:c>
      <x:c r="AI687" s="3" t="s">
        <x:v>135</x:v>
      </x:c>
      <x:c r="AJ687" s="3" t="s">
        <x:v>135</x:v>
      </x:c>
      <x:c r="AK687" s="3" t="n">
        <x:v>120</x:v>
      </x:c>
      <x:c r="AL687" s="3" t="n">
        <x:v>0</x:v>
      </x:c>
      <x:c r="AM687" s="8" t="n">
        <x:v>0.7417</x:v>
      </x:c>
      <x:c r="AN687" s="3" t="n">
        <x:v>0</x:v>
      </x:c>
      <x:c r="AO687" s="3" t="s">
        <x:v>14</x:v>
      </x:c>
      <x:c r="AP687" s="3" t="s">
        <x:v>347</x:v>
      </x:c>
      <x:c r="AQ687" s="3" t="s">
        <x:v>482</x:v>
      </x:c>
      <x:c r="AR687" s="9" t="n">
        <x:v>836</x:v>
      </x:c>
      <x:c r="AS687" s="3" t="s">
        <x:v>185</x:v>
      </x:c>
      <x:c r="AT687" s="7" t="n">
        <x:v>46301.9166666667</x:v>
      </x:c>
    </x:row>
    <x:row r="688" ht="31.299999237060547" hidden="0">
      <x:c r="A688" s="3" t="s">
        <x:v>1249</x:v>
      </x:c>
      <x:c r="B688" s="3" t="s">
        <x:v>166</x:v>
      </x:c>
      <x:c r="C688" s="3" t="s">
        <x:v>167</x:v>
      </x:c>
      <x:c r="D688" s="3" t="s">
        <x:v>168</x:v>
      </x:c>
      <x:c r="E688" s="3" t="s">
        <x:v>249</x:v>
      </x:c>
      <x:c r="F688" s="3" t="s">
        <x:v>127</x:v>
      </x:c>
      <x:c r="G688" s="3" t="s">
        <x:v>390</x:v>
      </x:c>
      <x:c r="H688" s="3" t="s">
        <x:v>301</x:v>
      </x:c>
      <x:c r="I688" s="3" t="s">
        <x:v>302</x:v>
      </x:c>
      <x:c r="J688" s="3" t="s">
        <x:v>303</x:v>
      </x:c>
      <x:c r="K688" s="3" t="s">
        <x:v>104</x:v>
      </x:c>
      <x:c r="L688" s="3" t="s">
        <x:v>171</x:v>
      </x:c>
      <x:c r="M688" s="3" t="s">
        <x:v>172</x:v>
      </x:c>
      <x:c r="N688" s="3" t="s">
        <x:v>173</x:v>
      </x:c>
      <x:c r="O688" s="3" t="s">
        <x:v>174</x:v>
      </x:c>
      <x:c r="P688" s="3" t="s">
        <x:v>175</x:v>
      </x:c>
      <x:c r="Q688" s="3" t="s">
        <x:v>271</x:v>
      </x:c>
      <x:c r="R688" s="3" t="s">
        <x:v>391</x:v>
      </x:c>
      <x:c r="S688" s="3" t="s">
        <x:v>135</x:v>
      </x:c>
      <x:c r="T688" s="3" t="s">
        <x:v>135</x:v>
      </x:c>
      <x:c r="U688" s="3" t="s">
        <x:v>392</x:v>
      </x:c>
      <x:c r="V688" s="3" t="s">
        <x:v>312</x:v>
      </x:c>
      <x:c r="W688" s="3" t="s">
        <x:v>351</x:v>
      </x:c>
      <x:c r="X688" s="3" t="s">
        <x:v>314</x:v>
      </x:c>
      <x:c r="Y688" s="3" t="s">
        <x:v>352</x:v>
      </x:c>
      <x:c r="Z688" s="3" t="s">
        <x:v>393</x:v>
      </x:c>
      <x:c r="AA688" s="3" t="s">
        <x:v>394</x:v>
      </x:c>
      <x:c r="AB688" s="7" t="n">
        <x:v>46298.4270833333</x:v>
      </x:c>
      <x:c r="AC688" s="7" t="n">
        <x:v>46298.4298611111</x:v>
      </x:c>
      <x:c r="AD688" s="7" t="n">
        <x:v>46298.4319444444</x:v>
      </x:c>
      <x:c r="AE688" s="7" t="n">
        <x:v>46298.4472222222</x:v>
      </x:c>
      <x:c r="AF688" s="7" t="n">
        <x:v>46298.5090277778</x:v>
      </x:c>
      <x:c r="AG688" s="3" t="n">
        <x:v>29</x:v>
      </x:c>
      <x:c r="AH688" s="3" t="n">
        <x:v>84</x:v>
      </x:c>
      <x:c r="AI688" s="3" t="s">
        <x:v>135</x:v>
      </x:c>
      <x:c r="AJ688" s="3" t="s">
        <x:v>135</x:v>
      </x:c>
      <x:c r="AK688" s="3" t="n">
        <x:v>180</x:v>
      </x:c>
      <x:c r="AL688" s="3" t="n">
        <x:v>0</x:v>
      </x:c>
      <x:c r="AM688" s="8" t="n">
        <x:v>0.6278</x:v>
      </x:c>
      <x:c r="AN688" s="3" t="n">
        <x:v>3</x:v>
      </x:c>
      <x:c r="AO688" s="3" t="s">
        <x:v>14</x:v>
      </x:c>
      <x:c r="AP688" s="3" t="s">
        <x:v>633</x:v>
      </x:c>
      <x:c r="AQ688" s="3" t="s">
        <x:v>802</x:v>
      </x:c>
      <x:c r="AR688" s="9" t="n">
        <x:v>1625.3</x:v>
      </x:c>
      <x:c r="AS688" s="3" t="s">
        <x:v>185</x:v>
      </x:c>
      <x:c r="AT688" s="7" t="n">
        <x:v>46301.9166666667</x:v>
      </x:c>
    </x:row>
    <x:row r="689" ht="31.299999237060547" hidden="0">
      <x:c r="A689" s="3" t="s">
        <x:v>1250</x:v>
      </x:c>
      <x:c r="B689" s="3" t="s">
        <x:v>233</x:v>
      </x:c>
      <x:c r="C689" s="3" t="s">
        <x:v>234</x:v>
      </x:c>
      <x:c r="D689" s="3" t="s">
        <x:v>235</x:v>
      </x:c>
      <x:c r="E689" s="3" t="s">
        <x:v>249</x:v>
      </x:c>
      <x:c r="F689" s="3" t="s">
        <x:v>149</x:v>
      </x:c>
      <x:c r="G689" s="3" t="s">
        <x:v>522</x:v>
      </x:c>
      <x:c r="H689" s="3" t="s">
        <x:v>343</x:v>
      </x:c>
      <x:c r="I689" s="3" t="s">
        <x:v>102</x:v>
      </x:c>
      <x:c r="J689" s="3" t="s">
        <x:v>103</x:v>
      </x:c>
      <x:c r="K689" s="3" t="s">
        <x:v>104</x:v>
      </x:c>
      <x:c r="L689" s="3" t="s">
        <x:v>237</x:v>
      </x:c>
      <x:c r="M689" s="3" t="s">
        <x:v>172</x:v>
      </x:c>
      <x:c r="N689" s="3" t="s">
        <x:v>238</x:v>
      </x:c>
      <x:c r="O689" s="3" t="s">
        <x:v>239</x:v>
      </x:c>
      <x:c r="P689" s="3" t="s">
        <x:v>240</x:v>
      </x:c>
      <x:c r="Q689" s="3" t="s">
        <x:v>276</x:v>
      </x:c>
      <x:c r="R689" s="3" t="s">
        <x:v>380</x:v>
      </x:c>
      <x:c r="S689" s="3" t="s">
        <x:v>111</x:v>
      </x:c>
      <x:c r="T689" s="3" t="s">
        <x:v>111</x:v>
      </x:c>
      <x:c r="U689" s="3" t="s">
        <x:v>381</x:v>
      </x:c>
      <x:c r="V689" s="3" t="s">
        <x:v>312</x:v>
      </x:c>
      <x:c r="W689" s="3" t="s">
        <x:v>382</x:v>
      </x:c>
      <x:c r="X689" s="3" t="s">
        <x:v>314</x:v>
      </x:c>
      <x:c r="Y689" s="3" t="s">
        <x:v>383</x:v>
      </x:c>
      <x:c r="Z689" s="3" t="s">
        <x:v>384</x:v>
      </x:c>
      <x:c r="AA689" s="3" t="s">
        <x:v>385</x:v>
      </x:c>
      <x:c r="AB689" s="7" t="n">
        <x:v>46298.4875</x:v>
      </x:c>
      <x:c r="AC689" s="7" t="n">
        <x:v>46298.4902777778</x:v>
      </x:c>
      <x:c r="AD689" s="7" t="n">
        <x:v>46298.4944444444</x:v>
      </x:c>
      <x:c r="AE689" s="7" t="n">
        <x:v>46298.5173611111</x:v>
      </x:c>
      <x:c r="AF689" s="7" t="n">
        <x:v>46298.55625</x:v>
      </x:c>
      <x:c r="AG689" s="3" t="n">
        <x:v>43</x:v>
      </x:c>
      <x:c r="AH689" s="3" t="n">
        <x:v>50</x:v>
      </x:c>
      <x:c r="AI689" s="3" t="s">
        <x:v>135</x:v>
      </x:c>
      <x:c r="AJ689" s="3" t="s">
        <x:v>111</x:v>
      </x:c>
      <x:c r="AK689" s="3" t="n">
        <x:v>120</x:v>
      </x:c>
      <x:c r="AL689" s="3" t="n">
        <x:v>0</x:v>
      </x:c>
      <x:c r="AM689" s="8" t="n">
        <x:v>0.775</x:v>
      </x:c>
      <x:c r="AN689" s="3" t="n">
        <x:v>3</x:v>
      </x:c>
      <x:c r="AO689" s="3" t="s">
        <x:v>14</x:v>
      </x:c>
      <x:c r="AP689" s="3" t="s">
        <x:v>955</x:v>
      </x:c>
      <x:c r="AQ689" s="3" t="s">
        <x:v>1251</x:v>
      </x:c>
      <x:c r="AR689" s="9" t="n">
        <x:v>1063.5</x:v>
      </x:c>
      <x:c r="AS689" s="3" t="s">
        <x:v>185</x:v>
      </x:c>
      <x:c r="AT689" s="7" t="n">
        <x:v>46301.9166666667</x:v>
      </x:c>
    </x:row>
    <x:row r="690" ht="31.299999237060547" hidden="0">
      <x:c r="A690" s="3" t="s">
        <x:v>1252</x:v>
      </x:c>
      <x:c r="B690" s="3" t="s">
        <x:v>123</x:v>
      </x:c>
      <x:c r="C690" s="3" t="s">
        <x:v>124</x:v>
      </x:c>
      <x:c r="D690" s="3" t="s">
        <x:v>125</x:v>
      </x:c>
      <x:c r="E690" s="3" t="s">
        <x:v>249</x:v>
      </x:c>
      <x:c r="F690" s="3" t="s">
        <x:v>99</x:v>
      </x:c>
      <x:c r="G690" s="3" t="s">
        <x:v>418</x:v>
      </x:c>
      <x:c r="H690" s="3" t="s">
        <x:v>343</x:v>
      </x:c>
      <x:c r="I690" s="3" t="s">
        <x:v>102</x:v>
      </x:c>
      <x:c r="J690" s="3" t="s">
        <x:v>103</x:v>
      </x:c>
      <x:c r="K690" s="3" t="s">
        <x:v>104</x:v>
      </x:c>
      <x:c r="L690" s="3" t="s">
        <x:v>129</x:v>
      </x:c>
      <x:c r="M690" s="3" t="s">
        <x:v>130</x:v>
      </x:c>
      <x:c r="N690" s="3" t="s">
        <x:v>131</x:v>
      </x:c>
      <x:c r="O690" s="3" t="s">
        <x:v>132</x:v>
      </x:c>
      <x:c r="P690" s="3" t="s">
        <x:v>133</x:v>
      </x:c>
      <x:c r="Q690" s="3" t="s">
        <x:v>268</x:v>
      </x:c>
      <x:c r="R690" s="3" t="s">
        <x:v>110</x:v>
      </x:c>
      <x:c r="S690" s="3" t="s">
        <x:v>111</x:v>
      </x:c>
      <x:c r="T690" s="3" t="s">
        <x:v>111</x:v>
      </x:c>
      <x:c r="U690" s="3" t="s">
        <x:v>112</x:v>
      </x:c>
      <x:c r="V690" s="3" t="s">
        <x:v>113</x:v>
      </x:c>
      <x:c r="W690" s="3" t="s">
        <x:v>114</x:v>
      </x:c>
      <x:c r="X690" s="3" t="s">
        <x:v>115</x:v>
      </x:c>
      <x:c r="Y690" s="3" t="s">
        <x:v>116</x:v>
      </x:c>
      <x:c r="Z690" s="3" t="s">
        <x:v>117</x:v>
      </x:c>
      <x:c r="AA690" s="3" t="s">
        <x:v>118</x:v>
      </x:c>
      <x:c r="AB690" s="7" t="n">
        <x:v>46298.5888888889</x:v>
      </x:c>
      <x:c r="AC690" s="7" t="n">
        <x:v>46298.5909722222</x:v>
      </x:c>
      <x:c r="AD690" s="7" t="n">
        <x:v>46298.59375</x:v>
      </x:c>
      <x:c r="AE690" s="7" t="n">
        <x:v>46298.6131944444</x:v>
      </x:c>
      <x:c r="AF690" s="7" t="n">
        <x:v>46298.6479166667</x:v>
      </x:c>
      <x:c r="AG690" s="3" t="n">
        <x:v>35</x:v>
      </x:c>
      <x:c r="AH690" s="3" t="n">
        <x:v>47</x:v>
      </x:c>
      <x:c r="AI690" s="3" t="s">
        <x:v>135</x:v>
      </x:c>
      <x:c r="AJ690" s="3" t="s">
        <x:v>135</x:v>
      </x:c>
      <x:c r="AK690" s="3" t="n">
        <x:v>120</x:v>
      </x:c>
      <x:c r="AL690" s="3" t="n">
        <x:v>0</x:v>
      </x:c>
      <x:c r="AM690" s="8" t="n">
        <x:v>0.6833</x:v>
      </x:c>
      <x:c r="AN690" s="3" t="n">
        <x:v>1</x:v>
      </x:c>
      <x:c r="AO690" s="3" t="s">
        <x:v>14</x:v>
      </x:c>
      <x:c r="AP690" s="3" t="s">
        <x:v>471</x:v>
      </x:c>
      <x:c r="AQ690" s="3" t="s">
        <x:v>472</x:v>
      </x:c>
      <x:c r="AR690" s="9" t="n">
        <x:v>755.9</x:v>
      </x:c>
      <x:c r="AS690" s="3" t="s">
        <x:v>185</x:v>
      </x:c>
      <x:c r="AT690" s="7" t="n">
        <x:v>46301.9166666667</x:v>
      </x:c>
    </x:row>
    <x:row r="691" ht="31.299999237060547" hidden="0">
      <x:c r="A691" s="3" t="s">
        <x:v>1253</x:v>
      </x:c>
      <x:c r="B691" s="3" t="s">
        <x:v>297</x:v>
      </x:c>
      <x:c r="C691" s="3" t="s">
        <x:v>298</x:v>
      </x:c>
      <x:c r="D691" s="3" t="s">
        <x:v>299</x:v>
      </x:c>
      <x:c r="E691" s="3" t="s">
        <x:v>249</x:v>
      </x:c>
      <x:c r="F691" s="3" t="s">
        <x:v>99</x:v>
      </x:c>
      <x:c r="G691" s="3" t="s">
        <x:v>469</x:v>
      </x:c>
      <x:c r="H691" s="3" t="s">
        <x:v>301</x:v>
      </x:c>
      <x:c r="I691" s="3" t="s">
        <x:v>302</x:v>
      </x:c>
      <x:c r="J691" s="3" t="s">
        <x:v>303</x:v>
      </x:c>
      <x:c r="K691" s="3" t="s">
        <x:v>104</x:v>
      </x:c>
      <x:c r="L691" s="3" t="s">
        <x:v>304</x:v>
      </x:c>
      <x:c r="M691" s="3" t="s">
        <x:v>305</x:v>
      </x:c>
      <x:c r="N691" s="3" t="s">
        <x:v>306</x:v>
      </x:c>
      <x:c r="O691" s="3" t="s">
        <x:v>307</x:v>
      </x:c>
      <x:c r="P691" s="3" t="s">
        <x:v>308</x:v>
      </x:c>
      <x:c r="Q691" s="3" t="s">
        <x:v>309</x:v>
      </x:c>
      <x:c r="R691" s="3" t="s">
        <x:v>110</x:v>
      </x:c>
      <x:c r="S691" s="3" t="s">
        <x:v>111</x:v>
      </x:c>
      <x:c r="T691" s="3" t="s">
        <x:v>111</x:v>
      </x:c>
      <x:c r="U691" s="3" t="s">
        <x:v>112</x:v>
      </x:c>
      <x:c r="V691" s="3" t="s">
        <x:v>113</x:v>
      </x:c>
      <x:c r="W691" s="3" t="s">
        <x:v>114</x:v>
      </x:c>
      <x:c r="X691" s="3" t="s">
        <x:v>115</x:v>
      </x:c>
      <x:c r="Y691" s="3" t="s">
        <x:v>116</x:v>
      </x:c>
      <x:c r="Z691" s="3" t="s">
        <x:v>117</x:v>
      </x:c>
      <x:c r="AA691" s="3" t="s">
        <x:v>118</x:v>
      </x:c>
      <x:c r="AB691" s="7" t="n">
        <x:v>46298.6048611111</x:v>
      </x:c>
      <x:c r="AC691" s="7" t="n">
        <x:v>46298.6083333333</x:v>
      </x:c>
      <x:c r="AD691" s="7" t="n">
        <x:v>46298.6111111111</x:v>
      </x:c>
      <x:c r="AE691" s="7" t="n">
        <x:v>46298.6326388889</x:v>
      </x:c>
      <x:c r="AF691" s="7" t="n">
        <x:v>46298.6659722222</x:v>
      </x:c>
      <x:c r="AG691" s="3" t="n">
        <x:v>40</x:v>
      </x:c>
      <x:c r="AH691" s="3" t="n">
        <x:v>43</x:v>
      </x:c>
      <x:c r="AI691" s="3" t="s">
        <x:v>135</x:v>
      </x:c>
      <x:c r="AJ691" s="3" t="s">
        <x:v>111</x:v>
      </x:c>
      <x:c r="AK691" s="3" t="n">
        <x:v>120</x:v>
      </x:c>
      <x:c r="AL691" s="3" t="n">
        <x:v>0</x:v>
      </x:c>
      <x:c r="AM691" s="8" t="n">
        <x:v>0.6917</x:v>
      </x:c>
      <x:c r="AN691" s="3" t="n">
        <x:v>3</x:v>
      </x:c>
      <x:c r="AO691" s="3" t="s">
        <x:v>14</x:v>
      </x:c>
      <x:c r="AP691" s="3" t="s">
        <x:v>955</x:v>
      </x:c>
      <x:c r="AQ691" s="3" t="s">
        <x:v>1254</x:v>
      </x:c>
      <x:c r="AR691" s="9" t="n">
        <x:v>1379.6</x:v>
      </x:c>
      <x:c r="AS691" s="3" t="s">
        <x:v>185</x:v>
      </x:c>
      <x:c r="AT691" s="7" t="n">
        <x:v>46301.9166666667</x:v>
      </x:c>
    </x:row>
    <x:row r="692" ht="31.299999237060547" hidden="0">
      <x:c r="A692" s="3" t="s">
        <x:v>1255</x:v>
      </x:c>
      <x:c r="B692" s="3" t="s">
        <x:v>146</x:v>
      </x:c>
      <x:c r="C692" s="3" t="s">
        <x:v>147</x:v>
      </x:c>
      <x:c r="D692" s="3" t="s">
        <x:v>148</x:v>
      </x:c>
      <x:c r="E692" s="3" t="s">
        <x:v>249</x:v>
      </x:c>
      <x:c r="F692" s="3" t="s">
        <x:v>169</x:v>
      </x:c>
      <x:c r="G692" s="3" t="s">
        <x:v>522</x:v>
      </x:c>
      <x:c r="H692" s="3" t="s">
        <x:v>343</x:v>
      </x:c>
      <x:c r="I692" s="3" t="s">
        <x:v>102</x:v>
      </x:c>
      <x:c r="J692" s="3" t="s">
        <x:v>103</x:v>
      </x:c>
      <x:c r="K692" s="3" t="s">
        <x:v>104</x:v>
      </x:c>
      <x:c r="L692" s="3" t="s">
        <x:v>151</x:v>
      </x:c>
      <x:c r="M692" s="3" t="s">
        <x:v>152</x:v>
      </x:c>
      <x:c r="N692" s="3" t="s">
        <x:v>153</x:v>
      </x:c>
      <x:c r="O692" s="3" t="s">
        <x:v>154</x:v>
      </x:c>
      <x:c r="P692" s="3" t="s">
        <x:v>155</x:v>
      </x:c>
      <x:c r="Q692" s="3" t="s">
        <x:v>270</x:v>
      </x:c>
      <x:c r="R692" s="3" t="s">
        <x:v>380</x:v>
      </x:c>
      <x:c r="S692" s="3" t="s">
        <x:v>111</x:v>
      </x:c>
      <x:c r="T692" s="3" t="s">
        <x:v>111</x:v>
      </x:c>
      <x:c r="U692" s="3" t="s">
        <x:v>381</x:v>
      </x:c>
      <x:c r="V692" s="3" t="s">
        <x:v>312</x:v>
      </x:c>
      <x:c r="W692" s="3" t="s">
        <x:v>351</x:v>
      </x:c>
      <x:c r="X692" s="3" t="s">
        <x:v>314</x:v>
      </x:c>
      <x:c r="Y692" s="3" t="s">
        <x:v>352</x:v>
      </x:c>
      <x:c r="Z692" s="3" t="s">
        <x:v>384</x:v>
      </x:c>
      <x:c r="AA692" s="3" t="s">
        <x:v>385</x:v>
      </x:c>
      <x:c r="AB692" s="7" t="n">
        <x:v>46298.6138888889</x:v>
      </x:c>
      <x:c r="AC692" s="7" t="n">
        <x:v>46298.6180555556</x:v>
      </x:c>
      <x:c r="AD692" s="7" t="n">
        <x:v>46298.6236111111</x:v>
      </x:c>
      <x:c r="AE692" s="7" t="n">
        <x:v>46298.6375</x:v>
      </x:c>
      <x:c r="AF692" s="7" t="n">
        <x:v>46298.6569444445</x:v>
      </x:c>
      <x:c r="AG692" s="3" t="n">
        <x:v>34</x:v>
      </x:c>
      <x:c r="AH692" s="3" t="n">
        <x:v>22</x:v>
      </x:c>
      <x:c r="AI692" s="3" t="s">
        <x:v>135</x:v>
      </x:c>
      <x:c r="AJ692" s="3" t="s">
        <x:v>135</x:v>
      </x:c>
      <x:c r="AK692" s="3" t="n">
        <x:v>120</x:v>
      </x:c>
      <x:c r="AL692" s="3" t="n">
        <x:v>0</x:v>
      </x:c>
      <x:c r="AM692" s="8" t="n">
        <x:v>0.4667</x:v>
      </x:c>
      <x:c r="AN692" s="3" t="n">
        <x:v>0</x:v>
      </x:c>
      <x:c r="AO692" s="3" t="s">
        <x:v>9</x:v>
      </x:c>
      <x:c r="AP692" s="3" t="s">
        <x:v>142</x:v>
      </x:c>
      <x:c r="AQ692" s="3" t="s">
        <x:v>411</x:v>
      </x:c>
      <x:c r="AR692" s="9" t="n">
        <x:v>571.4</x:v>
      </x:c>
      <x:c r="AS692" s="3" t="s">
        <x:v>121</x:v>
      </x:c>
      <x:c r="AT692" s="7" t="n">
        <x:v>46301.9166666667</x:v>
      </x:c>
    </x:row>
    <x:row r="693" ht="31.299999237060547" hidden="0">
      <x:c r="A693" s="3" t="s">
        <x:v>1256</x:v>
      </x:c>
      <x:c r="B693" s="3" t="s">
        <x:v>83</x:v>
      </x:c>
      <x:c r="C693" s="3" t="s">
        <x:v>96</x:v>
      </x:c>
      <x:c r="D693" s="3" t="s">
        <x:v>97</x:v>
      </x:c>
      <x:c r="E693" s="3" t="s">
        <x:v>249</x:v>
      </x:c>
      <x:c r="F693" s="3" t="s">
        <x:v>169</x:v>
      </x:c>
      <x:c r="G693" s="3" t="s">
        <x:v>447</x:v>
      </x:c>
      <x:c r="H693" s="3" t="s">
        <x:v>343</x:v>
      </x:c>
      <x:c r="I693" s="3" t="s">
        <x:v>102</x:v>
      </x:c>
      <x:c r="J693" s="3" t="s">
        <x:v>103</x:v>
      </x:c>
      <x:c r="K693" s="3" t="s">
        <x:v>104</x:v>
      </x:c>
      <x:c r="L693" s="3" t="s">
        <x:v>105</x:v>
      </x:c>
      <x:c r="M693" s="3" t="s">
        <x:v>106</x:v>
      </x:c>
      <x:c r="N693" s="3" t="s">
        <x:v>107</x:v>
      </x:c>
      <x:c r="O693" s="3" t="s">
        <x:v>108</x:v>
      </x:c>
      <x:c r="P693" s="3" t="s">
        <x:v>109</x:v>
      </x:c>
      <x:c r="Q693" s="3" t="s">
        <x:v>250</x:v>
      </x:c>
      <x:c r="R693" s="3" t="s">
        <x:v>344</x:v>
      </x:c>
      <x:c r="S693" s="3" t="s">
        <x:v>111</x:v>
      </x:c>
      <x:c r="T693" s="3" t="s">
        <x:v>111</x:v>
      </x:c>
      <x:c r="U693" s="3" t="s">
        <x:v>345</x:v>
      </x:c>
      <x:c r="V693" s="3" t="s">
        <x:v>178</x:v>
      </x:c>
      <x:c r="W693" s="3" t="s">
        <x:v>179</x:v>
      </x:c>
      <x:c r="X693" s="3" t="s">
        <x:v>180</x:v>
      </x:c>
      <x:c r="Y693" s="3" t="s">
        <x:v>414</x:v>
      </x:c>
      <x:c r="Z693" s="3" t="s">
        <x:v>346</x:v>
      </x:c>
      <x:c r="AA693" s="3" t="s">
        <x:v>118</x:v>
      </x:c>
      <x:c r="AB693" s="7" t="n">
        <x:v>46298.66875</x:v>
      </x:c>
      <x:c r="AC693" s="7" t="n">
        <x:v>46298.6701388889</x:v>
      </x:c>
      <x:c r="AD693" s="7" t="n">
        <x:v>46298.6722222222</x:v>
      </x:c>
      <x:c r="AE693" s="7" t="n">
        <x:v>46298.6993055556</x:v>
      </x:c>
      <x:c r="AF693" s="7" t="n">
        <x:v>46298.7201388889</x:v>
      </x:c>
      <x:c r="AG693" s="3" t="n">
        <x:v>44</x:v>
      </x:c>
      <x:c r="AH693" s="3" t="n">
        <x:v>23</x:v>
      </x:c>
      <x:c r="AI693" s="3" t="s">
        <x:v>111</x:v>
      </x:c>
      <x:c r="AJ693" s="3" t="s">
        <x:v>111</x:v>
      </x:c>
      <x:c r="AK693" s="3" t="n">
        <x:v>60</x:v>
      </x:c>
      <x:c r="AL693" s="3" t="n">
        <x:v>0</x:v>
      </x:c>
      <x:c r="AM693" s="8" t="n">
        <x:v>1.1167</x:v>
      </x:c>
      <x:c r="AN693" s="3" t="n">
        <x:v>2</x:v>
      </x:c>
      <x:c r="AO693" s="3" t="s">
        <x:v>24</x:v>
      </x:c>
      <x:c r="AP693" s="3" t="s">
        <x:v>729</x:v>
      </x:c>
      <x:c r="AQ693" s="3" t="s">
        <x:v>562</x:v>
      </x:c>
      <x:c r="AR693" s="9" t="n">
        <x:v>943.6</x:v>
      </x:c>
      <x:c r="AS693" s="3" t="s">
        <x:v>185</x:v>
      </x:c>
      <x:c r="AT693" s="7" t="n">
        <x:v>46301.9166666667</x:v>
      </x:c>
    </x:row>
    <x:row r="694" ht="31.299999237060547" hidden="0">
      <x:c r="A694" s="3" t="s">
        <x:v>1257</x:v>
      </x:c>
      <x:c r="B694" s="3" t="s">
        <x:v>205</x:v>
      </x:c>
      <x:c r="C694" s="3" t="s">
        <x:v>206</x:v>
      </x:c>
      <x:c r="D694" s="3" t="s">
        <x:v>207</x:v>
      </x:c>
      <x:c r="E694" s="3" t="s">
        <x:v>249</x:v>
      </x:c>
      <x:c r="F694" s="3" t="s">
        <x:v>99</x:v>
      </x:c>
      <x:c r="G694" s="3" t="s">
        <x:v>449</x:v>
      </x:c>
      <x:c r="H694" s="3" t="s">
        <x:v>343</x:v>
      </x:c>
      <x:c r="I694" s="3" t="s">
        <x:v>102</x:v>
      </x:c>
      <x:c r="J694" s="3" t="s">
        <x:v>103</x:v>
      </x:c>
      <x:c r="K694" s="3" t="s">
        <x:v>104</x:v>
      </x:c>
      <x:c r="L694" s="3" t="s">
        <x:v>209</x:v>
      </x:c>
      <x:c r="M694" s="3" t="s">
        <x:v>210</x:v>
      </x:c>
      <x:c r="N694" s="3" t="s">
        <x:v>211</x:v>
      </x:c>
      <x:c r="O694" s="3" t="s">
        <x:v>212</x:v>
      </x:c>
      <x:c r="P694" s="3" t="s">
        <x:v>213</x:v>
      </x:c>
      <x:c r="Q694" s="3" t="s">
        <x:v>254</x:v>
      </x:c>
      <x:c r="R694" s="3" t="s">
        <x:v>156</x:v>
      </x:c>
      <x:c r="S694" s="3" t="s">
        <x:v>135</x:v>
      </x:c>
      <x:c r="T694" s="3" t="s">
        <x:v>111</x:v>
      </x:c>
      <x:c r="U694" s="3" t="s">
        <x:v>157</x:v>
      </x:c>
      <x:c r="V694" s="3" t="s">
        <x:v>158</x:v>
      </x:c>
      <x:c r="W694" s="3" t="s">
        <x:v>159</x:v>
      </x:c>
      <x:c r="X694" s="3" t="s">
        <x:v>160</x:v>
      </x:c>
      <x:c r="Y694" s="3" t="s">
        <x:v>360</x:v>
      </x:c>
      <x:c r="Z694" s="3" t="s">
        <x:v>162</x:v>
      </x:c>
      <x:c r="AA694" s="3" t="s">
        <x:v>118</x:v>
      </x:c>
      <x:c r="AB694" s="7" t="n">
        <x:v>46298.6847222222</x:v>
      </x:c>
      <x:c r="AC694" s="7" t="n">
        <x:v>46298.6895833333</x:v>
      </x:c>
      <x:c r="AD694" s="7" t="n">
        <x:v>46298.6916666667</x:v>
      </x:c>
      <x:c r="AE694" s="7" t="n">
        <x:v>46298.7055555556</x:v>
      </x:c>
      <x:c r="AF694" s="7" t="n">
        <x:v>46298.7319444444</x:v>
      </x:c>
      <x:c r="AG694" s="3" t="n">
        <x:v>30</x:v>
      </x:c>
      <x:c r="AH694" s="3" t="n">
        <x:v>28</x:v>
      </x:c>
      <x:c r="AI694" s="3" t="s">
        <x:v>135</x:v>
      </x:c>
      <x:c r="AJ694" s="3" t="s">
        <x:v>135</x:v>
      </x:c>
      <x:c r="AK694" s="3" t="n">
        <x:v>180</x:v>
      </x:c>
      <x:c r="AL694" s="3" t="n">
        <x:v>0</x:v>
      </x:c>
      <x:c r="AM694" s="8" t="n">
        <x:v>0.3222</x:v>
      </x:c>
      <x:c r="AN694" s="3" t="n">
        <x:v>2</x:v>
      </x:c>
      <x:c r="AO694" s="3" t="s">
        <x:v>14</x:v>
      </x:c>
      <x:c r="AP694" s="3" t="s">
        <x:v>573</x:v>
      </x:c>
      <x:c r="AQ694" s="3" t="s">
        <x:v>697</x:v>
      </x:c>
      <x:c r="AR694" s="9" t="n">
        <x:v>596.6</x:v>
      </x:c>
      <x:c r="AS694" s="3" t="s">
        <x:v>121</x:v>
      </x:c>
      <x:c r="AT694" s="7" t="n">
        <x:v>46301.9166666667</x:v>
      </x:c>
    </x:row>
    <x:row r="695" ht="31.299999237060547" hidden="0">
      <x:c r="A695" s="3" t="s">
        <x:v>1258</x:v>
      </x:c>
      <x:c r="B695" s="3" t="s">
        <x:v>205</x:v>
      </x:c>
      <x:c r="C695" s="3" t="s">
        <x:v>206</x:v>
      </x:c>
      <x:c r="D695" s="3" t="s">
        <x:v>207</x:v>
      </x:c>
      <x:c r="E695" s="3" t="s">
        <x:v>249</x:v>
      </x:c>
      <x:c r="F695" s="3" t="s">
        <x:v>99</x:v>
      </x:c>
      <x:c r="G695" s="3" t="s">
        <x:v>338</x:v>
      </x:c>
      <x:c r="H695" s="3" t="s">
        <x:v>339</x:v>
      </x:c>
      <x:c r="I695" s="3" t="s">
        <x:v>102</x:v>
      </x:c>
      <x:c r="J695" s="3" t="s">
        <x:v>103</x:v>
      </x:c>
      <x:c r="K695" s="3" t="s">
        <x:v>104</x:v>
      </x:c>
      <x:c r="L695" s="3" t="s">
        <x:v>209</x:v>
      </x:c>
      <x:c r="M695" s="3" t="s">
        <x:v>210</x:v>
      </x:c>
      <x:c r="N695" s="3" t="s">
        <x:v>211</x:v>
      </x:c>
      <x:c r="O695" s="3" t="s">
        <x:v>212</x:v>
      </x:c>
      <x:c r="P695" s="3" t="s">
        <x:v>213</x:v>
      </x:c>
      <x:c r="Q695" s="3" t="s">
        <x:v>254</x:v>
      </x:c>
      <x:c r="R695" s="3" t="s">
        <x:v>310</x:v>
      </x:c>
      <x:c r="S695" s="3" t="s">
        <x:v>135</x:v>
      </x:c>
      <x:c r="T695" s="3" t="s">
        <x:v>111</x:v>
      </x:c>
      <x:c r="U695" s="3" t="s">
        <x:v>311</x:v>
      </x:c>
      <x:c r="V695" s="3" t="s">
        <x:v>312</x:v>
      </x:c>
      <x:c r="W695" s="3" t="s">
        <x:v>351</x:v>
      </x:c>
      <x:c r="X695" s="3" t="s">
        <x:v>314</x:v>
      </x:c>
      <x:c r="Y695" s="3" t="s">
        <x:v>352</x:v>
      </x:c>
      <x:c r="Z695" s="3" t="s">
        <x:v>316</x:v>
      </x:c>
      <x:c r="AA695" s="3" t="s">
        <x:v>317</x:v>
      </x:c>
      <x:c r="AB695" s="7" t="n">
        <x:v>46298.8534722222</x:v>
      </x:c>
      <x:c r="AC695" s="7" t="n">
        <x:v>46298.8548611111</x:v>
      </x:c>
      <x:c r="AD695" s="7" t="n">
        <x:v>46298.8576388889</x:v>
      </x:c>
      <x:c r="AE695" s="7" t="n">
        <x:v>46298.8680555556</x:v>
      </x:c>
      <x:c r="AF695" s="7" t="n">
        <x:v>46298.8916666667</x:v>
      </x:c>
      <x:c r="AG695" s="3" t="n">
        <x:v>21</x:v>
      </x:c>
      <x:c r="AH695" s="3" t="n">
        <x:v>25</x:v>
      </x:c>
      <x:c r="AI695" s="3" t="s">
        <x:v>135</x:v>
      </x:c>
      <x:c r="AJ695" s="3" t="s">
        <x:v>135</x:v>
      </x:c>
      <x:c r="AK695" s="3" t="n">
        <x:v>180</x:v>
      </x:c>
      <x:c r="AL695" s="3" t="n">
        <x:v>0</x:v>
      </x:c>
      <x:c r="AM695" s="8" t="n">
        <x:v>0.2556</x:v>
      </x:c>
      <x:c r="AN695" s="3" t="n">
        <x:v>0</x:v>
      </x:c>
      <x:c r="AO695" s="3" t="s">
        <x:v>9</x:v>
      </x:c>
      <x:c r="AP695" s="3" t="s">
        <x:v>142</x:v>
      </x:c>
      <x:c r="AQ695" s="3" t="s">
        <x:v>220</x:v>
      </x:c>
      <x:c r="AR695" s="9" t="n">
        <x:v>534.5</x:v>
      </x:c>
      <x:c r="AS695" s="3" t="s">
        <x:v>144</x:v>
      </x:c>
      <x:c r="AT695" s="7" t="n">
        <x:v>46301.9166666667</x:v>
      </x:c>
    </x:row>
    <x:row r="696" ht="31.299999237060547" hidden="0">
      <x:c r="A696" s="3" t="s">
        <x:v>1259</x:v>
      </x:c>
      <x:c r="B696" s="3" t="s">
        <x:v>297</x:v>
      </x:c>
      <x:c r="C696" s="3" t="s">
        <x:v>298</x:v>
      </x:c>
      <x:c r="D696" s="3" t="s">
        <x:v>299</x:v>
      </x:c>
      <x:c r="E696" s="3" t="s">
        <x:v>249</x:v>
      </x:c>
      <x:c r="F696" s="3" t="s">
        <x:v>99</x:v>
      </x:c>
      <x:c r="G696" s="3" t="s">
        <x:v>581</x:v>
      </x:c>
      <x:c r="H696" s="3" t="s">
        <x:v>301</x:v>
      </x:c>
      <x:c r="I696" s="3" t="s">
        <x:v>302</x:v>
      </x:c>
      <x:c r="J696" s="3" t="s">
        <x:v>303</x:v>
      </x:c>
      <x:c r="K696" s="3" t="s">
        <x:v>104</x:v>
      </x:c>
      <x:c r="L696" s="3" t="s">
        <x:v>304</x:v>
      </x:c>
      <x:c r="M696" s="3" t="s">
        <x:v>305</x:v>
      </x:c>
      <x:c r="N696" s="3" t="s">
        <x:v>306</x:v>
      </x:c>
      <x:c r="O696" s="3" t="s">
        <x:v>307</x:v>
      </x:c>
      <x:c r="P696" s="3" t="s">
        <x:v>308</x:v>
      </x:c>
      <x:c r="Q696" s="3" t="s">
        <x:v>309</x:v>
      </x:c>
      <x:c r="R696" s="3" t="s">
        <x:v>380</x:v>
      </x:c>
      <x:c r="S696" s="3" t="s">
        <x:v>111</x:v>
      </x:c>
      <x:c r="T696" s="3" t="s">
        <x:v>111</x:v>
      </x:c>
      <x:c r="U696" s="3" t="s">
        <x:v>381</x:v>
      </x:c>
      <x:c r="V696" s="3" t="s">
        <x:v>312</x:v>
      </x:c>
      <x:c r="W696" s="3" t="s">
        <x:v>351</x:v>
      </x:c>
      <x:c r="X696" s="3" t="s">
        <x:v>314</x:v>
      </x:c>
      <x:c r="Y696" s="3" t="s">
        <x:v>352</x:v>
      </x:c>
      <x:c r="Z696" s="3" t="s">
        <x:v>384</x:v>
      </x:c>
      <x:c r="AA696" s="3" t="s">
        <x:v>385</x:v>
      </x:c>
      <x:c r="AB696" s="7" t="n">
        <x:v>46299.40625</x:v>
      </x:c>
      <x:c r="AC696" s="7" t="n">
        <x:v>46299.4104166667</x:v>
      </x:c>
      <x:c r="AD696" s="7" t="n">
        <x:v>46299.4145833333</x:v>
      </x:c>
      <x:c r="AE696" s="7" t="n">
        <x:v>46299.4201388889</x:v>
      </x:c>
      <x:c r="AF696" s="7" t="n">
        <x:v>46299.4798611111</x:v>
      </x:c>
      <x:c r="AG696" s="3" t="n">
        <x:v>20</x:v>
      </x:c>
      <x:c r="AH696" s="3" t="n">
        <x:v>79</x:v>
      </x:c>
      <x:c r="AI696" s="3" t="s">
        <x:v>135</x:v>
      </x:c>
      <x:c r="AJ696" s="3" t="s">
        <x:v>111</x:v>
      </x:c>
      <x:c r="AK696" s="3" t="n">
        <x:v>120</x:v>
      </x:c>
      <x:c r="AL696" s="3" t="n">
        <x:v>0</x:v>
      </x:c>
      <x:c r="AM696" s="8" t="n">
        <x:v>0.825</x:v>
      </x:c>
      <x:c r="AN696" s="3" t="n">
        <x:v>1</x:v>
      </x:c>
      <x:c r="AO696" s="3" t="s">
        <x:v>14</x:v>
      </x:c>
      <x:c r="AP696" s="3" t="s">
        <x:v>664</x:v>
      </x:c>
      <x:c r="AQ696" s="3" t="s">
        <x:v>603</x:v>
      </x:c>
      <x:c r="AR696" s="9" t="n">
        <x:v>1298.8</x:v>
      </x:c>
      <x:c r="AS696" s="3" t="s">
        <x:v>185</x:v>
      </x:c>
      <x:c r="AT696" s="7" t="n">
        <x:v>46301.9166666667</x:v>
      </x:c>
    </x:row>
    <x:row r="697" ht="31.299999237060547" hidden="0">
      <x:c r="A697" s="3" t="s">
        <x:v>1260</x:v>
      </x:c>
      <x:c r="B697" s="3" t="s">
        <x:v>166</x:v>
      </x:c>
      <x:c r="C697" s="3" t="s">
        <x:v>167</x:v>
      </x:c>
      <x:c r="D697" s="3" t="s">
        <x:v>168</x:v>
      </x:c>
      <x:c r="E697" s="3" t="s">
        <x:v>249</x:v>
      </x:c>
      <x:c r="F697" s="3" t="s">
        <x:v>149</x:v>
      </x:c>
      <x:c r="G697" s="3" t="s">
        <x:v>324</x:v>
      </x:c>
      <x:c r="H697" s="3" t="s">
        <x:v>301</x:v>
      </x:c>
      <x:c r="I697" s="3" t="s">
        <x:v>302</x:v>
      </x:c>
      <x:c r="J697" s="3" t="s">
        <x:v>303</x:v>
      </x:c>
      <x:c r="K697" s="3" t="s">
        <x:v>104</x:v>
      </x:c>
      <x:c r="L697" s="3" t="s">
        <x:v>171</x:v>
      </x:c>
      <x:c r="M697" s="3" t="s">
        <x:v>172</x:v>
      </x:c>
      <x:c r="N697" s="3" t="s">
        <x:v>173</x:v>
      </x:c>
      <x:c r="O697" s="3" t="s">
        <x:v>174</x:v>
      </x:c>
      <x:c r="P697" s="3" t="s">
        <x:v>175</x:v>
      </x:c>
      <x:c r="Q697" s="3" t="s">
        <x:v>271</x:v>
      </x:c>
      <x:c r="R697" s="3" t="s">
        <x:v>330</x:v>
      </x:c>
      <x:c r="S697" s="3" t="s">
        <x:v>135</x:v>
      </x:c>
      <x:c r="T697" s="3" t="s">
        <x:v>111</x:v>
      </x:c>
      <x:c r="U697" s="3" t="s">
        <x:v>331</x:v>
      </x:c>
      <x:c r="V697" s="3" t="s">
        <x:v>178</x:v>
      </x:c>
      <x:c r="W697" s="3" t="s">
        <x:v>355</x:v>
      </x:c>
      <x:c r="X697" s="3" t="s">
        <x:v>180</x:v>
      </x:c>
      <x:c r="Y697" s="3" t="s">
        <x:v>356</x:v>
      </x:c>
      <x:c r="Z697" s="3" t="s">
        <x:v>334</x:v>
      </x:c>
      <x:c r="AA697" s="3" t="s">
        <x:v>118</x:v>
      </x:c>
      <x:c r="AB697" s="7" t="n">
        <x:v>46299.4083333333</x:v>
      </x:c>
      <x:c r="AC697" s="7" t="n">
        <x:v>46299.4118055556</x:v>
      </x:c>
      <x:c r="AD697" s="7" t="n">
        <x:v>46299.4173611111</x:v>
      </x:c>
      <x:c r="AE697" s="7" t="n">
        <x:v>46299.4284722222</x:v>
      </x:c>
      <x:c r="AF697" s="7" t="n">
        <x:v>46299.4923611111</x:v>
      </x:c>
      <x:c r="AG697" s="3" t="n">
        <x:v>29</x:v>
      </x:c>
      <x:c r="AH697" s="3" t="n">
        <x:v>88</x:v>
      </x:c>
      <x:c r="AI697" s="3" t="s">
        <x:v>135</x:v>
      </x:c>
      <x:c r="AJ697" s="3" t="s">
        <x:v>135</x:v>
      </x:c>
      <x:c r="AK697" s="3" t="n">
        <x:v>180</x:v>
      </x:c>
      <x:c r="AL697" s="3" t="n">
        <x:v>0</x:v>
      </x:c>
      <x:c r="AM697" s="8" t="n">
        <x:v>0.65</x:v>
      </x:c>
      <x:c r="AN697" s="3" t="n">
        <x:v>1</x:v>
      </x:c>
      <x:c r="AO697" s="3" t="s">
        <x:v>14</x:v>
      </x:c>
      <x:c r="AP697" s="3" t="s">
        <x:v>471</x:v>
      </x:c>
      <x:c r="AQ697" s="3" t="s">
        <x:v>501</x:v>
      </x:c>
      <x:c r="AR697" s="9" t="n">
        <x:v>1404.1</x:v>
      </x:c>
      <x:c r="AS697" s="3" t="s">
        <x:v>121</x:v>
      </x:c>
      <x:c r="AT697" s="7" t="n">
        <x:v>46301.9166666667</x:v>
      </x:c>
    </x:row>
    <x:row r="698" ht="31.299999237060547" hidden="0">
      <x:c r="A698" s="3" t="s">
        <x:v>1261</x:v>
      </x:c>
      <x:c r="B698" s="3" t="s">
        <x:v>123</x:v>
      </x:c>
      <x:c r="C698" s="3" t="s">
        <x:v>124</x:v>
      </x:c>
      <x:c r="D698" s="3" t="s">
        <x:v>125</x:v>
      </x:c>
      <x:c r="E698" s="3" t="s">
        <x:v>249</x:v>
      </x:c>
      <x:c r="F698" s="3" t="s">
        <x:v>99</x:v>
      </x:c>
      <x:c r="G698" s="3" t="s">
        <x:v>443</x:v>
      </x:c>
      <x:c r="H698" s="3" t="s">
        <x:v>101</x:v>
      </x:c>
      <x:c r="I698" s="3" t="s">
        <x:v>102</x:v>
      </x:c>
      <x:c r="J698" s="3" t="s">
        <x:v>103</x:v>
      </x:c>
      <x:c r="K698" s="3" t="s">
        <x:v>104</x:v>
      </x:c>
      <x:c r="L698" s="3" t="s">
        <x:v>129</x:v>
      </x:c>
      <x:c r="M698" s="3" t="s">
        <x:v>130</x:v>
      </x:c>
      <x:c r="N698" s="3" t="s">
        <x:v>131</x:v>
      </x:c>
      <x:c r="O698" s="3" t="s">
        <x:v>132</x:v>
      </x:c>
      <x:c r="P698" s="3" t="s">
        <x:v>133</x:v>
      </x:c>
      <x:c r="Q698" s="3" t="s">
        <x:v>268</x:v>
      </x:c>
      <x:c r="R698" s="3" t="s">
        <x:v>330</x:v>
      </x:c>
      <x:c r="S698" s="3" t="s">
        <x:v>135</x:v>
      </x:c>
      <x:c r="T698" s="3" t="s">
        <x:v>111</x:v>
      </x:c>
      <x:c r="U698" s="3" t="s">
        <x:v>331</x:v>
      </x:c>
      <x:c r="V698" s="3" t="s">
        <x:v>178</x:v>
      </x:c>
      <x:c r="W698" s="3" t="s">
        <x:v>355</x:v>
      </x:c>
      <x:c r="X698" s="3" t="s">
        <x:v>180</x:v>
      </x:c>
      <x:c r="Y698" s="3" t="s">
        <x:v>356</x:v>
      </x:c>
      <x:c r="Z698" s="3" t="s">
        <x:v>334</x:v>
      </x:c>
      <x:c r="AA698" s="3" t="s">
        <x:v>118</x:v>
      </x:c>
      <x:c r="AB698" s="7" t="n">
        <x:v>46299.4097222222</x:v>
      </x:c>
      <x:c r="AC698" s="7" t="n">
        <x:v>46299.4118055556</x:v>
      </x:c>
      <x:c r="AD698" s="7" t="n">
        <x:v>46299.4166666667</x:v>
      </x:c>
      <x:c r="AE698" s="7" t="n">
        <x:v>46299.4270833333</x:v>
      </x:c>
      <x:c r="AF698" s="7" t="n">
        <x:v>46299.4597222222</x:v>
      </x:c>
      <x:c r="AG698" s="3" t="n">
        <x:v>25</x:v>
      </x:c>
      <x:c r="AH698" s="3" t="n">
        <x:v>41</x:v>
      </x:c>
      <x:c r="AI698" s="3" t="s">
        <x:v>135</x:v>
      </x:c>
      <x:c r="AJ698" s="3" t="s">
        <x:v>135</x:v>
      </x:c>
      <x:c r="AK698" s="3" t="n">
        <x:v>180</x:v>
      </x:c>
      <x:c r="AL698" s="3" t="n">
        <x:v>0</x:v>
      </x:c>
      <x:c r="AM698" s="8" t="n">
        <x:v>0.3667</x:v>
      </x:c>
      <x:c r="AN698" s="3" t="n">
        <x:v>0</x:v>
      </x:c>
      <x:c r="AO698" s="3" t="s">
        <x:v>9</x:v>
      </x:c>
      <x:c r="AP698" s="3" t="s">
        <x:v>142</x:v>
      </x:c>
      <x:c r="AQ698" s="3" t="s">
        <x:v>357</x:v>
      </x:c>
      <x:c r="AR698" s="9" t="n">
        <x:v>667.7</x:v>
      </x:c>
      <x:c r="AS698" s="3" t="s">
        <x:v>144</x:v>
      </x:c>
      <x:c r="AT698" s="7" t="n">
        <x:v>46301.9166666667</x:v>
      </x:c>
    </x:row>
    <x:row r="699" ht="31.299999237060547" hidden="0">
      <x:c r="A699" s="3" t="s">
        <x:v>1262</x:v>
      </x:c>
      <x:c r="B699" s="3" t="s">
        <x:v>146</x:v>
      </x:c>
      <x:c r="C699" s="3" t="s">
        <x:v>147</x:v>
      </x:c>
      <x:c r="D699" s="3" t="s">
        <x:v>148</x:v>
      </x:c>
      <x:c r="E699" s="3" t="s">
        <x:v>249</x:v>
      </x:c>
      <x:c r="F699" s="3" t="s">
        <x:v>99</x:v>
      </x:c>
      <x:c r="G699" s="3" t="s">
        <x:v>477</x:v>
      </x:c>
      <x:c r="H699" s="3" t="s">
        <x:v>343</x:v>
      </x:c>
      <x:c r="I699" s="3" t="s">
        <x:v>102</x:v>
      </x:c>
      <x:c r="J699" s="3" t="s">
        <x:v>103</x:v>
      </x:c>
      <x:c r="K699" s="3" t="s">
        <x:v>104</x:v>
      </x:c>
      <x:c r="L699" s="3" t="s">
        <x:v>151</x:v>
      </x:c>
      <x:c r="M699" s="3" t="s">
        <x:v>152</x:v>
      </x:c>
      <x:c r="N699" s="3" t="s">
        <x:v>153</x:v>
      </x:c>
      <x:c r="O699" s="3" t="s">
        <x:v>154</x:v>
      </x:c>
      <x:c r="P699" s="3" t="s">
        <x:v>155</x:v>
      </x:c>
      <x:c r="Q699" s="3" t="s">
        <x:v>270</x:v>
      </x:c>
      <x:c r="R699" s="3" t="s">
        <x:v>214</x:v>
      </x:c>
      <x:c r="S699" s="3" t="s">
        <x:v>135</x:v>
      </x:c>
      <x:c r="T699" s="3" t="s">
        <x:v>111</x:v>
      </x:c>
      <x:c r="U699" s="3" t="s">
        <x:v>215</x:v>
      </x:c>
      <x:c r="V699" s="3" t="s">
        <x:v>216</x:v>
      </x:c>
      <x:c r="W699" s="3" t="s">
        <x:v>217</x:v>
      </x:c>
      <x:c r="X699" s="3" t="s">
        <x:v>430</x:v>
      </x:c>
      <x:c r="Y699" s="3" t="s">
        <x:v>555</x:v>
      </x:c>
      <x:c r="Z699" s="3" t="s">
        <x:v>219</x:v>
      </x:c>
      <x:c r="AA699" s="3" t="s">
        <x:v>118</x:v>
      </x:c>
      <x:c r="AB699" s="7" t="n">
        <x:v>46299.4159722222</x:v>
      </x:c>
      <x:c r="AC699" s="7" t="n">
        <x:v>46299.41875</x:v>
      </x:c>
      <x:c r="AD699" s="7" t="n">
        <x:v>46299.4215277778</x:v>
      </x:c>
      <x:c r="AE699" s="7" t="n">
        <x:v>46299.4361111111</x:v>
      </x:c>
      <x:c r="AF699" s="7" t="n">
        <x:v>46299.4847222222</x:v>
      </x:c>
      <x:c r="AG699" s="3" t="n">
        <x:v>29</x:v>
      </x:c>
      <x:c r="AH699" s="3" t="n">
        <x:v>66</x:v>
      </x:c>
      <x:c r="AI699" s="3" t="s">
        <x:v>135</x:v>
      </x:c>
      <x:c r="AJ699" s="3" t="s">
        <x:v>135</x:v>
      </x:c>
      <x:c r="AK699" s="3" t="n">
        <x:v>180</x:v>
      </x:c>
      <x:c r="AL699" s="3" t="n">
        <x:v>0</x:v>
      </x:c>
      <x:c r="AM699" s="8" t="n">
        <x:v>0.5278</x:v>
      </x:c>
      <x:c r="AN699" s="3" t="n">
        <x:v>3</x:v>
      </x:c>
      <x:c r="AO699" s="3" t="s">
        <x:v>14</x:v>
      </x:c>
      <x:c r="AP699" s="3" t="s">
        <x:v>183</x:v>
      </x:c>
      <x:c r="AQ699" s="3" t="s">
        <x:v>929</x:v>
      </x:c>
      <x:c r="AR699" s="9" t="n">
        <x:v>1115.7</x:v>
      </x:c>
      <x:c r="AS699" s="3" t="s">
        <x:v>185</x:v>
      </x:c>
      <x:c r="AT699" s="7" t="n">
        <x:v>46301.9166666667</x:v>
      </x:c>
    </x:row>
    <x:row r="700" ht="31.299999237060547" hidden="0">
      <x:c r="A700" s="3" t="s">
        <x:v>1263</x:v>
      </x:c>
      <x:c r="B700" s="3" t="s">
        <x:v>83</x:v>
      </x:c>
      <x:c r="C700" s="3" t="s">
        <x:v>96</x:v>
      </x:c>
      <x:c r="D700" s="3" t="s">
        <x:v>97</x:v>
      </x:c>
      <x:c r="E700" s="3" t="s">
        <x:v>249</x:v>
      </x:c>
      <x:c r="F700" s="3" t="s">
        <x:v>169</x:v>
      </x:c>
      <x:c r="G700" s="3" t="s">
        <x:v>416</x:v>
      </x:c>
      <x:c r="H700" s="3" t="s">
        <x:v>339</x:v>
      </x:c>
      <x:c r="I700" s="3" t="s">
        <x:v>102</x:v>
      </x:c>
      <x:c r="J700" s="3" t="s">
        <x:v>103</x:v>
      </x:c>
      <x:c r="K700" s="3" t="s">
        <x:v>104</x:v>
      </x:c>
      <x:c r="L700" s="3" t="s">
        <x:v>105</x:v>
      </x:c>
      <x:c r="M700" s="3" t="s">
        <x:v>106</x:v>
      </x:c>
      <x:c r="N700" s="3" t="s">
        <x:v>107</x:v>
      </x:c>
      <x:c r="O700" s="3" t="s">
        <x:v>108</x:v>
      </x:c>
      <x:c r="P700" s="3" t="s">
        <x:v>109</x:v>
      </x:c>
      <x:c r="Q700" s="3" t="s">
        <x:v>250</x:v>
      </x:c>
      <x:c r="R700" s="3" t="s">
        <x:v>373</x:v>
      </x:c>
      <x:c r="S700" s="3" t="s">
        <x:v>135</x:v>
      </x:c>
      <x:c r="T700" s="3" t="s">
        <x:v>111</x:v>
      </x:c>
      <x:c r="U700" s="3" t="s">
        <x:v>374</x:v>
      </x:c>
      <x:c r="V700" s="3" t="s">
        <x:v>178</x:v>
      </x:c>
      <x:c r="W700" s="3" t="s">
        <x:v>179</x:v>
      </x:c>
      <x:c r="X700" s="3" t="s">
        <x:v>180</x:v>
      </x:c>
      <x:c r="Y700" s="3" t="s">
        <x:v>414</x:v>
      </x:c>
      <x:c r="Z700" s="3" t="s">
        <x:v>375</x:v>
      </x:c>
      <x:c r="AA700" s="3" t="s">
        <x:v>118</x:v>
      </x:c>
      <x:c r="AB700" s="7" t="n">
        <x:v>46299.5680555556</x:v>
      </x:c>
      <x:c r="AC700" s="7" t="n">
        <x:v>46299.5729166667</x:v>
      </x:c>
      <x:c r="AD700" s="7" t="n">
        <x:v>46299.5784722222</x:v>
      </x:c>
      <x:c r="AE700" s="7" t="n">
        <x:v>46299.6069444444</x:v>
      </x:c>
      <x:c r="AF700" s="7" t="n">
        <x:v>46299.6256944445</x:v>
      </x:c>
      <x:c r="AG700" s="3" t="n">
        <x:v>56</x:v>
      </x:c>
      <x:c r="AH700" s="3" t="n">
        <x:v>21</x:v>
      </x:c>
      <x:c r="AI700" s="3" t="s">
        <x:v>111</x:v>
      </x:c>
      <x:c r="AJ700" s="3" t="s">
        <x:v>111</x:v>
      </x:c>
      <x:c r="AK700" s="3" t="n">
        <x:v>60</x:v>
      </x:c>
      <x:c r="AL700" s="3" t="n">
        <x:v>0</x:v>
      </x:c>
      <x:c r="AM700" s="8" t="n">
        <x:v>1.2833</x:v>
      </x:c>
      <x:c r="AN700" s="3" t="n">
        <x:v>2</x:v>
      </x:c>
      <x:c r="AO700" s="3" t="s">
        <x:v>24</x:v>
      </x:c>
      <x:c r="AP700" s="3" t="s">
        <x:v>729</x:v>
      </x:c>
      <x:c r="AQ700" s="3" t="s">
        <x:v>562</x:v>
      </x:c>
      <x:c r="AR700" s="9" t="n">
        <x:v>983.2</x:v>
      </x:c>
      <x:c r="AS700" s="3" t="s">
        <x:v>185</x:v>
      </x:c>
      <x:c r="AT700" s="7" t="n">
        <x:v>46301.9166666667</x:v>
      </x:c>
    </x:row>
    <x:row r="701" ht="31.299999237060547" hidden="0">
      <x:c r="A701" s="3" t="s">
        <x:v>1264</x:v>
      </x:c>
      <x:c r="B701" s="3" t="s">
        <x:v>297</x:v>
      </x:c>
      <x:c r="C701" s="3" t="s">
        <x:v>298</x:v>
      </x:c>
      <x:c r="D701" s="3" t="s">
        <x:v>299</x:v>
      </x:c>
      <x:c r="E701" s="3" t="s">
        <x:v>249</x:v>
      </x:c>
      <x:c r="F701" s="3" t="s">
        <x:v>99</x:v>
      </x:c>
      <x:c r="G701" s="3" t="s">
        <x:v>469</x:v>
      </x:c>
      <x:c r="H701" s="3" t="s">
        <x:v>301</x:v>
      </x:c>
      <x:c r="I701" s="3" t="s">
        <x:v>302</x:v>
      </x:c>
      <x:c r="J701" s="3" t="s">
        <x:v>303</x:v>
      </x:c>
      <x:c r="K701" s="3" t="s">
        <x:v>104</x:v>
      </x:c>
      <x:c r="L701" s="3" t="s">
        <x:v>304</x:v>
      </x:c>
      <x:c r="M701" s="3" t="s">
        <x:v>305</x:v>
      </x:c>
      <x:c r="N701" s="3" t="s">
        <x:v>306</x:v>
      </x:c>
      <x:c r="O701" s="3" t="s">
        <x:v>307</x:v>
      </x:c>
      <x:c r="P701" s="3" t="s">
        <x:v>308</x:v>
      </x:c>
      <x:c r="Q701" s="3" t="s">
        <x:v>309</x:v>
      </x:c>
      <x:c r="R701" s="3" t="s">
        <x:v>110</x:v>
      </x:c>
      <x:c r="S701" s="3" t="s">
        <x:v>111</x:v>
      </x:c>
      <x:c r="T701" s="3" t="s">
        <x:v>111</x:v>
      </x:c>
      <x:c r="U701" s="3" t="s">
        <x:v>112</x:v>
      </x:c>
      <x:c r="V701" s="3" t="s">
        <x:v>113</x:v>
      </x:c>
      <x:c r="W701" s="3" t="s">
        <x:v>114</x:v>
      </x:c>
      <x:c r="X701" s="3" t="s">
        <x:v>115</x:v>
      </x:c>
      <x:c r="Y701" s="3" t="s">
        <x:v>116</x:v>
      </x:c>
      <x:c r="Z701" s="3" t="s">
        <x:v>117</x:v>
      </x:c>
      <x:c r="AA701" s="3" t="s">
        <x:v>118</x:v>
      </x:c>
      <x:c r="AB701" s="7" t="n">
        <x:v>46299.5951388889</x:v>
      </x:c>
      <x:c r="AC701" s="7" t="n">
        <x:v>46299.5972222222</x:v>
      </x:c>
      <x:c r="AD701" s="7" t="n">
        <x:v>46299.6013888889</x:v>
      </x:c>
      <x:c r="AE701" s="7" t="n">
        <x:v>46299.6138888889</x:v>
      </x:c>
      <x:c r="AF701" s="7" t="n">
        <x:v>46299.6652777778</x:v>
      </x:c>
      <x:c r="AG701" s="3" t="n">
        <x:v>27</x:v>
      </x:c>
      <x:c r="AH701" s="3" t="n">
        <x:v>71</x:v>
      </x:c>
      <x:c r="AI701" s="3" t="s">
        <x:v>135</x:v>
      </x:c>
      <x:c r="AJ701" s="3" t="s">
        <x:v>111</x:v>
      </x:c>
      <x:c r="AK701" s="3" t="n">
        <x:v>120</x:v>
      </x:c>
      <x:c r="AL701" s="3" t="n">
        <x:v>0</x:v>
      </x:c>
      <x:c r="AM701" s="8" t="n">
        <x:v>0.8167</x:v>
      </x:c>
      <x:c r="AN701" s="3" t="n">
        <x:v>4</x:v>
      </x:c>
      <x:c r="AO701" s="3" t="s">
        <x:v>14</x:v>
      </x:c>
      <x:c r="AP701" s="3" t="s">
        <x:v>1092</x:v>
      </x:c>
      <x:c r="AQ701" s="3" t="s">
        <x:v>1254</x:v>
      </x:c>
      <x:c r="AR701" s="9" t="n">
        <x:v>1522.7</x:v>
      </x:c>
      <x:c r="AS701" s="3" t="s">
        <x:v>185</x:v>
      </x:c>
      <x:c r="AT701" s="7" t="n">
        <x:v>46301.9166666667</x:v>
      </x:c>
    </x:row>
    <x:row r="702" ht="31.299999237060547" hidden="0">
      <x:c r="A702" s="3" t="s">
        <x:v>1265</x:v>
      </x:c>
      <x:c r="B702" s="3" t="s">
        <x:v>222</x:v>
      </x:c>
      <x:c r="C702" s="3" t="s">
        <x:v>223</x:v>
      </x:c>
      <x:c r="D702" s="3" t="s">
        <x:v>224</x:v>
      </x:c>
      <x:c r="E702" s="3" t="s">
        <x:v>249</x:v>
      </x:c>
      <x:c r="F702" s="3" t="s">
        <x:v>99</x:v>
      </x:c>
      <x:c r="G702" s="3" t="s">
        <x:v>364</x:v>
      </x:c>
      <x:c r="H702" s="3" t="s">
        <x:v>339</x:v>
      </x:c>
      <x:c r="I702" s="3" t="s">
        <x:v>102</x:v>
      </x:c>
      <x:c r="J702" s="3" t="s">
        <x:v>103</x:v>
      </x:c>
      <x:c r="K702" s="3" t="s">
        <x:v>104</x:v>
      </x:c>
      <x:c r="L702" s="3" t="s">
        <x:v>226</x:v>
      </x:c>
      <x:c r="M702" s="3" t="s">
        <x:v>227</x:v>
      </x:c>
      <x:c r="N702" s="3" t="s">
        <x:v>228</x:v>
      </x:c>
      <x:c r="O702" s="3" t="s">
        <x:v>229</x:v>
      </x:c>
      <x:c r="P702" s="3" t="s">
        <x:v>230</x:v>
      </x:c>
      <x:c r="Q702" s="3" t="s">
        <x:v>274</x:v>
      </x:c>
      <x:c r="R702" s="3" t="s">
        <x:v>196</x:v>
      </x:c>
      <x:c r="S702" s="3" t="s">
        <x:v>111</x:v>
      </x:c>
      <x:c r="T702" s="3" t="s">
        <x:v>111</x:v>
      </x:c>
      <x:c r="U702" s="3" t="s">
        <x:v>197</x:v>
      </x:c>
      <x:c r="V702" s="3" t="s">
        <x:v>198</x:v>
      </x:c>
      <x:c r="W702" s="3" t="s">
        <x:v>199</x:v>
      </x:c>
      <x:c r="X702" s="3" t="s">
        <x:v>366</x:v>
      </x:c>
      <x:c r="Y702" s="3" t="s">
        <x:v>527</x:v>
      </x:c>
      <x:c r="Z702" s="3" t="s">
        <x:v>201</x:v>
      </x:c>
      <x:c r="AA702" s="3" t="s">
        <x:v>368</x:v>
      </x:c>
      <x:c r="AB702" s="7" t="n">
        <x:v>46299.6027777778</x:v>
      </x:c>
      <x:c r="AC702" s="7" t="n">
        <x:v>46299.6055555556</x:v>
      </x:c>
      <x:c r="AD702" s="7" t="n">
        <x:v>46299.6111111111</x:v>
      </x:c>
      <x:c r="AE702" s="7" t="n">
        <x:v>46299.6215277778</x:v>
      </x:c>
      <x:c r="AF702" s="7" t="n">
        <x:v>46299.6597222222</x:v>
      </x:c>
      <x:c r="AG702" s="3" t="n">
        <x:v>27</x:v>
      </x:c>
      <x:c r="AH702" s="3" t="n">
        <x:v>47</x:v>
      </x:c>
      <x:c r="AI702" s="3" t="s">
        <x:v>135</x:v>
      </x:c>
      <x:c r="AJ702" s="3" t="s">
        <x:v>135</x:v>
      </x:c>
      <x:c r="AK702" s="3" t="n">
        <x:v>120</x:v>
      </x:c>
      <x:c r="AL702" s="3" t="n">
        <x:v>0</x:v>
      </x:c>
      <x:c r="AM702" s="8" t="n">
        <x:v>0.6167</x:v>
      </x:c>
      <x:c r="AN702" s="3" t="n">
        <x:v>0</x:v>
      </x:c>
      <x:c r="AO702" s="3" t="s">
        <x:v>14</x:v>
      </x:c>
      <x:c r="AP702" s="3" t="s">
        <x:v>347</x:v>
      </x:c>
      <x:c r="AQ702" s="3" t="s">
        <x:v>452</x:v>
      </x:c>
      <x:c r="AR702" s="9" t="n">
        <x:v>719.9</x:v>
      </x:c>
      <x:c r="AS702" s="3" t="s">
        <x:v>121</x:v>
      </x:c>
      <x:c r="AT702" s="7" t="n">
        <x:v>46301.9166666667</x:v>
      </x:c>
    </x:row>
    <x:row r="703" ht="31.299999237060547" hidden="0">
      <x:c r="A703" s="3" t="s">
        <x:v>1266</x:v>
      </x:c>
      <x:c r="B703" s="3" t="s">
        <x:v>222</x:v>
      </x:c>
      <x:c r="C703" s="3" t="s">
        <x:v>223</x:v>
      </x:c>
      <x:c r="D703" s="3" t="s">
        <x:v>224</x:v>
      </x:c>
      <x:c r="E703" s="3" t="s">
        <x:v>249</x:v>
      </x:c>
      <x:c r="F703" s="3" t="s">
        <x:v>127</x:v>
      </x:c>
      <x:c r="G703" s="3" t="s">
        <x:v>388</x:v>
      </x:c>
      <x:c r="H703" s="3" t="s">
        <x:v>339</x:v>
      </x:c>
      <x:c r="I703" s="3" t="s">
        <x:v>102</x:v>
      </x:c>
      <x:c r="J703" s="3" t="s">
        <x:v>103</x:v>
      </x:c>
      <x:c r="K703" s="3" t="s">
        <x:v>104</x:v>
      </x:c>
      <x:c r="L703" s="3" t="s">
        <x:v>226</x:v>
      </x:c>
      <x:c r="M703" s="3" t="s">
        <x:v>227</x:v>
      </x:c>
      <x:c r="N703" s="3" t="s">
        <x:v>228</x:v>
      </x:c>
      <x:c r="O703" s="3" t="s">
        <x:v>229</x:v>
      </x:c>
      <x:c r="P703" s="3" t="s">
        <x:v>230</x:v>
      </x:c>
      <x:c r="Q703" s="3" t="s">
        <x:v>274</x:v>
      </x:c>
      <x:c r="R703" s="3" t="s">
        <x:v>110</x:v>
      </x:c>
      <x:c r="S703" s="3" t="s">
        <x:v>111</x:v>
      </x:c>
      <x:c r="T703" s="3" t="s">
        <x:v>111</x:v>
      </x:c>
      <x:c r="U703" s="3" t="s">
        <x:v>112</x:v>
      </x:c>
      <x:c r="V703" s="3" t="s">
        <x:v>113</x:v>
      </x:c>
      <x:c r="W703" s="3" t="s">
        <x:v>419</x:v>
      </x:c>
      <x:c r="X703" s="3" t="s">
        <x:v>115</x:v>
      </x:c>
      <x:c r="Y703" s="3" t="s">
        <x:v>420</x:v>
      </x:c>
      <x:c r="Z703" s="3" t="s">
        <x:v>117</x:v>
      </x:c>
      <x:c r="AA703" s="3" t="s">
        <x:v>118</x:v>
      </x:c>
      <x:c r="AB703" s="7" t="n">
        <x:v>46299.6243055556</x:v>
      </x:c>
      <x:c r="AC703" s="7" t="n">
        <x:v>46299.6256944445</x:v>
      </x:c>
      <x:c r="AD703" s="7" t="n">
        <x:v>46299.6284722222</x:v>
      </x:c>
      <x:c r="AE703" s="7" t="n">
        <x:v>46299.6381944444</x:v>
      </x:c>
      <x:c r="AF703" s="7" t="n">
        <x:v>46299.6861111111</x:v>
      </x:c>
      <x:c r="AG703" s="3" t="n">
        <x:v>20</x:v>
      </x:c>
      <x:c r="AH703" s="3" t="n">
        <x:v>64</x:v>
      </x:c>
      <x:c r="AI703" s="3" t="s">
        <x:v>135</x:v>
      </x:c>
      <x:c r="AJ703" s="3" t="s">
        <x:v>135</x:v>
      </x:c>
      <x:c r="AK703" s="3" t="n">
        <x:v>120</x:v>
      </x:c>
      <x:c r="AL703" s="3" t="n">
        <x:v>0</x:v>
      </x:c>
      <x:c r="AM703" s="8" t="n">
        <x:v>0.7</x:v>
      </x:c>
      <x:c r="AN703" s="3" t="n">
        <x:v>0</x:v>
      </x:c>
      <x:c r="AO703" s="3" t="s">
        <x:v>14</x:v>
      </x:c>
      <x:c r="AP703" s="3" t="s">
        <x:v>347</x:v>
      </x:c>
      <x:c r="AQ703" s="3" t="s">
        <x:v>370</x:v>
      </x:c>
      <x:c r="AR703" s="9" t="n">
        <x:v>810.8</x:v>
      </x:c>
      <x:c r="AS703" s="3" t="s">
        <x:v>185</x:v>
      </x:c>
      <x:c r="AT703" s="7" t="n">
        <x:v>46301.9166666667</x:v>
      </x:c>
    </x:row>
    <x:row r="704" ht="31.299999237060547" hidden="0">
      <x:c r="A704" s="3" t="s">
        <x:v>1267</x:v>
      </x:c>
      <x:c r="B704" s="3" t="s">
        <x:v>146</x:v>
      </x:c>
      <x:c r="C704" s="3" t="s">
        <x:v>147</x:v>
      </x:c>
      <x:c r="D704" s="3" t="s">
        <x:v>148</x:v>
      </x:c>
      <x:c r="E704" s="3" t="s">
        <x:v>249</x:v>
      </x:c>
      <x:c r="F704" s="3" t="s">
        <x:v>149</x:v>
      </x:c>
      <x:c r="G704" s="3" t="s">
        <x:v>447</x:v>
      </x:c>
      <x:c r="H704" s="3" t="s">
        <x:v>343</x:v>
      </x:c>
      <x:c r="I704" s="3" t="s">
        <x:v>102</x:v>
      </x:c>
      <x:c r="J704" s="3" t="s">
        <x:v>103</x:v>
      </x:c>
      <x:c r="K704" s="3" t="s">
        <x:v>104</x:v>
      </x:c>
      <x:c r="L704" s="3" t="s">
        <x:v>151</x:v>
      </x:c>
      <x:c r="M704" s="3" t="s">
        <x:v>152</x:v>
      </x:c>
      <x:c r="N704" s="3" t="s">
        <x:v>153</x:v>
      </x:c>
      <x:c r="O704" s="3" t="s">
        <x:v>154</x:v>
      </x:c>
      <x:c r="P704" s="3" t="s">
        <x:v>155</x:v>
      </x:c>
      <x:c r="Q704" s="3" t="s">
        <x:v>270</x:v>
      </x:c>
      <x:c r="R704" s="3" t="s">
        <x:v>344</x:v>
      </x:c>
      <x:c r="S704" s="3" t="s">
        <x:v>111</x:v>
      </x:c>
      <x:c r="T704" s="3" t="s">
        <x:v>111</x:v>
      </x:c>
      <x:c r="U704" s="3" t="s">
        <x:v>345</x:v>
      </x:c>
      <x:c r="V704" s="3" t="s">
        <x:v>178</x:v>
      </x:c>
      <x:c r="W704" s="3" t="s">
        <x:v>179</x:v>
      </x:c>
      <x:c r="X704" s="3" t="s">
        <x:v>180</x:v>
      </x:c>
      <x:c r="Y704" s="3" t="s">
        <x:v>414</x:v>
      </x:c>
      <x:c r="Z704" s="3" t="s">
        <x:v>346</x:v>
      </x:c>
      <x:c r="AA704" s="3" t="s">
        <x:v>118</x:v>
      </x:c>
      <x:c r="AB704" s="7" t="n">
        <x:v>46299.6826388889</x:v>
      </x:c>
      <x:c r="AC704" s="7" t="n">
        <x:v>46299.6840277778</x:v>
      </x:c>
      <x:c r="AD704" s="7" t="n">
        <x:v>46299.6888888889</x:v>
      </x:c>
      <x:c r="AE704" s="7" t="n">
        <x:v>46299.6965277778</x:v>
      </x:c>
      <x:c r="AF704" s="7" t="n">
        <x:v>46299.7409722222</x:v>
      </x:c>
      <x:c r="AG704" s="3" t="n">
        <x:v>20</x:v>
      </x:c>
      <x:c r="AH704" s="3" t="n">
        <x:v>56</x:v>
      </x:c>
      <x:c r="AI704" s="3" t="s">
        <x:v>135</x:v>
      </x:c>
      <x:c r="AJ704" s="3" t="s">
        <x:v>135</x:v>
      </x:c>
      <x:c r="AK704" s="3" t="n">
        <x:v>120</x:v>
      </x:c>
      <x:c r="AL704" s="3" t="n">
        <x:v>0</x:v>
      </x:c>
      <x:c r="AM704" s="8" t="n">
        <x:v>0.6333</x:v>
      </x:c>
      <x:c r="AN704" s="3" t="n">
        <x:v>0</x:v>
      </x:c>
      <x:c r="AO704" s="3" t="s">
        <x:v>14</x:v>
      </x:c>
      <x:c r="AP704" s="3" t="s">
        <x:v>347</x:v>
      </x:c>
      <x:c r="AQ704" s="3" t="s">
        <x:v>459</x:v>
      </x:c>
      <x:c r="AR704" s="9" t="n">
        <x:v>753.2</x:v>
      </x:c>
      <x:c r="AS704" s="3" t="s">
        <x:v>121</x:v>
      </x:c>
      <x:c r="AT704" s="7" t="n">
        <x:v>46301.9166666667</x:v>
      </x:c>
    </x:row>
    <x:row r="705" ht="31.299999237060547" hidden="0">
      <x:c r="A705" s="3" t="s">
        <x:v>1268</x:v>
      </x:c>
      <x:c r="B705" s="3" t="s">
        <x:v>321</x:v>
      </x:c>
      <x:c r="C705" s="3" t="s">
        <x:v>322</x:v>
      </x:c>
      <x:c r="D705" s="3" t="s">
        <x:v>323</x:v>
      </x:c>
      <x:c r="E705" s="3" t="s">
        <x:v>249</x:v>
      </x:c>
      <x:c r="F705" s="3" t="s">
        <x:v>149</x:v>
      </x:c>
      <x:c r="G705" s="3" t="s">
        <x:v>614</x:v>
      </x:c>
      <x:c r="H705" s="3" t="s">
        <x:v>301</x:v>
      </x:c>
      <x:c r="I705" s="3" t="s">
        <x:v>302</x:v>
      </x:c>
      <x:c r="J705" s="3" t="s">
        <x:v>303</x:v>
      </x:c>
      <x:c r="K705" s="3" t="s">
        <x:v>104</x:v>
      </x:c>
      <x:c r="L705" s="3" t="s">
        <x:v>325</x:v>
      </x:c>
      <x:c r="M705" s="3" t="s">
        <x:v>326</x:v>
      </x:c>
      <x:c r="N705" s="3" t="s">
        <x:v>131</x:v>
      </x:c>
      <x:c r="O705" s="3" t="s">
        <x:v>327</x:v>
      </x:c>
      <x:c r="P705" s="3" t="s">
        <x:v>328</x:v>
      </x:c>
      <x:c r="Q705" s="3" t="s">
        <x:v>329</x:v>
      </x:c>
      <x:c r="R705" s="3" t="s">
        <x:v>196</x:v>
      </x:c>
      <x:c r="S705" s="3" t="s">
        <x:v>111</x:v>
      </x:c>
      <x:c r="T705" s="3" t="s">
        <x:v>111</x:v>
      </x:c>
      <x:c r="U705" s="3" t="s">
        <x:v>197</x:v>
      </x:c>
      <x:c r="V705" s="3" t="s">
        <x:v>198</x:v>
      </x:c>
      <x:c r="W705" s="3" t="s">
        <x:v>199</x:v>
      </x:c>
      <x:c r="X705" s="3" t="s">
        <x:v>366</x:v>
      </x:c>
      <x:c r="Y705" s="3" t="s">
        <x:v>527</x:v>
      </x:c>
      <x:c r="Z705" s="3" t="s">
        <x:v>201</x:v>
      </x:c>
      <x:c r="AA705" s="3" t="s">
        <x:v>368</x:v>
      </x:c>
      <x:c r="AB705" s="7" t="n">
        <x:v>46299.6909722222</x:v>
      </x:c>
      <x:c r="AC705" s="7" t="n">
        <x:v>46299.6944444444</x:v>
      </x:c>
      <x:c r="AD705" s="7" t="n">
        <x:v>46299.6965277778</x:v>
      </x:c>
      <x:c r="AE705" s="7" t="n">
        <x:v>46299.7173611111</x:v>
      </x:c>
      <x:c r="AF705" s="7" t="n">
        <x:v>46299.7430555556</x:v>
      </x:c>
      <x:c r="AG705" s="3" t="n">
        <x:v>38</x:v>
      </x:c>
      <x:c r="AH705" s="3" t="n">
        <x:v>29</x:v>
      </x:c>
      <x:c r="AI705" s="3" t="s">
        <x:v>135</x:v>
      </x:c>
      <x:c r="AJ705" s="3" t="s">
        <x:v>111</x:v>
      </x:c>
      <x:c r="AK705" s="3" t="n">
        <x:v>120</x:v>
      </x:c>
      <x:c r="AL705" s="3" t="n">
        <x:v>0</x:v>
      </x:c>
      <x:c r="AM705" s="8" t="n">
        <x:v>0.5583</x:v>
      </x:c>
      <x:c r="AN705" s="3" t="n">
        <x:v>0</x:v>
      </x:c>
      <x:c r="AO705" s="3" t="s">
        <x:v>9</x:v>
      </x:c>
      <x:c r="AP705" s="3" t="s">
        <x:v>335</x:v>
      </x:c>
      <x:c r="AQ705" s="3" t="s">
        <x:v>336</x:v>
      </x:c>
      <x:c r="AR705" s="9" t="n">
        <x:v>639.8</x:v>
      </x:c>
      <x:c r="AS705" s="3" t="s">
        <x:v>121</x:v>
      </x:c>
      <x:c r="AT705" s="7" t="n">
        <x:v>46301.9166666667</x:v>
      </x:c>
    </x:row>
    <x:row r="706" ht="31.299999237060547" hidden="0">
      <x:c r="A706" s="3" t="s">
        <x:v>1269</x:v>
      </x:c>
      <x:c r="B706" s="3" t="s">
        <x:v>83</x:v>
      </x:c>
      <x:c r="C706" s="3" t="s">
        <x:v>96</x:v>
      </x:c>
      <x:c r="D706" s="3" t="s">
        <x:v>97</x:v>
      </x:c>
      <x:c r="E706" s="3" t="s">
        <x:v>249</x:v>
      </x:c>
      <x:c r="F706" s="3" t="s">
        <x:v>127</x:v>
      </x:c>
      <x:c r="G706" s="3" t="s">
        <x:v>456</x:v>
      </x:c>
      <x:c r="H706" s="3" t="s">
        <x:v>343</x:v>
      </x:c>
      <x:c r="I706" s="3" t="s">
        <x:v>102</x:v>
      </x:c>
      <x:c r="J706" s="3" t="s">
        <x:v>103</x:v>
      </x:c>
      <x:c r="K706" s="3" t="s">
        <x:v>104</x:v>
      </x:c>
      <x:c r="L706" s="3" t="s">
        <x:v>105</x:v>
      </x:c>
      <x:c r="M706" s="3" t="s">
        <x:v>106</x:v>
      </x:c>
      <x:c r="N706" s="3" t="s">
        <x:v>107</x:v>
      </x:c>
      <x:c r="O706" s="3" t="s">
        <x:v>108</x:v>
      </x:c>
      <x:c r="P706" s="3" t="s">
        <x:v>109</x:v>
      </x:c>
      <x:c r="Q706" s="3" t="s">
        <x:v>250</x:v>
      </x:c>
      <x:c r="R706" s="3" t="s">
        <x:v>391</x:v>
      </x:c>
      <x:c r="S706" s="3" t="s">
        <x:v>135</x:v>
      </x:c>
      <x:c r="T706" s="3" t="s">
        <x:v>135</x:v>
      </x:c>
      <x:c r="U706" s="3" t="s">
        <x:v>392</x:v>
      </x:c>
      <x:c r="V706" s="3" t="s">
        <x:v>312</x:v>
      </x:c>
      <x:c r="W706" s="3" t="s">
        <x:v>382</x:v>
      </x:c>
      <x:c r="X706" s="3" t="s">
        <x:v>314</x:v>
      </x:c>
      <x:c r="Y706" s="3" t="s">
        <x:v>383</x:v>
      </x:c>
      <x:c r="Z706" s="3" t="s">
        <x:v>393</x:v>
      </x:c>
      <x:c r="AA706" s="3" t="s">
        <x:v>394</x:v>
      </x:c>
      <x:c r="AB706" s="7" t="n">
        <x:v>46299.7208333333</x:v>
      </x:c>
      <x:c r="AC706" s="7" t="n">
        <x:v>46299.7256944444</x:v>
      </x:c>
      <x:c r="AD706" s="7" t="n">
        <x:v>46299.7298611111</x:v>
      </x:c>
      <x:c r="AE706" s="7" t="n">
        <x:v>46299.7583333333</x:v>
      </x:c>
      <x:c r="AF706" s="7" t="n">
        <x:v>46299.7743055556</x:v>
      </x:c>
      <x:c r="AG706" s="3" t="n">
        <x:v>54</x:v>
      </x:c>
      <x:c r="AH706" s="3" t="n">
        <x:v>18</x:v>
      </x:c>
      <x:c r="AI706" s="3" t="s">
        <x:v>111</x:v>
      </x:c>
      <x:c r="AJ706" s="3" t="s">
        <x:v>111</x:v>
      </x:c>
      <x:c r="AK706" s="3" t="n">
        <x:v>60</x:v>
      </x:c>
      <x:c r="AL706" s="3" t="n">
        <x:v>0</x:v>
      </x:c>
      <x:c r="AM706" s="8" t="n">
        <x:v>1.2</x:v>
      </x:c>
      <x:c r="AN706" s="3" t="n">
        <x:v>0</x:v>
      </x:c>
      <x:c r="AO706" s="3" t="s">
        <x:v>24</x:v>
      </x:c>
      <x:c r="AP706" s="3" t="s">
        <x:v>421</x:v>
      </x:c>
      <x:c r="AQ706" s="3" t="s">
        <x:v>422</x:v>
      </x:c>
      <x:c r="AR706" s="9" t="n">
        <x:v>952.6</x:v>
      </x:c>
      <x:c r="AS706" s="3" t="s">
        <x:v>185</x:v>
      </x:c>
      <x:c r="AT706" s="7" t="n">
        <x:v>46301.9166666667</x:v>
      </x:c>
    </x:row>
    <x:row r="707" ht="31.299999237060547" hidden="0">
      <x:c r="A707" s="3" t="s">
        <x:v>1270</x:v>
      </x:c>
      <x:c r="B707" s="3" t="s">
        <x:v>397</x:v>
      </x:c>
      <x:c r="C707" s="3" t="s">
        <x:v>398</x:v>
      </x:c>
      <x:c r="D707" s="3" t="s">
        <x:v>399</x:v>
      </x:c>
      <x:c r="E707" s="3" t="s">
        <x:v>249</x:v>
      </x:c>
      <x:c r="F707" s="3" t="s">
        <x:v>99</x:v>
      </x:c>
      <x:c r="G707" s="3" t="s">
        <x:v>390</x:v>
      </x:c>
      <x:c r="H707" s="3" t="s">
        <x:v>301</x:v>
      </x:c>
      <x:c r="I707" s="3" t="s">
        <x:v>302</x:v>
      </x:c>
      <x:c r="J707" s="3" t="s">
        <x:v>303</x:v>
      </x:c>
      <x:c r="K707" s="3" t="s">
        <x:v>104</x:v>
      </x:c>
      <x:c r="L707" s="3" t="s">
        <x:v>401</x:v>
      </x:c>
      <x:c r="M707" s="3" t="s">
        <x:v>402</x:v>
      </x:c>
      <x:c r="N707" s="3" t="s">
        <x:v>403</x:v>
      </x:c>
      <x:c r="O707" s="3" t="s">
        <x:v>404</x:v>
      </x:c>
      <x:c r="P707" s="3" t="s">
        <x:v>405</x:v>
      </x:c>
      <x:c r="Q707" s="3" t="s">
        <x:v>406</x:v>
      </x:c>
      <x:c r="R707" s="3" t="s">
        <x:v>391</x:v>
      </x:c>
      <x:c r="S707" s="3" t="s">
        <x:v>135</x:v>
      </x:c>
      <x:c r="T707" s="3" t="s">
        <x:v>135</x:v>
      </x:c>
      <x:c r="U707" s="3" t="s">
        <x:v>392</x:v>
      </x:c>
      <x:c r="V707" s="3" t="s">
        <x:v>312</x:v>
      </x:c>
      <x:c r="W707" s="3" t="s">
        <x:v>313</x:v>
      </x:c>
      <x:c r="X707" s="3" t="s">
        <x:v>314</x:v>
      </x:c>
      <x:c r="Y707" s="3" t="s">
        <x:v>315</x:v>
      </x:c>
      <x:c r="Z707" s="3" t="s">
        <x:v>393</x:v>
      </x:c>
      <x:c r="AA707" s="3" t="s">
        <x:v>394</x:v>
      </x:c>
      <x:c r="AB707" s="7" t="n">
        <x:v>46299.79375</x:v>
      </x:c>
      <x:c r="AC707" s="7" t="n">
        <x:v>46299.7965277778</x:v>
      </x:c>
      <x:c r="AD707" s="7" t="n">
        <x:v>46299.8</x:v>
      </x:c>
      <x:c r="AE707" s="7" t="n">
        <x:v>46299.8263888889</x:v>
      </x:c>
      <x:c r="AF707" s="7" t="n">
        <x:v>46299.8604166667</x:v>
      </x:c>
      <x:c r="AG707" s="3" t="n">
        <x:v>47</x:v>
      </x:c>
      <x:c r="AH707" s="3" t="n">
        <x:v>44</x:v>
      </x:c>
      <x:c r="AI707" s="3" t="s">
        <x:v>135</x:v>
      </x:c>
      <x:c r="AJ707" s="3" t="s">
        <x:v>135</x:v>
      </x:c>
      <x:c r="AK707" s="3" t="n">
        <x:v>180</x:v>
      </x:c>
      <x:c r="AL707" s="3" t="n">
        <x:v>0</x:v>
      </x:c>
      <x:c r="AM707" s="8" t="n">
        <x:v>0.5056</x:v>
      </x:c>
      <x:c r="AN707" s="3" t="n">
        <x:v>2</x:v>
      </x:c>
      <x:c r="AO707" s="3" t="s">
        <x:v>14</x:v>
      </x:c>
      <x:c r="AP707" s="3" t="s">
        <x:v>573</x:v>
      </x:c>
      <x:c r="AQ707" s="3" t="s">
        <x:v>539</x:v>
      </x:c>
      <x:c r="AR707" s="9" t="n">
        <x:v>788.3</x:v>
      </x:c>
      <x:c r="AS707" s="3" t="s">
        <x:v>121</x:v>
      </x:c>
      <x:c r="AT707" s="7" t="n">
        <x:v>46301.9166666667</x:v>
      </x:c>
    </x:row>
    <x:row r="708" ht="31.299999237060547" hidden="0">
      <x:c r="A708" s="3" t="s">
        <x:v>1271</x:v>
      </x:c>
      <x:c r="B708" s="3" t="s">
        <x:v>166</x:v>
      </x:c>
      <x:c r="C708" s="3" t="s">
        <x:v>167</x:v>
      </x:c>
      <x:c r="D708" s="3" t="s">
        <x:v>168</x:v>
      </x:c>
      <x:c r="E708" s="3" t="s">
        <x:v>249</x:v>
      </x:c>
      <x:c r="F708" s="3" t="s">
        <x:v>169</x:v>
      </x:c>
      <x:c r="G708" s="3" t="s">
        <x:v>469</x:v>
      </x:c>
      <x:c r="H708" s="3" t="s">
        <x:v>301</x:v>
      </x:c>
      <x:c r="I708" s="3" t="s">
        <x:v>302</x:v>
      </x:c>
      <x:c r="J708" s="3" t="s">
        <x:v>303</x:v>
      </x:c>
      <x:c r="K708" s="3" t="s">
        <x:v>104</x:v>
      </x:c>
      <x:c r="L708" s="3" t="s">
        <x:v>171</x:v>
      </x:c>
      <x:c r="M708" s="3" t="s">
        <x:v>172</x:v>
      </x:c>
      <x:c r="N708" s="3" t="s">
        <x:v>173</x:v>
      </x:c>
      <x:c r="O708" s="3" t="s">
        <x:v>174</x:v>
      </x:c>
      <x:c r="P708" s="3" t="s">
        <x:v>175</x:v>
      </x:c>
      <x:c r="Q708" s="3" t="s">
        <x:v>271</x:v>
      </x:c>
      <x:c r="R708" s="3" t="s">
        <x:v>110</x:v>
      </x:c>
      <x:c r="S708" s="3" t="s">
        <x:v>111</x:v>
      </x:c>
      <x:c r="T708" s="3" t="s">
        <x:v>111</x:v>
      </x:c>
      <x:c r="U708" s="3" t="s">
        <x:v>112</x:v>
      </x:c>
      <x:c r="V708" s="3" t="s">
        <x:v>113</x:v>
      </x:c>
      <x:c r="W708" s="3" t="s">
        <x:v>419</x:v>
      </x:c>
      <x:c r="X708" s="3" t="s">
        <x:v>115</x:v>
      </x:c>
      <x:c r="Y708" s="3" t="s">
        <x:v>420</x:v>
      </x:c>
      <x:c r="Z708" s="3" t="s">
        <x:v>117</x:v>
      </x:c>
      <x:c r="AA708" s="3" t="s">
        <x:v>118</x:v>
      </x:c>
      <x:c r="AB708" s="7" t="n">
        <x:v>46300.3006944444</x:v>
      </x:c>
      <x:c r="AC708" s="7" t="n">
        <x:v>46300.3041666667</x:v>
      </x:c>
      <x:c r="AD708" s="7" t="n">
        <x:v>46300.3097222222</x:v>
      </x:c>
      <x:c r="AE708" s="7" t="n">
        <x:v>46300.3166666667</x:v>
      </x:c>
      <x:c r="AF708" s="7" t="n">
        <x:v>46300.3680555556</x:v>
      </x:c>
      <x:c r="AG708" s="3" t="n">
        <x:v>23</x:v>
      </x:c>
      <x:c r="AH708" s="3" t="n">
        <x:v>66</x:v>
      </x:c>
      <x:c r="AI708" s="3" t="s">
        <x:v>135</x:v>
      </x:c>
      <x:c r="AJ708" s="3" t="s">
        <x:v>135</x:v>
      </x:c>
      <x:c r="AK708" s="3" t="n">
        <x:v>120</x:v>
      </x:c>
      <x:c r="AL708" s="3" t="n">
        <x:v>0</x:v>
      </x:c>
      <x:c r="AM708" s="8" t="n">
        <x:v>0.7417</x:v>
      </x:c>
      <x:c r="AN708" s="3" t="n">
        <x:v>4</x:v>
      </x:c>
      <x:c r="AO708" s="3" t="s">
        <x:v>14</x:v>
      </x:c>
      <x:c r="AP708" s="3" t="s">
        <x:v>940</x:v>
      </x:c>
      <x:c r="AQ708" s="3" t="s">
        <x:v>1145</x:v>
      </x:c>
      <x:c r="AR708" s="9" t="n">
        <x:v>1468.7</x:v>
      </x:c>
      <x:c r="AS708" s="3" t="s">
        <x:v>185</x:v>
      </x:c>
      <x:c r="AT708" s="7" t="n">
        <x:v>46301.9166666667</x:v>
      </x:c>
    </x:row>
    <x:row r="709" ht="31.299999237060547" hidden="0">
      <x:c r="A709" s="3" t="s">
        <x:v>1272</x:v>
      </x:c>
      <x:c r="B709" s="3" t="s">
        <x:v>222</x:v>
      </x:c>
      <x:c r="C709" s="3" t="s">
        <x:v>223</x:v>
      </x:c>
      <x:c r="D709" s="3" t="s">
        <x:v>224</x:v>
      </x:c>
      <x:c r="E709" s="3" t="s">
        <x:v>249</x:v>
      </x:c>
      <x:c r="F709" s="3" t="s">
        <x:v>99</x:v>
      </x:c>
      <x:c r="G709" s="3" t="s">
        <x:v>354</x:v>
      </x:c>
      <x:c r="H709" s="3" t="s">
        <x:v>101</x:v>
      </x:c>
      <x:c r="I709" s="3" t="s">
        <x:v>102</x:v>
      </x:c>
      <x:c r="J709" s="3" t="s">
        <x:v>103</x:v>
      </x:c>
      <x:c r="K709" s="3" t="s">
        <x:v>104</x:v>
      </x:c>
      <x:c r="L709" s="3" t="s">
        <x:v>226</x:v>
      </x:c>
      <x:c r="M709" s="3" t="s">
        <x:v>227</x:v>
      </x:c>
      <x:c r="N709" s="3" t="s">
        <x:v>228</x:v>
      </x:c>
      <x:c r="O709" s="3" t="s">
        <x:v>229</x:v>
      </x:c>
      <x:c r="P709" s="3" t="s">
        <x:v>230</x:v>
      </x:c>
      <x:c r="Q709" s="3" t="s">
        <x:v>274</x:v>
      </x:c>
      <x:c r="R709" s="3" t="s">
        <x:v>176</x:v>
      </x:c>
      <x:c r="S709" s="3" t="s">
        <x:v>135</x:v>
      </x:c>
      <x:c r="T709" s="3" t="s">
        <x:v>135</x:v>
      </x:c>
      <x:c r="U709" s="3" t="s">
        <x:v>177</x:v>
      </x:c>
      <x:c r="V709" s="3" t="s">
        <x:v>178</x:v>
      </x:c>
      <x:c r="W709" s="3" t="s">
        <x:v>179</x:v>
      </x:c>
      <x:c r="X709" s="3" t="s">
        <x:v>180</x:v>
      </x:c>
      <x:c r="Y709" s="3" t="s">
        <x:v>414</x:v>
      </x:c>
      <x:c r="Z709" s="3" t="s">
        <x:v>182</x:v>
      </x:c>
      <x:c r="AA709" s="3" t="s">
        <x:v>118</x:v>
      </x:c>
      <x:c r="AB709" s="7" t="n">
        <x:v>46300.3375</x:v>
      </x:c>
      <x:c r="AC709" s="7" t="n">
        <x:v>46300.3409722222</x:v>
      </x:c>
      <x:c r="AD709" s="7" t="n">
        <x:v>46300.3444444445</x:v>
      </x:c>
      <x:c r="AE709" s="7" t="n">
        <x:v>46300.3513888889</x:v>
      </x:c>
      <x:c r="AF709" s="7" t="n">
        <x:v>46300.3993055556</x:v>
      </x:c>
      <x:c r="AG709" s="3" t="n">
        <x:v>20</x:v>
      </x:c>
      <x:c r="AH709" s="3" t="n">
        <x:v>61</x:v>
      </x:c>
      <x:c r="AI709" s="3" t="s">
        <x:v>135</x:v>
      </x:c>
      <x:c r="AJ709" s="3" t="s">
        <x:v>135</x:v>
      </x:c>
      <x:c r="AK709" s="3" t="n">
        <x:v>180</x:v>
      </x:c>
      <x:c r="AL709" s="3" t="n">
        <x:v>0</x:v>
      </x:c>
      <x:c r="AM709" s="8" t="n">
        <x:v>0.45</x:v>
      </x:c>
      <x:c r="AN709" s="3" t="n">
        <x:v>5</x:v>
      </x:c>
      <x:c r="AO709" s="3" t="s">
        <x:v>14</x:v>
      </x:c>
      <x:c r="AP709" s="3" t="s">
        <x:v>1015</x:v>
      </x:c>
      <x:c r="AQ709" s="3" t="s">
        <x:v>1098</x:v>
      </x:c>
      <x:c r="AR709" s="9" t="n">
        <x:v>1039.2</x:v>
      </x:c>
      <x:c r="AS709" s="3" t="s">
        <x:v>185</x:v>
      </x:c>
      <x:c r="AT709" s="7" t="n">
        <x:v>46301.9166666667</x:v>
      </x:c>
    </x:row>
    <x:row r="710" ht="31.299999237060547" hidden="0">
      <x:c r="A710" s="3" t="s">
        <x:v>1273</x:v>
      </x:c>
      <x:c r="B710" s="3" t="s">
        <x:v>433</x:v>
      </x:c>
      <x:c r="C710" s="3" t="s">
        <x:v>434</x:v>
      </x:c>
      <x:c r="D710" s="3" t="s">
        <x:v>435</x:v>
      </x:c>
      <x:c r="E710" s="3" t="s">
        <x:v>249</x:v>
      </x:c>
      <x:c r="F710" s="3" t="s">
        <x:v>169</x:v>
      </x:c>
      <x:c r="G710" s="3" t="s">
        <x:v>469</x:v>
      </x:c>
      <x:c r="H710" s="3" t="s">
        <x:v>301</x:v>
      </x:c>
      <x:c r="I710" s="3" t="s">
        <x:v>302</x:v>
      </x:c>
      <x:c r="J710" s="3" t="s">
        <x:v>303</x:v>
      </x:c>
      <x:c r="K710" s="3" t="s">
        <x:v>104</x:v>
      </x:c>
      <x:c r="L710" s="3" t="s">
        <x:v>437</x:v>
      </x:c>
      <x:c r="M710" s="3" t="s">
        <x:v>106</x:v>
      </x:c>
      <x:c r="N710" s="3" t="s">
        <x:v>438</x:v>
      </x:c>
      <x:c r="O710" s="3" t="s">
        <x:v>439</x:v>
      </x:c>
      <x:c r="P710" s="3" t="s">
        <x:v>440</x:v>
      </x:c>
      <x:c r="Q710" s="3" t="s">
        <x:v>441</x:v>
      </x:c>
      <x:c r="R710" s="3" t="s">
        <x:v>110</x:v>
      </x:c>
      <x:c r="S710" s="3" t="s">
        <x:v>111</x:v>
      </x:c>
      <x:c r="T710" s="3" t="s">
        <x:v>111</x:v>
      </x:c>
      <x:c r="U710" s="3" t="s">
        <x:v>112</x:v>
      </x:c>
      <x:c r="V710" s="3" t="s">
        <x:v>113</x:v>
      </x:c>
      <x:c r="W710" s="3" t="s">
        <x:v>114</x:v>
      </x:c>
      <x:c r="X710" s="3" t="s">
        <x:v>115</x:v>
      </x:c>
      <x:c r="Y710" s="3" t="s">
        <x:v>116</x:v>
      </x:c>
      <x:c r="Z710" s="3" t="s">
        <x:v>117</x:v>
      </x:c>
      <x:c r="AA710" s="3" t="s">
        <x:v>118</x:v>
      </x:c>
      <x:c r="AB710" s="7" t="n">
        <x:v>46300.3895833333</x:v>
      </x:c>
      <x:c r="AC710" s="7" t="n">
        <x:v>46300.3944444444</x:v>
      </x:c>
      <x:c r="AD710" s="7" t="n">
        <x:v>46300.3986111111</x:v>
      </x:c>
      <x:c r="AE710" s="7" t="n">
        <x:v>46300.4145833333</x:v>
      </x:c>
      <x:c r="AF710" s="7" t="n">
        <x:v>46300.4590277778</x:v>
      </x:c>
      <x:c r="AG710" s="3" t="n">
        <x:v>36</x:v>
      </x:c>
      <x:c r="AH710" s="3" t="n">
        <x:v>54</x:v>
      </x:c>
      <x:c r="AI710" s="3" t="s">
        <x:v>135</x:v>
      </x:c>
      <x:c r="AJ710" s="3" t="s">
        <x:v>135</x:v>
      </x:c>
      <x:c r="AK710" s="3" t="n">
        <x:v>120</x:v>
      </x:c>
      <x:c r="AL710" s="3" t="n">
        <x:v>0</x:v>
      </x:c>
      <x:c r="AM710" s="8" t="n">
        <x:v>0.75</x:v>
      </x:c>
      <x:c r="AN710" s="3" t="n">
        <x:v>5</x:v>
      </x:c>
      <x:c r="AO710" s="3" t="s">
        <x:v>14</x:v>
      </x:c>
      <x:c r="AP710" s="3" t="s">
        <x:v>1274</x:v>
      </x:c>
      <x:c r="AQ710" s="3" t="s">
        <x:v>938</x:v>
      </x:c>
      <x:c r="AR710" s="9" t="n">
        <x:v>1060.8</x:v>
      </x:c>
      <x:c r="AS710" s="3" t="s">
        <x:v>185</x:v>
      </x:c>
      <x:c r="AT710" s="7" t="n">
        <x:v>46301.9166666667</x:v>
      </x:c>
    </x:row>
    <x:row r="711" ht="31.299999237060547" hidden="0">
      <x:c r="A711" s="3" t="s">
        <x:v>1275</x:v>
      </x:c>
      <x:c r="B711" s="3" t="s">
        <x:v>166</x:v>
      </x:c>
      <x:c r="C711" s="3" t="s">
        <x:v>167</x:v>
      </x:c>
      <x:c r="D711" s="3" t="s">
        <x:v>168</x:v>
      </x:c>
      <x:c r="E711" s="3" t="s">
        <x:v>249</x:v>
      </x:c>
      <x:c r="F711" s="3" t="s">
        <x:v>169</x:v>
      </x:c>
      <x:c r="G711" s="3" t="s">
        <x:v>477</x:v>
      </x:c>
      <x:c r="H711" s="3" t="s">
        <x:v>343</x:v>
      </x:c>
      <x:c r="I711" s="3" t="s">
        <x:v>102</x:v>
      </x:c>
      <x:c r="J711" s="3" t="s">
        <x:v>103</x:v>
      </x:c>
      <x:c r="K711" s="3" t="s">
        <x:v>104</x:v>
      </x:c>
      <x:c r="L711" s="3" t="s">
        <x:v>171</x:v>
      </x:c>
      <x:c r="M711" s="3" t="s">
        <x:v>172</x:v>
      </x:c>
      <x:c r="N711" s="3" t="s">
        <x:v>173</x:v>
      </x:c>
      <x:c r="O711" s="3" t="s">
        <x:v>174</x:v>
      </x:c>
      <x:c r="P711" s="3" t="s">
        <x:v>175</x:v>
      </x:c>
      <x:c r="Q711" s="3" t="s">
        <x:v>271</x:v>
      </x:c>
      <x:c r="R711" s="3" t="s">
        <x:v>214</x:v>
      </x:c>
      <x:c r="S711" s="3" t="s">
        <x:v>135</x:v>
      </x:c>
      <x:c r="T711" s="3" t="s">
        <x:v>111</x:v>
      </x:c>
      <x:c r="U711" s="3" t="s">
        <x:v>215</x:v>
      </x:c>
      <x:c r="V711" s="3" t="s">
        <x:v>216</x:v>
      </x:c>
      <x:c r="W711" s="3" t="s">
        <x:v>429</x:v>
      </x:c>
      <x:c r="X711" s="3" t="s">
        <x:v>430</x:v>
      </x:c>
      <x:c r="Y711" s="3" t="s">
        <x:v>431</x:v>
      </x:c>
      <x:c r="Z711" s="3" t="s">
        <x:v>219</x:v>
      </x:c>
      <x:c r="AA711" s="3" t="s">
        <x:v>118</x:v>
      </x:c>
      <x:c r="AB711" s="7" t="n">
        <x:v>46300.5152777778</x:v>
      </x:c>
      <x:c r="AC711" s="7" t="n">
        <x:v>46300.5180555556</x:v>
      </x:c>
      <x:c r="AD711" s="7" t="n">
        <x:v>46300.5236111111</x:v>
      </x:c>
      <x:c r="AE711" s="7" t="n">
        <x:v>46300.54375</x:v>
      </x:c>
      <x:c r="AF711" s="7" t="n">
        <x:v>46300.6083333333</x:v>
      </x:c>
      <x:c r="AG711" s="3" t="n">
        <x:v>41</x:v>
      </x:c>
      <x:c r="AH711" s="3" t="n">
        <x:v>85</x:v>
      </x:c>
      <x:c r="AI711" s="3" t="s">
        <x:v>135</x:v>
      </x:c>
      <x:c r="AJ711" s="3" t="s">
        <x:v>135</x:v>
      </x:c>
      <x:c r="AK711" s="3" t="n">
        <x:v>150</x:v>
      </x:c>
      <x:c r="AL711" s="3" t="n">
        <x:v>0</x:v>
      </x:c>
      <x:c r="AM711" s="8" t="n">
        <x:v>0.84</x:v>
      </x:c>
      <x:c r="AN711" s="3" t="n">
        <x:v>0</x:v>
      </x:c>
      <x:c r="AO711" s="3" t="s">
        <x:v>14</x:v>
      </x:c>
      <x:c r="AP711" s="3" t="s">
        <x:v>347</x:v>
      </x:c>
      <x:c r="AQ711" s="3" t="s">
        <x:v>340</x:v>
      </x:c>
      <x:c r="AR711" s="9" t="n">
        <x:v>1436.5</x:v>
      </x:c>
      <x:c r="AS711" s="3" t="s">
        <x:v>185</x:v>
      </x:c>
      <x:c r="AT711" s="7" t="n">
        <x:v>46301.9166666667</x:v>
      </x:c>
    </x:row>
    <x:row r="712" ht="31.299999237060547" hidden="0">
      <x:c r="A712" s="3" t="s">
        <x:v>1276</x:v>
      </x:c>
      <x:c r="B712" s="3" t="s">
        <x:v>187</x:v>
      </x:c>
      <x:c r="C712" s="3" t="s">
        <x:v>188</x:v>
      </x:c>
      <x:c r="D712" s="3" t="s">
        <x:v>189</x:v>
      </x:c>
      <x:c r="E712" s="3" t="s">
        <x:v>249</x:v>
      </x:c>
      <x:c r="F712" s="3" t="s">
        <x:v>127</x:v>
      </x:c>
      <x:c r="G712" s="3" t="s">
        <x:v>522</x:v>
      </x:c>
      <x:c r="H712" s="3" t="s">
        <x:v>343</x:v>
      </x:c>
      <x:c r="I712" s="3" t="s">
        <x:v>102</x:v>
      </x:c>
      <x:c r="J712" s="3" t="s">
        <x:v>103</x:v>
      </x:c>
      <x:c r="K712" s="3" t="s">
        <x:v>104</x:v>
      </x:c>
      <x:c r="L712" s="3" t="s">
        <x:v>191</x:v>
      </x:c>
      <x:c r="M712" s="3" t="s">
        <x:v>192</x:v>
      </x:c>
      <x:c r="N712" s="3" t="s">
        <x:v>193</x:v>
      </x:c>
      <x:c r="O712" s="3" t="s">
        <x:v>194</x:v>
      </x:c>
      <x:c r="P712" s="3" t="s">
        <x:v>195</x:v>
      </x:c>
      <x:c r="Q712" s="3" t="s">
        <x:v>273</x:v>
      </x:c>
      <x:c r="R712" s="3" t="s">
        <x:v>380</x:v>
      </x:c>
      <x:c r="S712" s="3" t="s">
        <x:v>111</x:v>
      </x:c>
      <x:c r="T712" s="3" t="s">
        <x:v>111</x:v>
      </x:c>
      <x:c r="U712" s="3" t="s">
        <x:v>381</x:v>
      </x:c>
      <x:c r="V712" s="3" t="s">
        <x:v>312</x:v>
      </x:c>
      <x:c r="W712" s="3" t="s">
        <x:v>351</x:v>
      </x:c>
      <x:c r="X712" s="3" t="s">
        <x:v>314</x:v>
      </x:c>
      <x:c r="Y712" s="3" t="s">
        <x:v>352</x:v>
      </x:c>
      <x:c r="Z712" s="3" t="s">
        <x:v>384</x:v>
      </x:c>
      <x:c r="AA712" s="3" t="s">
        <x:v>385</x:v>
      </x:c>
      <x:c r="AB712" s="7" t="n">
        <x:v>46300.5159722222</x:v>
      </x:c>
      <x:c r="AC712" s="7" t="n">
        <x:v>46300.51875</x:v>
      </x:c>
      <x:c r="AD712" s="7" t="n">
        <x:v>46300.5201388889</x:v>
      </x:c>
      <x:c r="AE712" s="7" t="n">
        <x:v>46300.5388888889</x:v>
      </x:c>
      <x:c r="AF712" s="7" t="n">
        <x:v>46300.5840277778</x:v>
      </x:c>
      <x:c r="AG712" s="3" t="n">
        <x:v>33</x:v>
      </x:c>
      <x:c r="AH712" s="3" t="n">
        <x:v>62</x:v>
      </x:c>
      <x:c r="AI712" s="3" t="s">
        <x:v>135</x:v>
      </x:c>
      <x:c r="AJ712" s="3" t="s">
        <x:v>111</x:v>
      </x:c>
      <x:c r="AK712" s="3" t="n">
        <x:v>120</x:v>
      </x:c>
      <x:c r="AL712" s="3" t="n">
        <x:v>0</x:v>
      </x:c>
      <x:c r="AM712" s="8" t="n">
        <x:v>0.7917</x:v>
      </x:c>
      <x:c r="AN712" s="3" t="n">
        <x:v>3</x:v>
      </x:c>
      <x:c r="AO712" s="3" t="s">
        <x:v>14</x:v>
      </x:c>
      <x:c r="AP712" s="3" t="s">
        <x:v>955</x:v>
      </x:c>
      <x:c r="AQ712" s="3" t="s">
        <x:v>1277</x:v>
      </x:c>
      <x:c r="AR712" s="9" t="n">
        <x:v>1484.9</x:v>
      </x:c>
      <x:c r="AS712" s="3" t="s">
        <x:v>185</x:v>
      </x:c>
      <x:c r="AT712" s="7" t="n">
        <x:v>46301.9166666667</x:v>
      </x:c>
    </x:row>
    <x:row r="713" ht="31.299999237060547" hidden="0">
      <x:c r="A713" s="3" t="s">
        <x:v>1278</x:v>
      </x:c>
      <x:c r="B713" s="3" t="s">
        <x:v>297</x:v>
      </x:c>
      <x:c r="C713" s="3" t="s">
        <x:v>298</x:v>
      </x:c>
      <x:c r="D713" s="3" t="s">
        <x:v>299</x:v>
      </x:c>
      <x:c r="E713" s="3" t="s">
        <x:v>249</x:v>
      </x:c>
      <x:c r="F713" s="3" t="s">
        <x:v>127</x:v>
      </x:c>
      <x:c r="G713" s="3" t="s">
        <x:v>324</x:v>
      </x:c>
      <x:c r="H713" s="3" t="s">
        <x:v>301</x:v>
      </x:c>
      <x:c r="I713" s="3" t="s">
        <x:v>302</x:v>
      </x:c>
      <x:c r="J713" s="3" t="s">
        <x:v>303</x:v>
      </x:c>
      <x:c r="K713" s="3" t="s">
        <x:v>104</x:v>
      </x:c>
      <x:c r="L713" s="3" t="s">
        <x:v>304</x:v>
      </x:c>
      <x:c r="M713" s="3" t="s">
        <x:v>305</x:v>
      </x:c>
      <x:c r="N713" s="3" t="s">
        <x:v>306</x:v>
      </x:c>
      <x:c r="O713" s="3" t="s">
        <x:v>307</x:v>
      </x:c>
      <x:c r="P713" s="3" t="s">
        <x:v>308</x:v>
      </x:c>
      <x:c r="Q713" s="3" t="s">
        <x:v>309</x:v>
      </x:c>
      <x:c r="R713" s="3" t="s">
        <x:v>330</x:v>
      </x:c>
      <x:c r="S713" s="3" t="s">
        <x:v>135</x:v>
      </x:c>
      <x:c r="T713" s="3" t="s">
        <x:v>111</x:v>
      </x:c>
      <x:c r="U713" s="3" t="s">
        <x:v>331</x:v>
      </x:c>
      <x:c r="V713" s="3" t="s">
        <x:v>178</x:v>
      </x:c>
      <x:c r="W713" s="3" t="s">
        <x:v>355</x:v>
      </x:c>
      <x:c r="X713" s="3" t="s">
        <x:v>180</x:v>
      </x:c>
      <x:c r="Y713" s="3" t="s">
        <x:v>356</x:v>
      </x:c>
      <x:c r="Z713" s="3" t="s">
        <x:v>334</x:v>
      </x:c>
      <x:c r="AA713" s="3" t="s">
        <x:v>118</x:v>
      </x:c>
      <x:c r="AB713" s="7" t="n">
        <x:v>46300.5743055556</x:v>
      </x:c>
      <x:c r="AC713" s="7" t="n">
        <x:v>46300.5777777778</x:v>
      </x:c>
      <x:c r="AD713" s="7" t="n">
        <x:v>46300.5798611111</x:v>
      </x:c>
      <x:c r="AE713" s="7" t="n">
        <x:v>46300.5902777778</x:v>
      </x:c>
      <x:c r="AF713" s="7" t="n">
        <x:v>46300.6576388889</x:v>
      </x:c>
      <x:c r="AG713" s="3" t="n">
        <x:v>23</x:v>
      </x:c>
      <x:c r="AH713" s="3" t="n">
        <x:v>87</x:v>
      </x:c>
      <x:c r="AI713" s="3" t="s">
        <x:v>135</x:v>
      </x:c>
      <x:c r="AJ713" s="3" t="s">
        <x:v>111</x:v>
      </x:c>
      <x:c r="AK713" s="3" t="n">
        <x:v>180</x:v>
      </x:c>
      <x:c r="AL713" s="3" t="n">
        <x:v>0</x:v>
      </x:c>
      <x:c r="AM713" s="8" t="n">
        <x:v>0.6111</x:v>
      </x:c>
      <x:c r="AN713" s="3" t="n">
        <x:v>3</x:v>
      </x:c>
      <x:c r="AO713" s="3" t="s">
        <x:v>14</x:v>
      </x:c>
      <x:c r="AP713" s="3" t="s">
        <x:v>955</x:v>
      </x:c>
      <x:c r="AQ713" s="3" t="s">
        <x:v>981</x:v>
      </x:c>
      <x:c r="AR713" s="9" t="n">
        <x:v>1619.9</x:v>
      </x:c>
      <x:c r="AS713" s="3" t="s">
        <x:v>185</x:v>
      </x:c>
      <x:c r="AT713" s="7" t="n">
        <x:v>46301.9166666667</x:v>
      </x:c>
    </x:row>
    <x:row r="714" ht="31.299999237060547" hidden="0">
      <x:c r="A714" s="3" t="s">
        <x:v>1279</x:v>
      </x:c>
      <x:c r="B714" s="3" t="s">
        <x:v>187</x:v>
      </x:c>
      <x:c r="C714" s="3" t="s">
        <x:v>188</x:v>
      </x:c>
      <x:c r="D714" s="3" t="s">
        <x:v>189</x:v>
      </x:c>
      <x:c r="E714" s="3" t="s">
        <x:v>249</x:v>
      </x:c>
      <x:c r="F714" s="3" t="s">
        <x:v>169</x:v>
      </x:c>
      <x:c r="G714" s="3" t="s">
        <x:v>522</x:v>
      </x:c>
      <x:c r="H714" s="3" t="s">
        <x:v>343</x:v>
      </x:c>
      <x:c r="I714" s="3" t="s">
        <x:v>102</x:v>
      </x:c>
      <x:c r="J714" s="3" t="s">
        <x:v>103</x:v>
      </x:c>
      <x:c r="K714" s="3" t="s">
        <x:v>104</x:v>
      </x:c>
      <x:c r="L714" s="3" t="s">
        <x:v>191</x:v>
      </x:c>
      <x:c r="M714" s="3" t="s">
        <x:v>192</x:v>
      </x:c>
      <x:c r="N714" s="3" t="s">
        <x:v>193</x:v>
      </x:c>
      <x:c r="O714" s="3" t="s">
        <x:v>194</x:v>
      </x:c>
      <x:c r="P714" s="3" t="s">
        <x:v>195</x:v>
      </x:c>
      <x:c r="Q714" s="3" t="s">
        <x:v>273</x:v>
      </x:c>
      <x:c r="R714" s="3" t="s">
        <x:v>380</x:v>
      </x:c>
      <x:c r="S714" s="3" t="s">
        <x:v>111</x:v>
      </x:c>
      <x:c r="T714" s="3" t="s">
        <x:v>111</x:v>
      </x:c>
      <x:c r="U714" s="3" t="s">
        <x:v>381</x:v>
      </x:c>
      <x:c r="V714" s="3" t="s">
        <x:v>312</x:v>
      </x:c>
      <x:c r="W714" s="3" t="s">
        <x:v>351</x:v>
      </x:c>
      <x:c r="X714" s="3" t="s">
        <x:v>314</x:v>
      </x:c>
      <x:c r="Y714" s="3" t="s">
        <x:v>352</x:v>
      </x:c>
      <x:c r="Z714" s="3" t="s">
        <x:v>384</x:v>
      </x:c>
      <x:c r="AA714" s="3" t="s">
        <x:v>385</x:v>
      </x:c>
      <x:c r="AB714" s="7" t="n">
        <x:v>46300.6131944444</x:v>
      </x:c>
      <x:c r="AC714" s="7" t="n">
        <x:v>46300.6166666667</x:v>
      </x:c>
      <x:c r="AD714" s="7" t="n">
        <x:v>46300.6201388889</x:v>
      </x:c>
      <x:c r="AE714" s="7" t="n">
        <x:v>46300.6472222222</x:v>
      </x:c>
      <x:c r="AF714" s="7" t="n">
        <x:v>46300.6875</x:v>
      </x:c>
      <x:c r="AG714" s="3" t="n">
        <x:v>49</x:v>
      </x:c>
      <x:c r="AH714" s="3" t="n">
        <x:v>55</x:v>
      </x:c>
      <x:c r="AI714" s="3" t="s">
        <x:v>135</x:v>
      </x:c>
      <x:c r="AJ714" s="3" t="s">
        <x:v>111</x:v>
      </x:c>
      <x:c r="AK714" s="3" t="n">
        <x:v>120</x:v>
      </x:c>
      <x:c r="AL714" s="3" t="n">
        <x:v>0</x:v>
      </x:c>
      <x:c r="AM714" s="8" t="n">
        <x:v>0.8667</x:v>
      </x:c>
      <x:c r="AN714" s="3" t="n">
        <x:v>4</x:v>
      </x:c>
      <x:c r="AO714" s="3" t="s">
        <x:v>19</x:v>
      </x:c>
      <x:c r="AP714" s="3" t="s">
        <x:v>1240</x:v>
      </x:c>
      <x:c r="AQ714" s="3" t="s">
        <x:v>1277</x:v>
      </x:c>
      <x:c r="AR714" s="9" t="n">
        <x:v>1506.5</x:v>
      </x:c>
      <x:c r="AS714" s="3" t="s">
        <x:v>185</x:v>
      </x:c>
      <x:c r="AT714" s="7" t="n">
        <x:v>46301.9166666667</x:v>
      </x:c>
    </x:row>
    <x:row r="715" ht="31.299999237060547" hidden="0">
      <x:c r="A715" s="3" t="s">
        <x:v>1280</x:v>
      </x:c>
      <x:c r="B715" s="3" t="s">
        <x:v>123</x:v>
      </x:c>
      <x:c r="C715" s="3" t="s">
        <x:v>124</x:v>
      </x:c>
      <x:c r="D715" s="3" t="s">
        <x:v>125</x:v>
      </x:c>
      <x:c r="E715" s="3" t="s">
        <x:v>249</x:v>
      </x:c>
      <x:c r="F715" s="3" t="s">
        <x:v>127</x:v>
      </x:c>
      <x:c r="G715" s="3" t="s">
        <x:v>377</x:v>
      </x:c>
      <x:c r="H715" s="3" t="s">
        <x:v>343</x:v>
      </x:c>
      <x:c r="I715" s="3" t="s">
        <x:v>102</x:v>
      </x:c>
      <x:c r="J715" s="3" t="s">
        <x:v>103</x:v>
      </x:c>
      <x:c r="K715" s="3" t="s">
        <x:v>104</x:v>
      </x:c>
      <x:c r="L715" s="3" t="s">
        <x:v>129</x:v>
      </x:c>
      <x:c r="M715" s="3" t="s">
        <x:v>130</x:v>
      </x:c>
      <x:c r="N715" s="3" t="s">
        <x:v>131</x:v>
      </x:c>
      <x:c r="O715" s="3" t="s">
        <x:v>132</x:v>
      </x:c>
      <x:c r="P715" s="3" t="s">
        <x:v>133</x:v>
      </x:c>
      <x:c r="Q715" s="3" t="s">
        <x:v>268</x:v>
      </x:c>
      <x:c r="R715" s="3" t="s">
        <x:v>330</x:v>
      </x:c>
      <x:c r="S715" s="3" t="s">
        <x:v>135</x:v>
      </x:c>
      <x:c r="T715" s="3" t="s">
        <x:v>111</x:v>
      </x:c>
      <x:c r="U715" s="3" t="s">
        <x:v>331</x:v>
      </x:c>
      <x:c r="V715" s="3" t="s">
        <x:v>178</x:v>
      </x:c>
      <x:c r="W715" s="3" t="s">
        <x:v>179</x:v>
      </x:c>
      <x:c r="X715" s="3" t="s">
        <x:v>180</x:v>
      </x:c>
      <x:c r="Y715" s="3" t="s">
        <x:v>414</x:v>
      </x:c>
      <x:c r="Z715" s="3" t="s">
        <x:v>334</x:v>
      </x:c>
      <x:c r="AA715" s="3" t="s">
        <x:v>118</x:v>
      </x:c>
      <x:c r="AB715" s="7" t="n">
        <x:v>46300.7006944444</x:v>
      </x:c>
      <x:c r="AC715" s="7" t="n">
        <x:v>46300.7048611111</x:v>
      </x:c>
      <x:c r="AD715" s="7" t="n">
        <x:v>46300.7097222222</x:v>
      </x:c>
      <x:c r="AE715" s="7" t="n">
        <x:v>46300.7347222222</x:v>
      </x:c>
      <x:c r="AF715" s="7" t="n">
        <x:v>46300.7861111111</x:v>
      </x:c>
      <x:c r="AG715" s="3" t="n">
        <x:v>49</x:v>
      </x:c>
      <x:c r="AH715" s="3" t="n">
        <x:v>65</x:v>
      </x:c>
      <x:c r="AI715" s="3" t="s">
        <x:v>135</x:v>
      </x:c>
      <x:c r="AJ715" s="3" t="s">
        <x:v>135</x:v>
      </x:c>
      <x:c r="AK715" s="3" t="n">
        <x:v>180</x:v>
      </x:c>
      <x:c r="AL715" s="3" t="n">
        <x:v>0</x:v>
      </x:c>
      <x:c r="AM715" s="8" t="n">
        <x:v>0.6333</x:v>
      </x:c>
      <x:c r="AN715" s="3" t="n">
        <x:v>1</x:v>
      </x:c>
      <x:c r="AO715" s="3" t="s">
        <x:v>14</x:v>
      </x:c>
      <x:c r="AP715" s="3" t="s">
        <x:v>471</x:v>
      </x:c>
      <x:c r="AQ715" s="3" t="s">
        <x:v>472</x:v>
      </x:c>
      <x:c r="AR715" s="9" t="n">
        <x:v>948.5</x:v>
      </x:c>
      <x:c r="AS715" s="3" t="s">
        <x:v>121</x:v>
      </x:c>
      <x:c r="AT715" s="7" t="n">
        <x:v>46301.9166666667</x:v>
      </x:c>
    </x:row>
    <x:row r="716" ht="31.299999237060547" hidden="0">
      <x:c r="A716" s="3" t="s">
        <x:v>1281</x:v>
      </x:c>
      <x:c r="B716" s="3" t="s">
        <x:v>146</x:v>
      </x:c>
      <x:c r="C716" s="3" t="s">
        <x:v>147</x:v>
      </x:c>
      <x:c r="D716" s="3" t="s">
        <x:v>148</x:v>
      </x:c>
      <x:c r="E716" s="3" t="s">
        <x:v>249</x:v>
      </x:c>
      <x:c r="F716" s="3" t="s">
        <x:v>99</x:v>
      </x:c>
      <x:c r="G716" s="3" t="s">
        <x:v>413</x:v>
      </x:c>
      <x:c r="H716" s="3" t="s">
        <x:v>101</x:v>
      </x:c>
      <x:c r="I716" s="3" t="s">
        <x:v>102</x:v>
      </x:c>
      <x:c r="J716" s="3" t="s">
        <x:v>103</x:v>
      </x:c>
      <x:c r="K716" s="3" t="s">
        <x:v>104</x:v>
      </x:c>
      <x:c r="L716" s="3" t="s">
        <x:v>151</x:v>
      </x:c>
      <x:c r="M716" s="3" t="s">
        <x:v>152</x:v>
      </x:c>
      <x:c r="N716" s="3" t="s">
        <x:v>153</x:v>
      </x:c>
      <x:c r="O716" s="3" t="s">
        <x:v>154</x:v>
      </x:c>
      <x:c r="P716" s="3" t="s">
        <x:v>155</x:v>
      </x:c>
      <x:c r="Q716" s="3" t="s">
        <x:v>270</x:v>
      </x:c>
      <x:c r="R716" s="3" t="s">
        <x:v>330</x:v>
      </x:c>
      <x:c r="S716" s="3" t="s">
        <x:v>135</x:v>
      </x:c>
      <x:c r="T716" s="3" t="s">
        <x:v>111</x:v>
      </x:c>
      <x:c r="U716" s="3" t="s">
        <x:v>331</x:v>
      </x:c>
      <x:c r="V716" s="3" t="s">
        <x:v>178</x:v>
      </x:c>
      <x:c r="W716" s="3" t="s">
        <x:v>332</x:v>
      </x:c>
      <x:c r="X716" s="3" t="s">
        <x:v>180</x:v>
      </x:c>
      <x:c r="Y716" s="3" t="s">
        <x:v>333</x:v>
      </x:c>
      <x:c r="Z716" s="3" t="s">
        <x:v>334</x:v>
      </x:c>
      <x:c r="AA716" s="3" t="s">
        <x:v>118</x:v>
      </x:c>
      <x:c r="AB716" s="7" t="n">
        <x:v>46300.70625</x:v>
      </x:c>
      <x:c r="AC716" s="7" t="n">
        <x:v>46300.7090277778</x:v>
      </x:c>
      <x:c r="AD716" s="7" t="n">
        <x:v>46300.7138888889</x:v>
      </x:c>
      <x:c r="AE716" s="7" t="n">
        <x:v>46300.7229166667</x:v>
      </x:c>
      <x:c r="AF716" s="7" t="n">
        <x:v>46300.7611111111</x:v>
      </x:c>
      <x:c r="AG716" s="3" t="n">
        <x:v>24</x:v>
      </x:c>
      <x:c r="AH716" s="3" t="n">
        <x:v>52</x:v>
      </x:c>
      <x:c r="AI716" s="3" t="s">
        <x:v>135</x:v>
      </x:c>
      <x:c r="AJ716" s="3" t="s">
        <x:v>135</x:v>
      </x:c>
      <x:c r="AK716" s="3" t="n">
        <x:v>180</x:v>
      </x:c>
      <x:c r="AL716" s="3" t="n">
        <x:v>0</x:v>
      </x:c>
      <x:c r="AM716" s="8" t="n">
        <x:v>0.4222</x:v>
      </x:c>
      <x:c r="AN716" s="3" t="n">
        <x:v>0</x:v>
      </x:c>
      <x:c r="AO716" s="3" t="s">
        <x:v>9</x:v>
      </x:c>
      <x:c r="AP716" s="3" t="s">
        <x:v>142</x:v>
      </x:c>
      <x:c r="AQ716" s="3" t="s">
        <x:v>459</x:v>
      </x:c>
      <x:c r="AR716" s="9" t="n">
        <x:v>742.4</x:v>
      </x:c>
      <x:c r="AS716" s="3" t="s">
        <x:v>121</x:v>
      </x:c>
      <x:c r="AT716" s="7" t="n">
        <x:v>46301.9166666667</x:v>
      </x:c>
    </x:row>
    <x:row r="717" ht="31.299999237060547" hidden="0">
      <x:c r="A717" s="3" t="s">
        <x:v>1282</x:v>
      </x:c>
      <x:c r="B717" s="3" t="s">
        <x:v>187</x:v>
      </x:c>
      <x:c r="C717" s="3" t="s">
        <x:v>188</x:v>
      </x:c>
      <x:c r="D717" s="3" t="s">
        <x:v>189</x:v>
      </x:c>
      <x:c r="E717" s="3" t="s">
        <x:v>249</x:v>
      </x:c>
      <x:c r="F717" s="3" t="s">
        <x:v>169</x:v>
      </x:c>
      <x:c r="G717" s="3" t="s">
        <x:v>379</x:v>
      </x:c>
      <x:c r="H717" s="3" t="s">
        <x:v>339</x:v>
      </x:c>
      <x:c r="I717" s="3" t="s">
        <x:v>102</x:v>
      </x:c>
      <x:c r="J717" s="3" t="s">
        <x:v>103</x:v>
      </x:c>
      <x:c r="K717" s="3" t="s">
        <x:v>104</x:v>
      </x:c>
      <x:c r="L717" s="3" t="s">
        <x:v>191</x:v>
      </x:c>
      <x:c r="M717" s="3" t="s">
        <x:v>192</x:v>
      </x:c>
      <x:c r="N717" s="3" t="s">
        <x:v>193</x:v>
      </x:c>
      <x:c r="O717" s="3" t="s">
        <x:v>194</x:v>
      </x:c>
      <x:c r="P717" s="3" t="s">
        <x:v>195</x:v>
      </x:c>
      <x:c r="Q717" s="3" t="s">
        <x:v>273</x:v>
      </x:c>
      <x:c r="R717" s="3" t="s">
        <x:v>380</x:v>
      </x:c>
      <x:c r="S717" s="3" t="s">
        <x:v>111</x:v>
      </x:c>
      <x:c r="T717" s="3" t="s">
        <x:v>111</x:v>
      </x:c>
      <x:c r="U717" s="3" t="s">
        <x:v>381</x:v>
      </x:c>
      <x:c r="V717" s="3" t="s">
        <x:v>312</x:v>
      </x:c>
      <x:c r="W717" s="3" t="s">
        <x:v>351</x:v>
      </x:c>
      <x:c r="X717" s="3" t="s">
        <x:v>314</x:v>
      </x:c>
      <x:c r="Y717" s="3" t="s">
        <x:v>352</x:v>
      </x:c>
      <x:c r="Z717" s="3" t="s">
        <x:v>384</x:v>
      </x:c>
      <x:c r="AA717" s="3" t="s">
        <x:v>385</x:v>
      </x:c>
      <x:c r="AB717" s="7" t="n">
        <x:v>46300.7159722222</x:v>
      </x:c>
      <x:c r="AC717" s="7" t="n">
        <x:v>46300.7201388889</x:v>
      </x:c>
      <x:c r="AD717" s="7" t="n">
        <x:v>46300.7222222222</x:v>
      </x:c>
      <x:c r="AE717" s="7" t="n">
        <x:v>46300.7368055556</x:v>
      </x:c>
      <x:c r="AF717" s="7" t="n">
        <x:v>46300.7972222222</x:v>
      </x:c>
      <x:c r="AG717" s="3" t="n">
        <x:v>30</x:v>
      </x:c>
      <x:c r="AH717" s="3" t="n">
        <x:v>77</x:v>
      </x:c>
      <x:c r="AI717" s="3" t="s">
        <x:v>135</x:v>
      </x:c>
      <x:c r="AJ717" s="3" t="s">
        <x:v>111</x:v>
      </x:c>
      <x:c r="AK717" s="3" t="n">
        <x:v>120</x:v>
      </x:c>
      <x:c r="AL717" s="3" t="n">
        <x:v>0</x:v>
      </x:c>
      <x:c r="AM717" s="8" t="n">
        <x:v>0.8917</x:v>
      </x:c>
      <x:c r="AN717" s="3" t="n">
        <x:v>0</x:v>
      </x:c>
      <x:c r="AO717" s="3" t="s">
        <x:v>19</x:v>
      </x:c>
      <x:c r="AP717" s="3" t="s">
        <x:v>444</x:v>
      </x:c>
      <x:c r="AQ717" s="3" t="s">
        <x:v>386</x:v>
      </x:c>
      <x:c r="AR717" s="9" t="n">
        <x:v>1329.4</x:v>
      </x:c>
      <x:c r="AS717" s="3" t="s">
        <x:v>185</x:v>
      </x:c>
      <x:c r="AT717" s="7" t="n">
        <x:v>46301.9166666667</x:v>
      </x:c>
    </x:row>
    <x:row r="718" ht="31.299999237060547" hidden="0">
      <x:c r="A718" s="3" t="s">
        <x:v>1283</x:v>
      </x:c>
      <x:c r="B718" s="3" t="s">
        <x:v>146</x:v>
      </x:c>
      <x:c r="C718" s="3" t="s">
        <x:v>147</x:v>
      </x:c>
      <x:c r="D718" s="3" t="s">
        <x:v>148</x:v>
      </x:c>
      <x:c r="E718" s="3" t="s">
        <x:v>249</x:v>
      </x:c>
      <x:c r="F718" s="3" t="s">
        <x:v>169</x:v>
      </x:c>
      <x:c r="G718" s="3" t="s">
        <x:v>354</x:v>
      </x:c>
      <x:c r="H718" s="3" t="s">
        <x:v>101</x:v>
      </x:c>
      <x:c r="I718" s="3" t="s">
        <x:v>102</x:v>
      </x:c>
      <x:c r="J718" s="3" t="s">
        <x:v>103</x:v>
      </x:c>
      <x:c r="K718" s="3" t="s">
        <x:v>104</x:v>
      </x:c>
      <x:c r="L718" s="3" t="s">
        <x:v>151</x:v>
      </x:c>
      <x:c r="M718" s="3" t="s">
        <x:v>152</x:v>
      </x:c>
      <x:c r="N718" s="3" t="s">
        <x:v>153</x:v>
      </x:c>
      <x:c r="O718" s="3" t="s">
        <x:v>154</x:v>
      </x:c>
      <x:c r="P718" s="3" t="s">
        <x:v>155</x:v>
      </x:c>
      <x:c r="Q718" s="3" t="s">
        <x:v>270</x:v>
      </x:c>
      <x:c r="R718" s="3" t="s">
        <x:v>176</x:v>
      </x:c>
      <x:c r="S718" s="3" t="s">
        <x:v>135</x:v>
      </x:c>
      <x:c r="T718" s="3" t="s">
        <x:v>135</x:v>
      </x:c>
      <x:c r="U718" s="3" t="s">
        <x:v>177</x:v>
      </x:c>
      <x:c r="V718" s="3" t="s">
        <x:v>178</x:v>
      </x:c>
      <x:c r="W718" s="3" t="s">
        <x:v>355</x:v>
      </x:c>
      <x:c r="X718" s="3" t="s">
        <x:v>180</x:v>
      </x:c>
      <x:c r="Y718" s="3" t="s">
        <x:v>356</x:v>
      </x:c>
      <x:c r="Z718" s="3" t="s">
        <x:v>182</x:v>
      </x:c>
      <x:c r="AA718" s="3" t="s">
        <x:v>118</x:v>
      </x:c>
      <x:c r="AB718" s="7" t="n">
        <x:v>46300.7541666667</x:v>
      </x:c>
      <x:c r="AC718" s="7" t="n">
        <x:v>46300.7569444444</x:v>
      </x:c>
      <x:c r="AD718" s="7" t="n">
        <x:v>46300.7597222222</x:v>
      </x:c>
      <x:c r="AE718" s="7" t="n">
        <x:v>46300.7777777778</x:v>
      </x:c>
      <x:c r="AF718" s="7" t="n">
        <x:v>46300.8118055556</x:v>
      </x:c>
      <x:c r="AG718" s="3" t="n">
        <x:v>34</x:v>
      </x:c>
      <x:c r="AH718" s="3" t="n">
        <x:v>40</x:v>
      </x:c>
      <x:c r="AI718" s="3" t="s">
        <x:v>135</x:v>
      </x:c>
      <x:c r="AJ718" s="3" t="s">
        <x:v>135</x:v>
      </x:c>
      <x:c r="AK718" s="3" t="n">
        <x:v>180</x:v>
      </x:c>
      <x:c r="AL718" s="3" t="n">
        <x:v>0</x:v>
      </x:c>
      <x:c r="AM718" s="8" t="n">
        <x:v>0.4111</x:v>
      </x:c>
      <x:c r="AN718" s="3" t="n">
        <x:v>2</x:v>
      </x:c>
      <x:c r="AO718" s="3" t="s">
        <x:v>14</x:v>
      </x:c>
      <x:c r="AP718" s="3" t="s">
        <x:v>573</x:v>
      </x:c>
      <x:c r="AQ718" s="3" t="s">
        <x:v>533</x:v>
      </x:c>
      <x:c r="AR718" s="9" t="n">
        <x:v>701</x:v>
      </x:c>
      <x:c r="AS718" s="3" t="s">
        <x:v>121</x:v>
      </x:c>
      <x:c r="AT718" s="7" t="n">
        <x:v>46301.9166666667</x:v>
      </x:c>
    </x:row>
    <x:row r="719" ht="31.299999237060547" hidden="0">
      <x:c r="A719" s="3" t="s">
        <x:v>1284</x:v>
      </x:c>
      <x:c r="B719" s="3" t="s">
        <x:v>83</x:v>
      </x:c>
      <x:c r="C719" s="3" t="s">
        <x:v>96</x:v>
      </x:c>
      <x:c r="D719" s="3" t="s">
        <x:v>97</x:v>
      </x:c>
      <x:c r="E719" s="3" t="s">
        <x:v>249</x:v>
      </x:c>
      <x:c r="F719" s="3" t="s">
        <x:v>127</x:v>
      </x:c>
      <x:c r="G719" s="3" t="s">
        <x:v>428</x:v>
      </x:c>
      <x:c r="H719" s="3" t="s">
        <x:v>339</x:v>
      </x:c>
      <x:c r="I719" s="3" t="s">
        <x:v>102</x:v>
      </x:c>
      <x:c r="J719" s="3" t="s">
        <x:v>103</x:v>
      </x:c>
      <x:c r="K719" s="3" t="s">
        <x:v>104</x:v>
      </x:c>
      <x:c r="L719" s="3" t="s">
        <x:v>105</x:v>
      </x:c>
      <x:c r="M719" s="3" t="s">
        <x:v>106</x:v>
      </x:c>
      <x:c r="N719" s="3" t="s">
        <x:v>107</x:v>
      </x:c>
      <x:c r="O719" s="3" t="s">
        <x:v>108</x:v>
      </x:c>
      <x:c r="P719" s="3" t="s">
        <x:v>109</x:v>
      </x:c>
      <x:c r="Q719" s="3" t="s">
        <x:v>250</x:v>
      </x:c>
      <x:c r="R719" s="3" t="s">
        <x:v>214</x:v>
      </x:c>
      <x:c r="S719" s="3" t="s">
        <x:v>135</x:v>
      </x:c>
      <x:c r="T719" s="3" t="s">
        <x:v>111</x:v>
      </x:c>
      <x:c r="U719" s="3" t="s">
        <x:v>215</x:v>
      </x:c>
      <x:c r="V719" s="3" t="s">
        <x:v>216</x:v>
      </x:c>
      <x:c r="W719" s="3" t="s">
        <x:v>429</x:v>
      </x:c>
      <x:c r="X719" s="3" t="s">
        <x:v>430</x:v>
      </x:c>
      <x:c r="Y719" s="3" t="s">
        <x:v>431</x:v>
      </x:c>
      <x:c r="Z719" s="3" t="s">
        <x:v>219</x:v>
      </x:c>
      <x:c r="AA719" s="3" t="s">
        <x:v>118</x:v>
      </x:c>
      <x:c r="AB719" s="7" t="n">
        <x:v>46300.7541666667</x:v>
      </x:c>
      <x:c r="AC719" s="7" t="n">
        <x:v>46300.7583333333</x:v>
      </x:c>
      <x:c r="AD719" s="7" t="n">
        <x:v>46300.7638888889</x:v>
      </x:c>
      <x:c r="AE719" s="7" t="n">
        <x:v>46300.7840277778</x:v>
      </x:c>
      <x:c r="AF719" s="7" t="n">
        <x:v>46300.8034722222</x:v>
      </x:c>
      <x:c r="AG719" s="3" t="n">
        <x:v>43</x:v>
      </x:c>
      <x:c r="AH719" s="3" t="n">
        <x:v>23</x:v>
      </x:c>
      <x:c r="AI719" s="3" t="s">
        <x:v>111</x:v>
      </x:c>
      <x:c r="AJ719" s="3" t="s">
        <x:v>111</x:v>
      </x:c>
      <x:c r="AK719" s="3" t="n">
        <x:v>60</x:v>
      </x:c>
      <x:c r="AL719" s="3" t="n">
        <x:v>0</x:v>
      </x:c>
      <x:c r="AM719" s="8" t="n">
        <x:v>1.1</x:v>
      </x:c>
      <x:c r="AN719" s="3" t="n">
        <x:v>1</x:v>
      </x:c>
      <x:c r="AO719" s="3" t="s">
        <x:v>24</x:v>
      </x:c>
      <x:c r="AP719" s="3" t="s">
        <x:v>561</x:v>
      </x:c>
      <x:c r="AQ719" s="3" t="s">
        <x:v>562</x:v>
      </x:c>
      <x:c r="AR719" s="9" t="n">
        <x:v>939.1</x:v>
      </x:c>
      <x:c r="AS719" s="3" t="s">
        <x:v>185</x:v>
      </x:c>
      <x:c r="AT719" s="7" t="n">
        <x:v>46301.9166666667</x:v>
      </x:c>
    </x:row>
    <x:row r="720" ht="31.299999237060547" hidden="0">
      <x:c r="A720" s="3" t="s">
        <x:v>1285</x:v>
      </x:c>
      <x:c r="B720" s="3" t="s">
        <x:v>397</x:v>
      </x:c>
      <x:c r="C720" s="3" t="s">
        <x:v>398</x:v>
      </x:c>
      <x:c r="D720" s="3" t="s">
        <x:v>399</x:v>
      </x:c>
      <x:c r="E720" s="3" t="s">
        <x:v>249</x:v>
      </x:c>
      <x:c r="F720" s="3" t="s">
        <x:v>149</x:v>
      </x:c>
      <x:c r="G720" s="3" t="s">
        <x:v>469</x:v>
      </x:c>
      <x:c r="H720" s="3" t="s">
        <x:v>301</x:v>
      </x:c>
      <x:c r="I720" s="3" t="s">
        <x:v>302</x:v>
      </x:c>
      <x:c r="J720" s="3" t="s">
        <x:v>303</x:v>
      </x:c>
      <x:c r="K720" s="3" t="s">
        <x:v>104</x:v>
      </x:c>
      <x:c r="L720" s="3" t="s">
        <x:v>401</x:v>
      </x:c>
      <x:c r="M720" s="3" t="s">
        <x:v>402</x:v>
      </x:c>
      <x:c r="N720" s="3" t="s">
        <x:v>403</x:v>
      </x:c>
      <x:c r="O720" s="3" t="s">
        <x:v>404</x:v>
      </x:c>
      <x:c r="P720" s="3" t="s">
        <x:v>405</x:v>
      </x:c>
      <x:c r="Q720" s="3" t="s">
        <x:v>406</x:v>
      </x:c>
      <x:c r="R720" s="3" t="s">
        <x:v>110</x:v>
      </x:c>
      <x:c r="S720" s="3" t="s">
        <x:v>111</x:v>
      </x:c>
      <x:c r="T720" s="3" t="s">
        <x:v>111</x:v>
      </x:c>
      <x:c r="U720" s="3" t="s">
        <x:v>112</x:v>
      </x:c>
      <x:c r="V720" s="3" t="s">
        <x:v>113</x:v>
      </x:c>
      <x:c r="W720" s="3" t="s">
        <x:v>114</x:v>
      </x:c>
      <x:c r="X720" s="3" t="s">
        <x:v>115</x:v>
      </x:c>
      <x:c r="Y720" s="3" t="s">
        <x:v>116</x:v>
      </x:c>
      <x:c r="Z720" s="3" t="s">
        <x:v>117</x:v>
      </x:c>
      <x:c r="AA720" s="3" t="s">
        <x:v>118</x:v>
      </x:c>
      <x:c r="AB720" s="7" t="n">
        <x:v>46300.8083333333</x:v>
      </x:c>
      <x:c r="AC720" s="7" t="n">
        <x:v>46300.8118055556</x:v>
      </x:c>
      <x:c r="AD720" s="7" t="n">
        <x:v>46300.8166666667</x:v>
      </x:c>
      <x:c r="AE720" s="7" t="n">
        <x:v>46300.8347222222</x:v>
      </x:c>
      <x:c r="AF720" s="7" t="n">
        <x:v>46300.8479166667</x:v>
      </x:c>
      <x:c r="AG720" s="3" t="n">
        <x:v>38</x:v>
      </x:c>
      <x:c r="AH720" s="3" t="n">
        <x:v>12</x:v>
      </x:c>
      <x:c r="AI720" s="3" t="s">
        <x:v>135</x:v>
      </x:c>
      <x:c r="AJ720" s="3" t="s">
        <x:v>135</x:v>
      </x:c>
      <x:c r="AK720" s="3" t="n">
        <x:v>120</x:v>
      </x:c>
      <x:c r="AL720" s="3" t="n">
        <x:v>0</x:v>
      </x:c>
      <x:c r="AM720" s="8" t="n">
        <x:v>0.4167</x:v>
      </x:c>
      <x:c r="AN720" s="3" t="n">
        <x:v>3</x:v>
      </x:c>
      <x:c r="AO720" s="3" t="s">
        <x:v>14</x:v>
      </x:c>
      <x:c r="AP720" s="3" t="s">
        <x:v>183</x:v>
      </x:c>
      <x:c r="AQ720" s="3" t="s">
        <x:v>872</x:v>
      </x:c>
      <x:c r="AR720" s="9" t="n">
        <x:v>767.4</x:v>
      </x:c>
      <x:c r="AS720" s="3" t="s">
        <x:v>185</x:v>
      </x:c>
      <x:c r="AT720" s="7" t="n">
        <x:v>46301.9166666667</x:v>
      </x:c>
    </x:row>
    <x:row r="721" ht="31.299999237060547" hidden="0">
      <x:c r="A721" s="3" t="s">
        <x:v>1286</x:v>
      </x:c>
      <x:c r="B721" s="3" t="s">
        <x:v>187</x:v>
      </x:c>
      <x:c r="C721" s="3" t="s">
        <x:v>188</x:v>
      </x:c>
      <x:c r="D721" s="3" t="s">
        <x:v>189</x:v>
      </x:c>
      <x:c r="E721" s="3" t="s">
        <x:v>249</x:v>
      </x:c>
      <x:c r="F721" s="3" t="s">
        <x:v>99</x:v>
      </x:c>
      <x:c r="G721" s="3" t="s">
        <x:v>456</x:v>
      </x:c>
      <x:c r="H721" s="3" t="s">
        <x:v>343</x:v>
      </x:c>
      <x:c r="I721" s="3" t="s">
        <x:v>102</x:v>
      </x:c>
      <x:c r="J721" s="3" t="s">
        <x:v>103</x:v>
      </x:c>
      <x:c r="K721" s="3" t="s">
        <x:v>104</x:v>
      </x:c>
      <x:c r="L721" s="3" t="s">
        <x:v>191</x:v>
      </x:c>
      <x:c r="M721" s="3" t="s">
        <x:v>192</x:v>
      </x:c>
      <x:c r="N721" s="3" t="s">
        <x:v>193</x:v>
      </x:c>
      <x:c r="O721" s="3" t="s">
        <x:v>194</x:v>
      </x:c>
      <x:c r="P721" s="3" t="s">
        <x:v>195</x:v>
      </x:c>
      <x:c r="Q721" s="3" t="s">
        <x:v>273</x:v>
      </x:c>
      <x:c r="R721" s="3" t="s">
        <x:v>391</x:v>
      </x:c>
      <x:c r="S721" s="3" t="s">
        <x:v>135</x:v>
      </x:c>
      <x:c r="T721" s="3" t="s">
        <x:v>135</x:v>
      </x:c>
      <x:c r="U721" s="3" t="s">
        <x:v>392</x:v>
      </x:c>
      <x:c r="V721" s="3" t="s">
        <x:v>312</x:v>
      </x:c>
      <x:c r="W721" s="3" t="s">
        <x:v>382</x:v>
      </x:c>
      <x:c r="X721" s="3" t="s">
        <x:v>314</x:v>
      </x:c>
      <x:c r="Y721" s="3" t="s">
        <x:v>383</x:v>
      </x:c>
      <x:c r="Z721" s="3" t="s">
        <x:v>393</x:v>
      </x:c>
      <x:c r="AA721" s="3" t="s">
        <x:v>394</x:v>
      </x:c>
      <x:c r="AB721" s="7" t="n">
        <x:v>46300.8375</x:v>
      </x:c>
      <x:c r="AC721" s="7" t="n">
        <x:v>46300.8388888889</x:v>
      </x:c>
      <x:c r="AD721" s="7" t="n">
        <x:v>46300.8451388889</x:v>
      </x:c>
      <x:c r="AE721" s="7" t="n">
        <x:v>46300.86875</x:v>
      </x:c>
      <x:c r="AF721" s="7" t="n">
        <x:v>46300.8972222222</x:v>
      </x:c>
      <x:c r="AG721" s="3" t="n">
        <x:v>45</x:v>
      </x:c>
      <x:c r="AH721" s="3" t="n">
        <x:v>33</x:v>
      </x:c>
      <x:c r="AI721" s="3" t="s">
        <x:v>135</x:v>
      </x:c>
      <x:c r="AJ721" s="3" t="s">
        <x:v>111</x:v>
      </x:c>
      <x:c r="AK721" s="3" t="n">
        <x:v>150</x:v>
      </x:c>
      <x:c r="AL721" s="3" t="n">
        <x:v>0</x:v>
      </x:c>
      <x:c r="AM721" s="8" t="n">
        <x:v>0.52</x:v>
      </x:c>
      <x:c r="AN721" s="3" t="n">
        <x:v>1</x:v>
      </x:c>
      <x:c r="AO721" s="3" t="s">
        <x:v>9</x:v>
      </x:c>
      <x:c r="AP721" s="3" t="s">
        <x:v>584</x:v>
      </x:c>
      <x:c r="AQ721" s="3" t="s">
        <x:v>689</x:v>
      </x:c>
      <x:c r="AR721" s="9" t="n">
        <x:v>1080.1</x:v>
      </x:c>
      <x:c r="AS721" s="3" t="s">
        <x:v>121</x:v>
      </x:c>
      <x:c r="AT721" s="7" t="n">
        <x:v>46301.9166666667</x:v>
      </x:c>
    </x:row>
    <x:row r="722" ht="31.299999237060547" hidden="0">
      <x:c r="A722" s="3" t="s">
        <x:v>1287</x:v>
      </x:c>
      <x:c r="B722" s="3" t="s">
        <x:v>146</x:v>
      </x:c>
      <x:c r="C722" s="3" t="s">
        <x:v>147</x:v>
      </x:c>
      <x:c r="D722" s="3" t="s">
        <x:v>148</x:v>
      </x:c>
      <x:c r="E722" s="3" t="s">
        <x:v>249</x:v>
      </x:c>
      <x:c r="F722" s="3" t="s">
        <x:v>99</x:v>
      </x:c>
      <x:c r="G722" s="3" t="s">
        <x:v>447</x:v>
      </x:c>
      <x:c r="H722" s="3" t="s">
        <x:v>343</x:v>
      </x:c>
      <x:c r="I722" s="3" t="s">
        <x:v>102</x:v>
      </x:c>
      <x:c r="J722" s="3" t="s">
        <x:v>103</x:v>
      </x:c>
      <x:c r="K722" s="3" t="s">
        <x:v>104</x:v>
      </x:c>
      <x:c r="L722" s="3" t="s">
        <x:v>151</x:v>
      </x:c>
      <x:c r="M722" s="3" t="s">
        <x:v>152</x:v>
      </x:c>
      <x:c r="N722" s="3" t="s">
        <x:v>153</x:v>
      </x:c>
      <x:c r="O722" s="3" t="s">
        <x:v>154</x:v>
      </x:c>
      <x:c r="P722" s="3" t="s">
        <x:v>155</x:v>
      </x:c>
      <x:c r="Q722" s="3" t="s">
        <x:v>270</x:v>
      </x:c>
      <x:c r="R722" s="3" t="s">
        <x:v>344</x:v>
      </x:c>
      <x:c r="S722" s="3" t="s">
        <x:v>111</x:v>
      </x:c>
      <x:c r="T722" s="3" t="s">
        <x:v>111</x:v>
      </x:c>
      <x:c r="U722" s="3" t="s">
        <x:v>345</x:v>
      </x:c>
      <x:c r="V722" s="3" t="s">
        <x:v>178</x:v>
      </x:c>
      <x:c r="W722" s="3" t="s">
        <x:v>179</x:v>
      </x:c>
      <x:c r="X722" s="3" t="s">
        <x:v>180</x:v>
      </x:c>
      <x:c r="Y722" s="3" t="s">
        <x:v>414</x:v>
      </x:c>
      <x:c r="Z722" s="3" t="s">
        <x:v>346</x:v>
      </x:c>
      <x:c r="AA722" s="3" t="s">
        <x:v>118</x:v>
      </x:c>
      <x:c r="AB722" s="7" t="n">
        <x:v>46300.8395833333</x:v>
      </x:c>
      <x:c r="AC722" s="7" t="n">
        <x:v>46300.8430555556</x:v>
      </x:c>
      <x:c r="AD722" s="7" t="n">
        <x:v>46300.8458333333</x:v>
      </x:c>
      <x:c r="AE722" s="7" t="n">
        <x:v>46300.8604166667</x:v>
      </x:c>
      <x:c r="AF722" s="7" t="n">
        <x:v>46300.8847222222</x:v>
      </x:c>
      <x:c r="AG722" s="3" t="n">
        <x:v>30</x:v>
      </x:c>
      <x:c r="AH722" s="3" t="n">
        <x:v>32</x:v>
      </x:c>
      <x:c r="AI722" s="3" t="s">
        <x:v>135</x:v>
      </x:c>
      <x:c r="AJ722" s="3" t="s">
        <x:v>135</x:v>
      </x:c>
      <x:c r="AK722" s="3" t="n">
        <x:v>120</x:v>
      </x:c>
      <x:c r="AL722" s="3" t="n">
        <x:v>0</x:v>
      </x:c>
      <x:c r="AM722" s="8" t="n">
        <x:v>0.5167</x:v>
      </x:c>
      <x:c r="AN722" s="3" t="n">
        <x:v>1</x:v>
      </x:c>
      <x:c r="AO722" s="3" t="s">
        <x:v>9</x:v>
      </x:c>
      <x:c r="AP722" s="3" t="s">
        <x:v>500</x:v>
      </x:c>
      <x:c r="AQ722" s="3" t="s">
        <x:v>533</x:v>
      </x:c>
      <x:c r="AR722" s="9" t="n">
        <x:v>625.4</x:v>
      </x:c>
      <x:c r="AS722" s="3" t="s">
        <x:v>121</x:v>
      </x:c>
      <x:c r="AT722" s="7" t="n">
        <x:v>46301.9166666667</x:v>
      </x:c>
    </x:row>
    <x:row r="723" ht="31.299999237060547" hidden="0">
      <x:c r="A723" s="3" t="s">
        <x:v>1288</x:v>
      </x:c>
      <x:c r="B723" s="3" t="s">
        <x:v>205</x:v>
      </x:c>
      <x:c r="C723" s="3" t="s">
        <x:v>206</x:v>
      </x:c>
      <x:c r="D723" s="3" t="s">
        <x:v>207</x:v>
      </x:c>
      <x:c r="E723" s="3" t="s">
        <x:v>249</x:v>
      </x:c>
      <x:c r="F723" s="3" t="s">
        <x:v>169</x:v>
      </x:c>
      <x:c r="G723" s="3" t="s">
        <x:v>443</x:v>
      </x:c>
      <x:c r="H723" s="3" t="s">
        <x:v>101</x:v>
      </x:c>
      <x:c r="I723" s="3" t="s">
        <x:v>102</x:v>
      </x:c>
      <x:c r="J723" s="3" t="s">
        <x:v>103</x:v>
      </x:c>
      <x:c r="K723" s="3" t="s">
        <x:v>104</x:v>
      </x:c>
      <x:c r="L723" s="3" t="s">
        <x:v>209</x:v>
      </x:c>
      <x:c r="M723" s="3" t="s">
        <x:v>210</x:v>
      </x:c>
      <x:c r="N723" s="3" t="s">
        <x:v>211</x:v>
      </x:c>
      <x:c r="O723" s="3" t="s">
        <x:v>212</x:v>
      </x:c>
      <x:c r="P723" s="3" t="s">
        <x:v>213</x:v>
      </x:c>
      <x:c r="Q723" s="3" t="s">
        <x:v>254</x:v>
      </x:c>
      <x:c r="R723" s="3" t="s">
        <x:v>330</x:v>
      </x:c>
      <x:c r="S723" s="3" t="s">
        <x:v>135</x:v>
      </x:c>
      <x:c r="T723" s="3" t="s">
        <x:v>111</x:v>
      </x:c>
      <x:c r="U723" s="3" t="s">
        <x:v>331</x:v>
      </x:c>
      <x:c r="V723" s="3" t="s">
        <x:v>178</x:v>
      </x:c>
      <x:c r="W723" s="3" t="s">
        <x:v>355</x:v>
      </x:c>
      <x:c r="X723" s="3" t="s">
        <x:v>180</x:v>
      </x:c>
      <x:c r="Y723" s="3" t="s">
        <x:v>356</x:v>
      </x:c>
      <x:c r="Z723" s="3" t="s">
        <x:v>334</x:v>
      </x:c>
      <x:c r="AA723" s="3" t="s">
        <x:v>118</x:v>
      </x:c>
      <x:c r="AB723" s="7" t="n">
        <x:v>46300.8479166667</x:v>
      </x:c>
      <x:c r="AC723" s="7" t="n">
        <x:v>46300.8513888889</x:v>
      </x:c>
      <x:c r="AD723" s="7" t="n">
        <x:v>46300.8534722222</x:v>
      </x:c>
      <x:c r="AE723" s="7" t="n">
        <x:v>46300.8680555556</x:v>
      </x:c>
      <x:c r="AF723" s="7" t="n">
        <x:v>46300.9027777778</x:v>
      </x:c>
      <x:c r="AG723" s="3" t="n">
        <x:v>29</x:v>
      </x:c>
      <x:c r="AH723" s="3" t="n">
        <x:v>42</x:v>
      </x:c>
      <x:c r="AI723" s="3" t="s">
        <x:v>135</x:v>
      </x:c>
      <x:c r="AJ723" s="3" t="s">
        <x:v>135</x:v>
      </x:c>
      <x:c r="AK723" s="3" t="n">
        <x:v>180</x:v>
      </x:c>
      <x:c r="AL723" s="3" t="n">
        <x:v>0</x:v>
      </x:c>
      <x:c r="AM723" s="8" t="n">
        <x:v>0.3944</x:v>
      </x:c>
      <x:c r="AN723" s="3" t="n">
        <x:v>1</x:v>
      </x:c>
      <x:c r="AO723" s="3" t="s">
        <x:v>9</x:v>
      </x:c>
      <x:c r="AP723" s="3" t="s">
        <x:v>500</x:v>
      </x:c>
      <x:c r="AQ723" s="3" t="s">
        <x:v>697</x:v>
      </x:c>
      <x:c r="AR723" s="9" t="n">
        <x:v>692.9</x:v>
      </x:c>
      <x:c r="AS723" s="3" t="s">
        <x:v>121</x:v>
      </x:c>
      <x:c r="AT723" s="7" t="n">
        <x:v>46301.9166666667</x:v>
      </x:c>
    </x:row>
    <x:row r="724" ht="31.299999237060547" hidden="0">
      <x:c r="A724" s="3" t="s">
        <x:v>1289</x:v>
      </x:c>
      <x:c r="B724" s="3" t="s">
        <x:v>222</x:v>
      </x:c>
      <x:c r="C724" s="3" t="s">
        <x:v>223</x:v>
      </x:c>
      <x:c r="D724" s="3" t="s">
        <x:v>224</x:v>
      </x:c>
      <x:c r="E724" s="3" t="s">
        <x:v>249</x:v>
      </x:c>
      <x:c r="F724" s="3" t="s">
        <x:v>99</x:v>
      </x:c>
      <x:c r="G724" s="3" t="s">
        <x:v>359</x:v>
      </x:c>
      <x:c r="H724" s="3" t="s">
        <x:v>101</x:v>
      </x:c>
      <x:c r="I724" s="3" t="s">
        <x:v>102</x:v>
      </x:c>
      <x:c r="J724" s="3" t="s">
        <x:v>103</x:v>
      </x:c>
      <x:c r="K724" s="3" t="s">
        <x:v>104</x:v>
      </x:c>
      <x:c r="L724" s="3" t="s">
        <x:v>226</x:v>
      </x:c>
      <x:c r="M724" s="3" t="s">
        <x:v>227</x:v>
      </x:c>
      <x:c r="N724" s="3" t="s">
        <x:v>228</x:v>
      </x:c>
      <x:c r="O724" s="3" t="s">
        <x:v>229</x:v>
      </x:c>
      <x:c r="P724" s="3" t="s">
        <x:v>230</x:v>
      </x:c>
      <x:c r="Q724" s="3" t="s">
        <x:v>274</x:v>
      </x:c>
      <x:c r="R724" s="3" t="s">
        <x:v>156</x:v>
      </x:c>
      <x:c r="S724" s="3" t="s">
        <x:v>135</x:v>
      </x:c>
      <x:c r="T724" s="3" t="s">
        <x:v>111</x:v>
      </x:c>
      <x:c r="U724" s="3" t="s">
        <x:v>157</x:v>
      </x:c>
      <x:c r="V724" s="3" t="s">
        <x:v>158</x:v>
      </x:c>
      <x:c r="W724" s="3" t="s">
        <x:v>450</x:v>
      </x:c>
      <x:c r="X724" s="3" t="s">
        <x:v>160</x:v>
      </x:c>
      <x:c r="Y724" s="3" t="s">
        <x:v>451</x:v>
      </x:c>
      <x:c r="Z724" s="3" t="s">
        <x:v>162</x:v>
      </x:c>
      <x:c r="AA724" s="3" t="s">
        <x:v>118</x:v>
      </x:c>
      <x:c r="AB724" s="7" t="n">
        <x:v>46301.3354166667</x:v>
      </x:c>
      <x:c r="AC724" s="7" t="n">
        <x:v>46301.3368055556</x:v>
      </x:c>
      <x:c r="AD724" s="7" t="n">
        <x:v>46301.3430555556</x:v>
      </x:c>
      <x:c r="AE724" s="7" t="n">
        <x:v>46301.3534722222</x:v>
      </x:c>
      <x:c r="AF724" s="7" t="n">
        <x:v>46301.4</x:v>
      </x:c>
      <x:c r="AG724" s="3" t="n">
        <x:v>26</x:v>
      </x:c>
      <x:c r="AH724" s="3" t="n">
        <x:v>63</x:v>
      </x:c>
      <x:c r="AI724" s="3" t="s">
        <x:v>135</x:v>
      </x:c>
      <x:c r="AJ724" s="3" t="s">
        <x:v>135</x:v>
      </x:c>
      <x:c r="AK724" s="3" t="n">
        <x:v>180</x:v>
      </x:c>
      <x:c r="AL724" s="3" t="n">
        <x:v>0</x:v>
      </x:c>
      <x:c r="AM724" s="8" t="n">
        <x:v>0.4944</x:v>
      </x:c>
      <x:c r="AN724" s="3" t="n">
        <x:v>4</x:v>
      </x:c>
      <x:c r="AO724" s="3" t="s">
        <x:v>14</x:v>
      </x:c>
      <x:c r="AP724" s="3" t="s">
        <x:v>889</x:v>
      </x:c>
      <x:c r="AQ724" s="3" t="s">
        <x:v>1216</x:v>
      </x:c>
      <x:c r="AR724" s="9" t="n">
        <x:v>1080.6</x:v>
      </x:c>
      <x:c r="AS724" s="3" t="s">
        <x:v>185</x:v>
      </x:c>
      <x:c r="AT724" s="7" t="n">
        <x:v>46301.9166666667</x:v>
      </x:c>
    </x:row>
    <x:row r="725" ht="31.299999237060547" hidden="0">
      <x:c r="A725" s="3" t="s">
        <x:v>1290</x:v>
      </x:c>
      <x:c r="B725" s="3" t="s">
        <x:v>321</x:v>
      </x:c>
      <x:c r="C725" s="3" t="s">
        <x:v>322</x:v>
      </x:c>
      <x:c r="D725" s="3" t="s">
        <x:v>323</x:v>
      </x:c>
      <x:c r="E725" s="3" t="s">
        <x:v>249</x:v>
      </x:c>
      <x:c r="F725" s="3" t="s">
        <x:v>169</x:v>
      </x:c>
      <x:c r="G725" s="3" t="s">
        <x:v>300</x:v>
      </x:c>
      <x:c r="H725" s="3" t="s">
        <x:v>301</x:v>
      </x:c>
      <x:c r="I725" s="3" t="s">
        <x:v>302</x:v>
      </x:c>
      <x:c r="J725" s="3" t="s">
        <x:v>303</x:v>
      </x:c>
      <x:c r="K725" s="3" t="s">
        <x:v>104</x:v>
      </x:c>
      <x:c r="L725" s="3" t="s">
        <x:v>325</x:v>
      </x:c>
      <x:c r="M725" s="3" t="s">
        <x:v>326</x:v>
      </x:c>
      <x:c r="N725" s="3" t="s">
        <x:v>131</x:v>
      </x:c>
      <x:c r="O725" s="3" t="s">
        <x:v>327</x:v>
      </x:c>
      <x:c r="P725" s="3" t="s">
        <x:v>328</x:v>
      </x:c>
      <x:c r="Q725" s="3" t="s">
        <x:v>329</x:v>
      </x:c>
      <x:c r="R725" s="3" t="s">
        <x:v>310</x:v>
      </x:c>
      <x:c r="S725" s="3" t="s">
        <x:v>135</x:v>
      </x:c>
      <x:c r="T725" s="3" t="s">
        <x:v>111</x:v>
      </x:c>
      <x:c r="U725" s="3" t="s">
        <x:v>311</x:v>
      </x:c>
      <x:c r="V725" s="3" t="s">
        <x:v>312</x:v>
      </x:c>
      <x:c r="W725" s="3" t="s">
        <x:v>313</x:v>
      </x:c>
      <x:c r="X725" s="3" t="s">
        <x:v>314</x:v>
      </x:c>
      <x:c r="Y725" s="3" t="s">
        <x:v>315</x:v>
      </x:c>
      <x:c r="Z725" s="3" t="s">
        <x:v>316</x:v>
      </x:c>
      <x:c r="AA725" s="3" t="s">
        <x:v>317</x:v>
      </x:c>
      <x:c r="AB725" s="7" t="n">
        <x:v>46301.38125</x:v>
      </x:c>
      <x:c r="AC725" s="7" t="n">
        <x:v>46301.3833333333</x:v>
      </x:c>
      <x:c r="AD725" s="7" t="n">
        <x:v>46301.3854166667</x:v>
      </x:c>
      <x:c r="AE725" s="7" t="n">
        <x:v>46301.4145833333</x:v>
      </x:c>
      <x:c r="AF725" s="7" t="n">
        <x:v>46301.4305555556</x:v>
      </x:c>
      <x:c r="AG725" s="3" t="n">
        <x:v>48</x:v>
      </x:c>
      <x:c r="AH725" s="3" t="n">
        <x:v>16</x:v>
      </x:c>
      <x:c r="AI725" s="3" t="s">
        <x:v>135</x:v>
      </x:c>
      <x:c r="AJ725" s="3" t="s">
        <x:v>111</x:v>
      </x:c>
      <x:c r="AK725" s="3" t="n">
        <x:v>180</x:v>
      </x:c>
      <x:c r="AL725" s="3" t="n">
        <x:v>0</x:v>
      </x:c>
      <x:c r="AM725" s="8" t="n">
        <x:v>0.3556</x:v>
      </x:c>
      <x:c r="AN725" s="3" t="n">
        <x:v>0</x:v>
      </x:c>
      <x:c r="AO725" s="3" t="s">
        <x:v>9</x:v>
      </x:c>
      <x:c r="AP725" s="3" t="s">
        <x:v>335</x:v>
      </x:c>
      <x:c r="AQ725" s="3" t="s">
        <x:v>336</x:v>
      </x:c>
      <x:c r="AR725" s="9" t="n">
        <x:v>591.2</x:v>
      </x:c>
      <x:c r="AS725" s="3" t="s">
        <x:v>144</x:v>
      </x:c>
      <x:c r="AT725" s="7" t="n">
        <x:v>46301.9166666667</x:v>
      </x:c>
    </x:row>
    <x:row r="726" ht="31.299999237060547" hidden="0">
      <x:c r="A726" s="3" t="s">
        <x:v>1291</x:v>
      </x:c>
      <x:c r="B726" s="3" t="s">
        <x:v>123</x:v>
      </x:c>
      <x:c r="C726" s="3" t="s">
        <x:v>124</x:v>
      </x:c>
      <x:c r="D726" s="3" t="s">
        <x:v>125</x:v>
      </x:c>
      <x:c r="E726" s="3" t="s">
        <x:v>98</x:v>
      </x:c>
      <x:c r="F726" s="3" t="s">
        <x:v>169</x:v>
      </x:c>
      <x:c r="G726" s="3" t="s">
        <x:v>359</x:v>
      </x:c>
      <x:c r="H726" s="3" t="s">
        <x:v>101</x:v>
      </x:c>
      <x:c r="I726" s="3" t="s">
        <x:v>102</x:v>
      </x:c>
      <x:c r="J726" s="3" t="s">
        <x:v>103</x:v>
      </x:c>
      <x:c r="K726" s="3" t="s">
        <x:v>104</x:v>
      </x:c>
      <x:c r="L726" s="3" t="s">
        <x:v>129</x:v>
      </x:c>
      <x:c r="M726" s="3" t="s">
        <x:v>130</x:v>
      </x:c>
      <x:c r="N726" s="3" t="s">
        <x:v>131</x:v>
      </x:c>
      <x:c r="O726" s="3" t="s">
        <x:v>132</x:v>
      </x:c>
      <x:c r="P726" s="3" t="s">
        <x:v>133</x:v>
      </x:c>
      <x:c r="Q726" s="3"/>
      <x:c r="R726" s="3" t="s">
        <x:v>156</x:v>
      </x:c>
      <x:c r="S726" s="3" t="s">
        <x:v>135</x:v>
      </x:c>
      <x:c r="T726" s="3" t="s">
        <x:v>111</x:v>
      </x:c>
      <x:c r="U726" s="3" t="s">
        <x:v>157</x:v>
      </x:c>
      <x:c r="V726" s="3" t="s">
        <x:v>158</x:v>
      </x:c>
      <x:c r="W726" s="3" t="s">
        <x:v>159</x:v>
      </x:c>
      <x:c r="X726" s="3" t="s">
        <x:v>160</x:v>
      </x:c>
      <x:c r="Y726" s="3" t="s">
        <x:v>360</x:v>
      </x:c>
      <x:c r="Z726" s="3" t="s">
        <x:v>162</x:v>
      </x:c>
      <x:c r="AA726" s="3" t="s">
        <x:v>118</x:v>
      </x:c>
      <x:c r="AB726" s="7" t="n">
        <x:v>46301.8458333333</x:v>
      </x:c>
      <x:c r="AC726" s="7" t="n">
        <x:v>46301.8479166667</x:v>
      </x:c>
      <x:c r="AD726" s="7" t="n">
        <x:v>46301.8513888889</x:v>
      </x:c>
      <x:c r="AE726" s="7" t="n">
        <x:v>46301.86875</x:v>
      </x:c>
      <x:c r="AF726" s="7"/>
      <x:c r="AG726" s="3" t="n">
        <x:v>33</x:v>
      </x:c>
      <x:c r="AH726" s="3"/>
      <x:c r="AI726" s="3" t="s">
        <x:v>135</x:v>
      </x:c>
      <x:c r="AJ726" s="3" t="s">
        <x:v>135</x:v>
      </x:c>
      <x:c r="AK726" s="3" t="n">
        <x:v>180</x:v>
      </x:c>
      <x:c r="AL726" s="3" t="n">
        <x:v>0</x:v>
      </x:c>
      <x:c r="AM726" s="8" t="n">
        <x:v>0.5667</x:v>
      </x:c>
      <x:c r="AN726" s="3" t="n">
        <x:v>1</x:v>
      </x:c>
      <x:c r="AO726" s="3" t="s">
        <x:v>14</x:v>
      </x:c>
      <x:c r="AP726" s="3" t="s">
        <x:v>252</x:v>
      </x:c>
      <x:c r="AQ726" s="3" t="s">
        <x:v>472</x:v>
      </x:c>
      <x:c r="AR726" s="9" t="n">
        <x:v>510</x:v>
      </x:c>
      <x:c r="AS726" s="3" t="s">
        <x:v>144</x:v>
      </x:c>
      <x:c r="AT726" s="7" t="n">
        <x:v>46301.9166666667</x:v>
      </x:c>
    </x:row>
    <x:row r="727" ht="31.299999237060547" hidden="0">
      <x:c r="A727" s="3" t="s">
        <x:v>1292</x:v>
      </x:c>
      <x:c r="B727" s="3" t="s">
        <x:v>166</x:v>
      </x:c>
      <x:c r="C727" s="3" t="s">
        <x:v>167</x:v>
      </x:c>
      <x:c r="D727" s="3" t="s">
        <x:v>168</x:v>
      </x:c>
      <x:c r="E727" s="3" t="s">
        <x:v>98</x:v>
      </x:c>
      <x:c r="F727" s="3" t="s">
        <x:v>127</x:v>
      </x:c>
      <x:c r="G727" s="3" t="s">
        <x:v>372</x:v>
      </x:c>
      <x:c r="H727" s="3" t="s">
        <x:v>101</x:v>
      </x:c>
      <x:c r="I727" s="3" t="s">
        <x:v>102</x:v>
      </x:c>
      <x:c r="J727" s="3" t="s">
        <x:v>103</x:v>
      </x:c>
      <x:c r="K727" s="3" t="s">
        <x:v>104</x:v>
      </x:c>
      <x:c r="L727" s="3" t="s">
        <x:v>171</x:v>
      </x:c>
      <x:c r="M727" s="3" t="s">
        <x:v>172</x:v>
      </x:c>
      <x:c r="N727" s="3" t="s">
        <x:v>173</x:v>
      </x:c>
      <x:c r="O727" s="3" t="s">
        <x:v>174</x:v>
      </x:c>
      <x:c r="P727" s="3" t="s">
        <x:v>175</x:v>
      </x:c>
      <x:c r="Q727" s="3"/>
      <x:c r="R727" s="3" t="s">
        <x:v>373</x:v>
      </x:c>
      <x:c r="S727" s="3" t="s">
        <x:v>135</x:v>
      </x:c>
      <x:c r="T727" s="3" t="s">
        <x:v>111</x:v>
      </x:c>
      <x:c r="U727" s="3" t="s">
        <x:v>374</x:v>
      </x:c>
      <x:c r="V727" s="3" t="s">
        <x:v>178</x:v>
      </x:c>
      <x:c r="W727" s="3" t="s">
        <x:v>332</x:v>
      </x:c>
      <x:c r="X727" s="3" t="s">
        <x:v>180</x:v>
      </x:c>
      <x:c r="Y727" s="3" t="s">
        <x:v>333</x:v>
      </x:c>
      <x:c r="Z727" s="3" t="s">
        <x:v>375</x:v>
      </x:c>
      <x:c r="AA727" s="3" t="s">
        <x:v>118</x:v>
      </x:c>
      <x:c r="AB727" s="7" t="n">
        <x:v>46301.8527777778</x:v>
      </x:c>
      <x:c r="AC727" s="7" t="n">
        <x:v>46301.8548611111</x:v>
      </x:c>
      <x:c r="AD727" s="7" t="n">
        <x:v>46301.8583333333</x:v>
      </x:c>
      <x:c r="AE727" s="7" t="n">
        <x:v>46301.875</x:v>
      </x:c>
      <x:c r="AF727" s="7"/>
      <x:c r="AG727" s="3" t="n">
        <x:v>32</x:v>
      </x:c>
      <x:c r="AH727" s="3"/>
      <x:c r="AI727" s="3" t="s">
        <x:v>135</x:v>
      </x:c>
      <x:c r="AJ727" s="3" t="s">
        <x:v>135</x:v>
      </x:c>
      <x:c r="AK727" s="3" t="n">
        <x:v>150</x:v>
      </x:c>
      <x:c r="AL727" s="3" t="n">
        <x:v>0</x:v>
      </x:c>
      <x:c r="AM727" s="8" t="n">
        <x:v>0.6133</x:v>
      </x:c>
      <x:c r="AN727" s="3" t="n">
        <x:v>0</x:v>
      </x:c>
      <x:c r="AO727" s="3" t="s">
        <x:v>14</x:v>
      </x:c>
      <x:c r="AP727" s="3" t="s">
        <x:v>252</x:v>
      </x:c>
      <x:c r="AQ727" s="3" t="s">
        <x:v>361</x:v>
      </x:c>
      <x:c r="AR727" s="9" t="n">
        <x:v>890</x:v>
      </x:c>
      <x:c r="AS727" s="3" t="s">
        <x:v>121</x:v>
      </x:c>
      <x:c r="AT727" s="7" t="n">
        <x:v>46301.9166666667</x:v>
      </x:c>
    </x:row>
    <x:row r="728" ht="31.299999237060547" hidden="0">
      <x:c r="A728" s="3" t="s">
        <x:v>1293</x:v>
      </x:c>
      <x:c r="B728" s="3" t="s">
        <x:v>397</x:v>
      </x:c>
      <x:c r="C728" s="3" t="s">
        <x:v>398</x:v>
      </x:c>
      <x:c r="D728" s="3" t="s">
        <x:v>399</x:v>
      </x:c>
      <x:c r="E728" s="3" t="s">
        <x:v>98</x:v>
      </x:c>
      <x:c r="F728" s="3" t="s">
        <x:v>149</x:v>
      </x:c>
      <x:c r="G728" s="3" t="s">
        <x:v>480</x:v>
      </x:c>
      <x:c r="H728" s="3" t="s">
        <x:v>301</x:v>
      </x:c>
      <x:c r="I728" s="3" t="s">
        <x:v>302</x:v>
      </x:c>
      <x:c r="J728" s="3" t="s">
        <x:v>303</x:v>
      </x:c>
      <x:c r="K728" s="3" t="s">
        <x:v>104</x:v>
      </x:c>
      <x:c r="L728" s="3" t="s">
        <x:v>401</x:v>
      </x:c>
      <x:c r="M728" s="3" t="s">
        <x:v>402</x:v>
      </x:c>
      <x:c r="N728" s="3" t="s">
        <x:v>403</x:v>
      </x:c>
      <x:c r="O728" s="3" t="s">
        <x:v>404</x:v>
      </x:c>
      <x:c r="P728" s="3" t="s">
        <x:v>405</x:v>
      </x:c>
      <x:c r="Q728" s="3"/>
      <x:c r="R728" s="3" t="s">
        <x:v>134</x:v>
      </x:c>
      <x:c r="S728" s="3" t="s">
        <x:v>135</x:v>
      </x:c>
      <x:c r="T728" s="3" t="s">
        <x:v>111</x:v>
      </x:c>
      <x:c r="U728" s="3" t="s">
        <x:v>136</x:v>
      </x:c>
      <x:c r="V728" s="3" t="s">
        <x:v>137</x:v>
      </x:c>
      <x:c r="W728" s="3" t="s">
        <x:v>138</x:v>
      </x:c>
      <x:c r="X728" s="3" t="s">
        <x:v>139</x:v>
      </x:c>
      <x:c r="Y728" s="3" t="s">
        <x:v>454</x:v>
      </x:c>
      <x:c r="Z728" s="3" t="s">
        <x:v>141</x:v>
      </x:c>
      <x:c r="AA728" s="3" t="s">
        <x:v>118</x:v>
      </x:c>
      <x:c r="AB728" s="7" t="n">
        <x:v>46301.8590277778</x:v>
      </x:c>
      <x:c r="AC728" s="7" t="n">
        <x:v>46301.8611111111</x:v>
      </x:c>
      <x:c r="AD728" s="7" t="n">
        <x:v>46301.8645833333</x:v>
      </x:c>
      <x:c r="AE728" s="7" t="n">
        <x:v>46301.8805555556</x:v>
      </x:c>
      <x:c r="AF728" s="7"/>
      <x:c r="AG728" s="3" t="n">
        <x:v>31</x:v>
      </x:c>
      <x:c r="AH728" s="3"/>
      <x:c r="AI728" s="3" t="s">
        <x:v>135</x:v>
      </x:c>
      <x:c r="AJ728" s="3" t="s">
        <x:v>135</x:v>
      </x:c>
      <x:c r="AK728" s="3" t="n">
        <x:v>180</x:v>
      </x:c>
      <x:c r="AL728" s="3" t="n">
        <x:v>0</x:v>
      </x:c>
      <x:c r="AM728" s="8" t="n">
        <x:v>0.4611</x:v>
      </x:c>
      <x:c r="AN728" s="3" t="n">
        <x:v>2</x:v>
      </x:c>
      <x:c r="AO728" s="3" t="s">
        <x:v>14</x:v>
      </x:c>
      <x:c r="AP728" s="3" t="s">
        <x:v>163</x:v>
      </x:c>
      <x:c r="AQ728" s="3" t="s">
        <x:v>539</x:v>
      </x:c>
      <x:c r="AR728" s="9" t="n">
        <x:v>609.2</x:v>
      </x:c>
      <x:c r="AS728" s="3" t="s">
        <x:v>121</x:v>
      </x:c>
      <x:c r="AT728" s="7" t="n">
        <x:v>46301.9166666667</x:v>
      </x:c>
    </x:row>
    <x:row r="729" ht="31.299999237060547" hidden="0">
      <x:c r="A729" s="3" t="s">
        <x:v>1294</x:v>
      </x:c>
      <x:c r="B729" s="3" t="s">
        <x:v>166</x:v>
      </x:c>
      <x:c r="C729" s="3" t="s">
        <x:v>167</x:v>
      </x:c>
      <x:c r="D729" s="3" t="s">
        <x:v>168</x:v>
      </x:c>
      <x:c r="E729" s="3" t="s">
        <x:v>98</x:v>
      </x:c>
      <x:c r="F729" s="3" t="s">
        <x:v>169</x:v>
      </x:c>
      <x:c r="G729" s="3" t="s">
        <x:v>324</x:v>
      </x:c>
      <x:c r="H729" s="3" t="s">
        <x:v>301</x:v>
      </x:c>
      <x:c r="I729" s="3" t="s">
        <x:v>302</x:v>
      </x:c>
      <x:c r="J729" s="3" t="s">
        <x:v>303</x:v>
      </x:c>
      <x:c r="K729" s="3" t="s">
        <x:v>104</x:v>
      </x:c>
      <x:c r="L729" s="3" t="s">
        <x:v>171</x:v>
      </x:c>
      <x:c r="M729" s="3" t="s">
        <x:v>172</x:v>
      </x:c>
      <x:c r="N729" s="3" t="s">
        <x:v>173</x:v>
      </x:c>
      <x:c r="O729" s="3" t="s">
        <x:v>174</x:v>
      </x:c>
      <x:c r="P729" s="3" t="s">
        <x:v>175</x:v>
      </x:c>
      <x:c r="Q729" s="3"/>
      <x:c r="R729" s="3" t="s">
        <x:v>330</x:v>
      </x:c>
      <x:c r="S729" s="3" t="s">
        <x:v>135</x:v>
      </x:c>
      <x:c r="T729" s="3" t="s">
        <x:v>111</x:v>
      </x:c>
      <x:c r="U729" s="3" t="s">
        <x:v>331</x:v>
      </x:c>
      <x:c r="V729" s="3" t="s">
        <x:v>178</x:v>
      </x:c>
      <x:c r="W729" s="3" t="s">
        <x:v>332</x:v>
      </x:c>
      <x:c r="X729" s="3" t="s">
        <x:v>180</x:v>
      </x:c>
      <x:c r="Y729" s="3" t="s">
        <x:v>333</x:v>
      </x:c>
      <x:c r="Z729" s="3" t="s">
        <x:v>334</x:v>
      </x:c>
      <x:c r="AA729" s="3" t="s">
        <x:v>118</x:v>
      </x:c>
      <x:c r="AB729" s="7" t="n">
        <x:v>46301.8645833333</x:v>
      </x:c>
      <x:c r="AC729" s="7" t="n">
        <x:v>46301.8666666667</x:v>
      </x:c>
      <x:c r="AD729" s="7" t="n">
        <x:v>46301.8701388889</x:v>
      </x:c>
      <x:c r="AE729" s="7" t="n">
        <x:v>46301.8854166667</x:v>
      </x:c>
      <x:c r="AF729" s="7"/>
      <x:c r="AG729" s="3" t="n">
        <x:v>30</x:v>
      </x:c>
      <x:c r="AH729" s="3"/>
      <x:c r="AI729" s="3" t="s">
        <x:v>135</x:v>
      </x:c>
      <x:c r="AJ729" s="3" t="s">
        <x:v>135</x:v>
      </x:c>
      <x:c r="AK729" s="3" t="n">
        <x:v>180</x:v>
      </x:c>
      <x:c r="AL729" s="3" t="n">
        <x:v>0</x:v>
      </x:c>
      <x:c r="AM729" s="8" t="n">
        <x:v>0.4167</x:v>
      </x:c>
      <x:c r="AN729" s="3" t="n">
        <x:v>2</x:v>
      </x:c>
      <x:c r="AO729" s="3" t="s">
        <x:v>14</x:v>
      </x:c>
      <x:c r="AP729" s="3" t="s">
        <x:v>163</x:v>
      </x:c>
      <x:c r="AQ729" s="3" t="s">
        <x:v>501</x:v>
      </x:c>
      <x:c r="AR729" s="9" t="n">
        <x:v>1333</x:v>
      </x:c>
      <x:c r="AS729" s="3" t="s">
        <x:v>185</x:v>
      </x:c>
      <x:c r="AT729" s="7" t="n">
        <x:v>46301.9166666667</x:v>
      </x:c>
    </x:row>
    <x:row r="730" ht="31.299999237060547" hidden="0">
      <x:c r="A730" s="3" t="s">
        <x:v>1295</x:v>
      </x:c>
      <x:c r="B730" s="3" t="s">
        <x:v>123</x:v>
      </x:c>
      <x:c r="C730" s="3" t="s">
        <x:v>124</x:v>
      </x:c>
      <x:c r="D730" s="3" t="s">
        <x:v>125</x:v>
      </x:c>
      <x:c r="E730" s="3" t="s">
        <x:v>126</x:v>
      </x:c>
      <x:c r="F730" s="3" t="s">
        <x:v>99</x:v>
      </x:c>
      <x:c r="G730" s="3" t="s">
        <x:v>477</x:v>
      </x:c>
      <x:c r="H730" s="3" t="s">
        <x:v>343</x:v>
      </x:c>
      <x:c r="I730" s="3" t="s">
        <x:v>102</x:v>
      </x:c>
      <x:c r="J730" s="3" t="s">
        <x:v>103</x:v>
      </x:c>
      <x:c r="K730" s="3" t="s">
        <x:v>104</x:v>
      </x:c>
      <x:c r="L730" s="3" t="s">
        <x:v>129</x:v>
      </x:c>
      <x:c r="M730" s="3" t="s">
        <x:v>130</x:v>
      </x:c>
      <x:c r="N730" s="3" t="s">
        <x:v>131</x:v>
      </x:c>
      <x:c r="O730" s="3" t="s">
        <x:v>132</x:v>
      </x:c>
      <x:c r="P730" s="3" t="s">
        <x:v>133</x:v>
      </x:c>
      <x:c r="Q730" s="3"/>
      <x:c r="R730" s="3" t="s">
        <x:v>214</x:v>
      </x:c>
      <x:c r="S730" s="3" t="s">
        <x:v>135</x:v>
      </x:c>
      <x:c r="T730" s="3" t="s">
        <x:v>111</x:v>
      </x:c>
      <x:c r="U730" s="3" t="s">
        <x:v>215</x:v>
      </x:c>
      <x:c r="V730" s="3" t="s">
        <x:v>216</x:v>
      </x:c>
      <x:c r="W730" s="3" t="s">
        <x:v>217</x:v>
      </x:c>
      <x:c r="X730" s="3" t="s">
        <x:v>430</x:v>
      </x:c>
      <x:c r="Y730" s="3" t="s">
        <x:v>555</x:v>
      </x:c>
      <x:c r="Z730" s="3" t="s">
        <x:v>219</x:v>
      </x:c>
      <x:c r="AA730" s="3" t="s">
        <x:v>118</x:v>
      </x:c>
      <x:c r="AB730" s="7" t="n">
        <x:v>46301.8736111111</x:v>
      </x:c>
      <x:c r="AC730" s="7" t="n">
        <x:v>46301.8756944445</x:v>
      </x:c>
      <x:c r="AD730" s="7" t="n">
        <x:v>46301.8791666667</x:v>
      </x:c>
      <x:c r="AE730" s="7"/>
      <x:c r="AF730" s="7"/>
      <x:c r="AG730" s="3"/>
      <x:c r="AH730" s="3"/>
      <x:c r="AI730" s="3" t="s">
        <x:v>135</x:v>
      </x:c>
      <x:c r="AJ730" s="3" t="s">
        <x:v>135</x:v>
      </x:c>
      <x:c r="AK730" s="3" t="n">
        <x:v>180</x:v>
      </x:c>
      <x:c r="AL730" s="3" t="n">
        <x:v>23</x:v>
      </x:c>
      <x:c r="AM730" s="8" t="n">
        <x:v>0.3444</x:v>
      </x:c>
      <x:c r="AN730" s="3" t="n">
        <x:v>2</x:v>
      </x:c>
      <x:c r="AO730" s="3" t="s">
        <x:v>14</x:v>
      </x:c>
      <x:c r="AP730" s="3" t="s">
        <x:v>163</x:v>
      </x:c>
      <x:c r="AQ730" s="3" t="s">
        <x:v>472</x:v>
      </x:c>
      <x:c r="AR730" s="9" t="n">
        <x:v>674</x:v>
      </x:c>
      <x:c r="AS730" s="3" t="s">
        <x:v>121</x:v>
      </x:c>
      <x:c r="AT730" s="7" t="n">
        <x:v>46301.9166666667</x:v>
      </x:c>
    </x:row>
    <x:row r="731" ht="31.299999237060547" hidden="0">
      <x:c r="A731" s="3" t="s">
        <x:v>1296</x:v>
      </x:c>
      <x:c r="B731" s="3" t="s">
        <x:v>187</x:v>
      </x:c>
      <x:c r="C731" s="3" t="s">
        <x:v>188</x:v>
      </x:c>
      <x:c r="D731" s="3" t="s">
        <x:v>189</x:v>
      </x:c>
      <x:c r="E731" s="3" t="s">
        <x:v>126</x:v>
      </x:c>
      <x:c r="F731" s="3" t="s">
        <x:v>99</x:v>
      </x:c>
      <x:c r="G731" s="3" t="s">
        <x:v>349</x:v>
      </x:c>
      <x:c r="H731" s="3" t="s">
        <x:v>343</x:v>
      </x:c>
      <x:c r="I731" s="3" t="s">
        <x:v>102</x:v>
      </x:c>
      <x:c r="J731" s="3" t="s">
        <x:v>103</x:v>
      </x:c>
      <x:c r="K731" s="3" t="s">
        <x:v>104</x:v>
      </x:c>
      <x:c r="L731" s="3" t="s">
        <x:v>191</x:v>
      </x:c>
      <x:c r="M731" s="3" t="s">
        <x:v>192</x:v>
      </x:c>
      <x:c r="N731" s="3" t="s">
        <x:v>193</x:v>
      </x:c>
      <x:c r="O731" s="3" t="s">
        <x:v>194</x:v>
      </x:c>
      <x:c r="P731" s="3" t="s">
        <x:v>195</x:v>
      </x:c>
      <x:c r="Q731" s="3"/>
      <x:c r="R731" s="3" t="s">
        <x:v>344</x:v>
      </x:c>
      <x:c r="S731" s="3" t="s">
        <x:v>111</x:v>
      </x:c>
      <x:c r="T731" s="3" t="s">
        <x:v>111</x:v>
      </x:c>
      <x:c r="U731" s="3" t="s">
        <x:v>345</x:v>
      </x:c>
      <x:c r="V731" s="3" t="s">
        <x:v>178</x:v>
      </x:c>
      <x:c r="W731" s="3" t="s">
        <x:v>355</x:v>
      </x:c>
      <x:c r="X731" s="3" t="s">
        <x:v>180</x:v>
      </x:c>
      <x:c r="Y731" s="3" t="s">
        <x:v>356</x:v>
      </x:c>
      <x:c r="Z731" s="3" t="s">
        <x:v>346</x:v>
      </x:c>
      <x:c r="AA731" s="3" t="s">
        <x:v>118</x:v>
      </x:c>
      <x:c r="AB731" s="7" t="n">
        <x:v>46301.8777777778</x:v>
      </x:c>
      <x:c r="AC731" s="7" t="n">
        <x:v>46301.8798611111</x:v>
      </x:c>
      <x:c r="AD731" s="7" t="n">
        <x:v>46301.8833333333</x:v>
      </x:c>
      <x:c r="AE731" s="7"/>
      <x:c r="AF731" s="7"/>
      <x:c r="AG731" s="3"/>
      <x:c r="AH731" s="3"/>
      <x:c r="AI731" s="3" t="s">
        <x:v>135</x:v>
      </x:c>
      <x:c r="AJ731" s="3" t="s">
        <x:v>111</x:v>
      </x:c>
      <x:c r="AK731" s="3" t="n">
        <x:v>120</x:v>
      </x:c>
      <x:c r="AL731" s="3" t="n">
        <x:v>22</x:v>
      </x:c>
      <x:c r="AM731" s="8" t="n">
        <x:v>0.4667</x:v>
      </x:c>
      <x:c r="AN731" s="3" t="n">
        <x:v>2</x:v>
      </x:c>
      <x:c r="AO731" s="3" t="s">
        <x:v>14</x:v>
      </x:c>
      <x:c r="AP731" s="3" t="s">
        <x:v>1297</x:v>
      </x:c>
      <x:c r="AQ731" s="3" t="s">
        <x:v>689</x:v>
      </x:c>
      <x:c r="AR731" s="9" t="n">
        <x:v>1031.5</x:v>
      </x:c>
      <x:c r="AS731" s="3" t="s">
        <x:v>121</x:v>
      </x:c>
      <x:c r="AT731" s="7" t="n">
        <x:v>46301.9166666667</x:v>
      </x:c>
    </x:row>
    <x:row r="732" ht="46.25" hidden="0">
      <x:c r="A732" s="3" t="s">
        <x:v>1298</x:v>
      </x:c>
      <x:c r="B732" s="3" t="s">
        <x:v>83</x:v>
      </x:c>
      <x:c r="C732" s="3" t="s">
        <x:v>96</x:v>
      </x:c>
      <x:c r="D732" s="3" t="s">
        <x:v>97</x:v>
      </x:c>
      <x:c r="E732" s="3" t="s">
        <x:v>126</x:v>
      </x:c>
      <x:c r="F732" s="3" t="s">
        <x:v>169</x:v>
      </x:c>
      <x:c r="G732" s="3" t="s">
        <x:v>364</x:v>
      </x:c>
      <x:c r="H732" s="3" t="s">
        <x:v>339</x:v>
      </x:c>
      <x:c r="I732" s="3" t="s">
        <x:v>102</x:v>
      </x:c>
      <x:c r="J732" s="3" t="s">
        <x:v>103</x:v>
      </x:c>
      <x:c r="K732" s="3" t="s">
        <x:v>104</x:v>
      </x:c>
      <x:c r="L732" s="3" t="s">
        <x:v>105</x:v>
      </x:c>
      <x:c r="M732" s="3" t="s">
        <x:v>106</x:v>
      </x:c>
      <x:c r="N732" s="3" t="s">
        <x:v>107</x:v>
      </x:c>
      <x:c r="O732" s="3" t="s">
        <x:v>108</x:v>
      </x:c>
      <x:c r="P732" s="3" t="s">
        <x:v>109</x:v>
      </x:c>
      <x:c r="Q732" s="3"/>
      <x:c r="R732" s="3" t="s">
        <x:v>196</x:v>
      </x:c>
      <x:c r="S732" s="3" t="s">
        <x:v>111</x:v>
      </x:c>
      <x:c r="T732" s="3" t="s">
        <x:v>111</x:v>
      </x:c>
      <x:c r="U732" s="3" t="s">
        <x:v>197</x:v>
      </x:c>
      <x:c r="V732" s="3" t="s">
        <x:v>198</x:v>
      </x:c>
      <x:c r="W732" s="3" t="s">
        <x:v>365</x:v>
      </x:c>
      <x:c r="X732" s="3" t="s">
        <x:v>366</x:v>
      </x:c>
      <x:c r="Y732" s="3" t="s">
        <x:v>367</x:v>
      </x:c>
      <x:c r="Z732" s="3" t="s">
        <x:v>201</x:v>
      </x:c>
      <x:c r="AA732" s="3" t="s">
        <x:v>368</x:v>
      </x:c>
      <x:c r="AB732" s="7" t="n">
        <x:v>46301.8833333333</x:v>
      </x:c>
      <x:c r="AC732" s="7" t="n">
        <x:v>46301.8854166667</x:v>
      </x:c>
      <x:c r="AD732" s="7" t="n">
        <x:v>46301.8888888889</x:v>
      </x:c>
      <x:c r="AE732" s="7"/>
      <x:c r="AF732" s="7"/>
      <x:c r="AG732" s="3"/>
      <x:c r="AH732" s="3"/>
      <x:c r="AI732" s="3" t="s">
        <x:v>111</x:v>
      </x:c>
      <x:c r="AJ732" s="3" t="s">
        <x:v>111</x:v>
      </x:c>
      <x:c r="AK732" s="3" t="n">
        <x:v>60</x:v>
      </x:c>
      <x:c r="AL732" s="3" t="n">
        <x:v>21</x:v>
      </x:c>
      <x:c r="AM732" s="8" t="n">
        <x:v>0.8</x:v>
      </x:c>
      <x:c r="AN732" s="3" t="n">
        <x:v>2</x:v>
      </x:c>
      <x:c r="AO732" s="3" t="s">
        <x:v>24</x:v>
      </x:c>
      <x:c r="AP732" s="3" t="s">
        <x:v>1299</x:v>
      </x:c>
      <x:c r="AQ732" s="3" t="s">
        <x:v>562</x:v>
      </x:c>
      <x:c r="AR732" s="9" t="n">
        <x:v>839.2</x:v>
      </x:c>
      <x:c r="AS732" s="3" t="s">
        <x:v>185</x:v>
      </x:c>
      <x:c r="AT732" s="7" t="n">
        <x:v>46301.9166666667</x:v>
      </x:c>
    </x:row>
    <x:row r="733" ht="31.299999237060547" hidden="0">
      <x:c r="A733" s="3" t="s">
        <x:v>1300</x:v>
      </x:c>
      <x:c r="B733" s="3" t="s">
        <x:v>205</x:v>
      </x:c>
      <x:c r="C733" s="3" t="s">
        <x:v>206</x:v>
      </x:c>
      <x:c r="D733" s="3" t="s">
        <x:v>207</x:v>
      </x:c>
      <x:c r="E733" s="3" t="s">
        <x:v>126</x:v>
      </x:c>
      <x:c r="F733" s="3" t="s">
        <x:v>99</x:v>
      </x:c>
      <x:c r="G733" s="3" t="s">
        <x:v>522</x:v>
      </x:c>
      <x:c r="H733" s="3" t="s">
        <x:v>343</x:v>
      </x:c>
      <x:c r="I733" s="3" t="s">
        <x:v>102</x:v>
      </x:c>
      <x:c r="J733" s="3" t="s">
        <x:v>103</x:v>
      </x:c>
      <x:c r="K733" s="3" t="s">
        <x:v>104</x:v>
      </x:c>
      <x:c r="L733" s="3" t="s">
        <x:v>209</x:v>
      </x:c>
      <x:c r="M733" s="3" t="s">
        <x:v>210</x:v>
      </x:c>
      <x:c r="N733" s="3" t="s">
        <x:v>211</x:v>
      </x:c>
      <x:c r="O733" s="3" t="s">
        <x:v>212</x:v>
      </x:c>
      <x:c r="P733" s="3" t="s">
        <x:v>213</x:v>
      </x:c>
      <x:c r="Q733" s="3"/>
      <x:c r="R733" s="3" t="s">
        <x:v>380</x:v>
      </x:c>
      <x:c r="S733" s="3" t="s">
        <x:v>111</x:v>
      </x:c>
      <x:c r="T733" s="3" t="s">
        <x:v>111</x:v>
      </x:c>
      <x:c r="U733" s="3" t="s">
        <x:v>381</x:v>
      </x:c>
      <x:c r="V733" s="3" t="s">
        <x:v>312</x:v>
      </x:c>
      <x:c r="W733" s="3" t="s">
        <x:v>351</x:v>
      </x:c>
      <x:c r="X733" s="3" t="s">
        <x:v>314</x:v>
      </x:c>
      <x:c r="Y733" s="3" t="s">
        <x:v>352</x:v>
      </x:c>
      <x:c r="Z733" s="3" t="s">
        <x:v>384</x:v>
      </x:c>
      <x:c r="AA733" s="3" t="s">
        <x:v>385</x:v>
      </x:c>
      <x:c r="AB733" s="7" t="n">
        <x:v>46301.8888888889</x:v>
      </x:c>
      <x:c r="AC733" s="7" t="n">
        <x:v>46301.8909722222</x:v>
      </x:c>
      <x:c r="AD733" s="7" t="n">
        <x:v>46301.8944444444</x:v>
      </x:c>
      <x:c r="AE733" s="7"/>
      <x:c r="AF733" s="7"/>
      <x:c r="AG733" s="3"/>
      <x:c r="AH733" s="3"/>
      <x:c r="AI733" s="3" t="s">
        <x:v>135</x:v>
      </x:c>
      <x:c r="AJ733" s="3" t="s">
        <x:v>135</x:v>
      </x:c>
      <x:c r="AK733" s="3" t="n">
        <x:v>120</x:v>
      </x:c>
      <x:c r="AL733" s="3" t="n">
        <x:v>20</x:v>
      </x:c>
      <x:c r="AM733" s="8" t="n">
        <x:v>0.3333</x:v>
      </x:c>
      <x:c r="AN733" s="3" t="n">
        <x:v>3</x:v>
      </x:c>
      <x:c r="AO733" s="3" t="s">
        <x:v>14</x:v>
      </x:c>
      <x:c r="AP733" s="3" t="s">
        <x:v>183</x:v>
      </x:c>
      <x:c r="AQ733" s="3" t="s">
        <x:v>1063</x:v>
      </x:c>
      <x:c r="AR733" s="9" t="n">
        <x:v>1006.8</x:v>
      </x:c>
      <x:c r="AS733" s="3" t="s">
        <x:v>185</x:v>
      </x:c>
      <x:c r="AT733" s="7" t="n">
        <x:v>46301.9166666667</x:v>
      </x:c>
    </x:row>
    <x:row r="734" ht="31.299999237060547" hidden="0">
      <x:c r="A734" s="3" t="s">
        <x:v>1301</x:v>
      </x:c>
      <x:c r="B734" s="3" t="s">
        <x:v>146</x:v>
      </x:c>
      <x:c r="C734" s="3" t="s">
        <x:v>147</x:v>
      </x:c>
      <x:c r="D734" s="3" t="s">
        <x:v>148</x:v>
      </x:c>
      <x:c r="E734" s="3" t="s">
        <x:v>77</x:v>
      </x:c>
      <x:c r="F734" s="3" t="s">
        <x:v>127</x:v>
      </x:c>
      <x:c r="G734" s="3" t="s">
        <x:v>416</x:v>
      </x:c>
      <x:c r="H734" s="3" t="s">
        <x:v>339</x:v>
      </x:c>
      <x:c r="I734" s="3" t="s">
        <x:v>102</x:v>
      </x:c>
      <x:c r="J734" s="3" t="s">
        <x:v>103</x:v>
      </x:c>
      <x:c r="K734" s="3" t="s">
        <x:v>104</x:v>
      </x:c>
      <x:c r="L734" s="3" t="s">
        <x:v>151</x:v>
      </x:c>
      <x:c r="M734" s="3" t="s">
        <x:v>152</x:v>
      </x:c>
      <x:c r="N734" s="3" t="s">
        <x:v>153</x:v>
      </x:c>
      <x:c r="O734" s="3" t="s">
        <x:v>154</x:v>
      </x:c>
      <x:c r="P734" s="3" t="s">
        <x:v>155</x:v>
      </x:c>
      <x:c r="Q734" s="3"/>
      <x:c r="R734" s="3" t="s">
        <x:v>373</x:v>
      </x:c>
      <x:c r="S734" s="3" t="s">
        <x:v>135</x:v>
      </x:c>
      <x:c r="T734" s="3" t="s">
        <x:v>111</x:v>
      </x:c>
      <x:c r="U734" s="3" t="s">
        <x:v>374</x:v>
      </x:c>
      <x:c r="V734" s="3" t="s">
        <x:v>178</x:v>
      </x:c>
      <x:c r="W734" s="3" t="s">
        <x:v>355</x:v>
      </x:c>
      <x:c r="X734" s="3" t="s">
        <x:v>180</x:v>
      </x:c>
      <x:c r="Y734" s="3" t="s">
        <x:v>356</x:v>
      </x:c>
      <x:c r="Z734" s="3" t="s">
        <x:v>375</x:v>
      </x:c>
      <x:c r="AA734" s="3" t="s">
        <x:v>118</x:v>
      </x:c>
      <x:c r="AB734" s="7" t="n">
        <x:v>46301.9013888889</x:v>
      </x:c>
      <x:c r="AC734" s="7" t="n">
        <x:v>46301.9034722222</x:v>
      </x:c>
      <x:c r="AD734" s="7"/>
      <x:c r="AE734" s="7"/>
      <x:c r="AF734" s="7"/>
      <x:c r="AG734" s="3"/>
      <x:c r="AH734" s="3"/>
      <x:c r="AI734" s="3" t="s">
        <x:v>135</x:v>
      </x:c>
      <x:c r="AJ734" s="3" t="s">
        <x:v>135</x:v>
      </x:c>
      <x:c r="AK734" s="3" t="n">
        <x:v>180</x:v>
      </x:c>
      <x:c r="AL734" s="3" t="n">
        <x:v>30</x:v>
      </x:c>
      <x:c r="AM734" s="8" t="n">
        <x:v>0.1222</x:v>
      </x:c>
      <x:c r="AN734" s="3" t="n">
        <x:v>5</x:v>
      </x:c>
      <x:c r="AO734" s="3" t="s">
        <x:v>14</x:v>
      </x:c>
      <x:c r="AP734" s="3" t="s">
        <x:v>1015</x:v>
      </x:c>
      <x:c r="AQ734" s="3" t="s">
        <x:v>1198</x:v>
      </x:c>
      <x:c r="AR734" s="9" t="n">
        <x:v>740.4</x:v>
      </x:c>
      <x:c r="AS734" s="3" t="s">
        <x:v>185</x:v>
      </x:c>
      <x:c r="AT734" s="7" t="n">
        <x:v>46301.9166666667</x:v>
      </x:c>
    </x:row>
    <x:row r="735" ht="31.299999237060547" hidden="0">
      <x:c r="A735" s="3" t="s">
        <x:v>1302</x:v>
      </x:c>
      <x:c r="B735" s="3" t="s">
        <x:v>321</x:v>
      </x:c>
      <x:c r="C735" s="3" t="s">
        <x:v>322</x:v>
      </x:c>
      <x:c r="D735" s="3" t="s">
        <x:v>323</x:v>
      </x:c>
      <x:c r="E735" s="3" t="s">
        <x:v>77</x:v>
      </x:c>
      <x:c r="F735" s="3" t="s">
        <x:v>149</x:v>
      </x:c>
      <x:c r="G735" s="3" t="s">
        <x:v>575</x:v>
      </x:c>
      <x:c r="H735" s="3" t="s">
        <x:v>301</x:v>
      </x:c>
      <x:c r="I735" s="3" t="s">
        <x:v>302</x:v>
      </x:c>
      <x:c r="J735" s="3" t="s">
        <x:v>303</x:v>
      </x:c>
      <x:c r="K735" s="3" t="s">
        <x:v>104</x:v>
      </x:c>
      <x:c r="L735" s="3" t="s">
        <x:v>325</x:v>
      </x:c>
      <x:c r="M735" s="3" t="s">
        <x:v>326</x:v>
      </x:c>
      <x:c r="N735" s="3" t="s">
        <x:v>131</x:v>
      </x:c>
      <x:c r="O735" s="3" t="s">
        <x:v>327</x:v>
      </x:c>
      <x:c r="P735" s="3" t="s">
        <x:v>328</x:v>
      </x:c>
      <x:c r="Q735" s="3"/>
      <x:c r="R735" s="3" t="s">
        <x:v>196</x:v>
      </x:c>
      <x:c r="S735" s="3" t="s">
        <x:v>111</x:v>
      </x:c>
      <x:c r="T735" s="3" t="s">
        <x:v>111</x:v>
      </x:c>
      <x:c r="U735" s="3" t="s">
        <x:v>197</x:v>
      </x:c>
      <x:c r="V735" s="3" t="s">
        <x:v>198</x:v>
      </x:c>
      <x:c r="W735" s="3" t="s">
        <x:v>199</x:v>
      </x:c>
      <x:c r="X735" s="3" t="s">
        <x:v>366</x:v>
      </x:c>
      <x:c r="Y735" s="3" t="s">
        <x:v>527</x:v>
      </x:c>
      <x:c r="Z735" s="3" t="s">
        <x:v>201</x:v>
      </x:c>
      <x:c r="AA735" s="3" t="s">
        <x:v>368</x:v>
      </x:c>
      <x:c r="AB735" s="7" t="n">
        <x:v>46301.9048611111</x:v>
      </x:c>
      <x:c r="AC735" s="7" t="n">
        <x:v>46301.9069444445</x:v>
      </x:c>
      <x:c r="AD735" s="7"/>
      <x:c r="AE735" s="7"/>
      <x:c r="AF735" s="7"/>
      <x:c r="AG735" s="3"/>
      <x:c r="AH735" s="3"/>
      <x:c r="AI735" s="3" t="s">
        <x:v>135</x:v>
      </x:c>
      <x:c r="AJ735" s="3" t="s">
        <x:v>111</x:v>
      </x:c>
      <x:c r="AK735" s="3" t="n">
        <x:v>120</x:v>
      </x:c>
      <x:c r="AL735" s="3" t="n">
        <x:v>30</x:v>
      </x:c>
      <x:c r="AM735" s="8" t="n">
        <x:v>0.1417</x:v>
      </x:c>
      <x:c r="AN735" s="3" t="n">
        <x:v>0</x:v>
      </x:c>
      <x:c r="AO735" s="3" t="s">
        <x:v>14</x:v>
      </x:c>
      <x:c r="AP735" s="3" t="s">
        <x:v>335</x:v>
      </x:c>
      <x:c r="AQ735" s="3" t="s">
        <x:v>336</x:v>
      </x:c>
      <x:c r="AR735" s="9" t="n">
        <x:v>532.7</x:v>
      </x:c>
      <x:c r="AS735" s="3" t="s">
        <x:v>121</x:v>
      </x:c>
      <x:c r="AT735" s="7" t="n">
        <x:v>46301.9166666667</x:v>
      </x:c>
    </x:row>
    <x:row r="736" ht="31.299999237060547" hidden="0">
      <x:c r="A736" s="3" t="s">
        <x:v>1303</x:v>
      </x:c>
      <x:c r="B736" s="3" t="s">
        <x:v>233</x:v>
      </x:c>
      <x:c r="C736" s="3" t="s">
        <x:v>234</x:v>
      </x:c>
      <x:c r="D736" s="3" t="s">
        <x:v>235</x:v>
      </x:c>
      <x:c r="E736" s="3" t="s">
        <x:v>244</x:v>
      </x:c>
      <x:c r="F736" s="3" t="s">
        <x:v>99</x:v>
      </x:c>
      <x:c r="G736" s="3" t="s">
        <x:v>754</x:v>
      </x:c>
      <x:c r="H736" s="3" t="s">
        <x:v>101</x:v>
      </x:c>
      <x:c r="I736" s="3" t="s">
        <x:v>102</x:v>
      </x:c>
      <x:c r="J736" s="3" t="s">
        <x:v>103</x:v>
      </x:c>
      <x:c r="K736" s="3" t="s">
        <x:v>104</x:v>
      </x:c>
      <x:c r="L736" s="3" t="s">
        <x:v>237</x:v>
      </x:c>
      <x:c r="M736" s="3" t="s">
        <x:v>172</x:v>
      </x:c>
      <x:c r="N736" s="3" t="s">
        <x:v>238</x:v>
      </x:c>
      <x:c r="O736" s="3" t="s">
        <x:v>239</x:v>
      </x:c>
      <x:c r="P736" s="3" t="s">
        <x:v>240</x:v>
      </x:c>
      <x:c r="Q736" s="3"/>
      <x:c r="R736" s="3" t="s">
        <x:v>310</x:v>
      </x:c>
      <x:c r="S736" s="3" t="s">
        <x:v>135</x:v>
      </x:c>
      <x:c r="T736" s="3" t="s">
        <x:v>111</x:v>
      </x:c>
      <x:c r="U736" s="3" t="s">
        <x:v>311</x:v>
      </x:c>
      <x:c r="V736" s="3" t="s">
        <x:v>312</x:v>
      </x:c>
      <x:c r="W736" s="3" t="s">
        <x:v>382</x:v>
      </x:c>
      <x:c r="X736" s="3" t="s">
        <x:v>314</x:v>
      </x:c>
      <x:c r="Y736" s="3" t="s">
        <x:v>383</x:v>
      </x:c>
      <x:c r="Z736" s="3" t="s">
        <x:v>316</x:v>
      </x:c>
      <x:c r="AA736" s="3" t="s">
        <x:v>317</x:v>
      </x:c>
      <x:c r="AB736" s="7" t="n">
        <x:v>46301.9111111111</x:v>
      </x:c>
      <x:c r="AC736" s="7"/>
      <x:c r="AD736" s="7"/>
      <x:c r="AE736" s="7"/>
      <x:c r="AF736" s="7"/>
      <x:c r="AG736" s="3"/>
      <x:c r="AH736" s="3"/>
      <x:c r="AI736" s="3" t="s">
        <x:v>135</x:v>
      </x:c>
      <x:c r="AJ736" s="3" t="s">
        <x:v>111</x:v>
      </x:c>
      <x:c r="AK736" s="3" t="n">
        <x:v>150</x:v>
      </x:c>
      <x:c r="AL736" s="3" t="n">
        <x:v>35</x:v>
      </x:c>
      <x:c r="AM736" s="8" t="n">
        <x:v>0.0533</x:v>
      </x:c>
      <x:c r="AN736" s="3" t="n">
        <x:v>1</x:v>
      </x:c>
      <x:c r="AO736" s="3" t="s">
        <x:v>14</x:v>
      </x:c>
      <x:c r="AP736" s="3" t="s">
        <x:v>335</x:v>
      </x:c>
      <x:c r="AQ736" s="3" t="s">
        <x:v>501</x:v>
      </x:c>
      <x:c r="AR736" s="9" t="n">
        <x:v>746.9</x:v>
      </x:c>
      <x:c r="AS736" s="3" t="s">
        <x:v>144</x:v>
      </x:c>
      <x:c r="AT736" s="7" t="n">
        <x:v>46301.9166666667</x:v>
      </x:c>
    </x:row>
    <x:row r="737" ht="31.299999237060547" hidden="0">
      <x:c r="A737" s="3" t="s">
        <x:v>1304</x:v>
      </x:c>
      <x:c r="B737" s="3" t="s">
        <x:v>233</x:v>
      </x:c>
      <x:c r="C737" s="3" t="s">
        <x:v>234</x:v>
      </x:c>
      <x:c r="D737" s="3" t="s">
        <x:v>235</x:v>
      </x:c>
      <x:c r="E737" s="3" t="s">
        <x:v>244</x:v>
      </x:c>
      <x:c r="F737" s="3" t="s">
        <x:v>149</x:v>
      </x:c>
      <x:c r="G737" s="3" t="s">
        <x:v>410</x:v>
      </x:c>
      <x:c r="H737" s="3" t="s">
        <x:v>343</x:v>
      </x:c>
      <x:c r="I737" s="3" t="s">
        <x:v>102</x:v>
      </x:c>
      <x:c r="J737" s="3" t="s">
        <x:v>103</x:v>
      </x:c>
      <x:c r="K737" s="3" t="s">
        <x:v>104</x:v>
      </x:c>
      <x:c r="L737" s="3" t="s">
        <x:v>237</x:v>
      </x:c>
      <x:c r="M737" s="3" t="s">
        <x:v>172</x:v>
      </x:c>
      <x:c r="N737" s="3" t="s">
        <x:v>238</x:v>
      </x:c>
      <x:c r="O737" s="3" t="s">
        <x:v>239</x:v>
      </x:c>
      <x:c r="P737" s="3" t="s">
        <x:v>240</x:v>
      </x:c>
      <x:c r="Q737" s="3"/>
      <x:c r="R737" s="3" t="s">
        <x:v>344</x:v>
      </x:c>
      <x:c r="S737" s="3" t="s">
        <x:v>111</x:v>
      </x:c>
      <x:c r="T737" s="3" t="s">
        <x:v>111</x:v>
      </x:c>
      <x:c r="U737" s="3" t="s">
        <x:v>345</x:v>
      </x:c>
      <x:c r="V737" s="3" t="s">
        <x:v>178</x:v>
      </x:c>
      <x:c r="W737" s="3" t="s">
        <x:v>332</x:v>
      </x:c>
      <x:c r="X737" s="3" t="s">
        <x:v>180</x:v>
      </x:c>
      <x:c r="Y737" s="3" t="s">
        <x:v>333</x:v>
      </x:c>
      <x:c r="Z737" s="3" t="s">
        <x:v>346</x:v>
      </x:c>
      <x:c r="AA737" s="3" t="s">
        <x:v>118</x:v>
      </x:c>
      <x:c r="AB737" s="7" t="n">
        <x:v>46301.9138888889</x:v>
      </x:c>
      <x:c r="AC737" s="7"/>
      <x:c r="AD737" s="7"/>
      <x:c r="AE737" s="7"/>
      <x:c r="AF737" s="7"/>
      <x:c r="AG737" s="3"/>
      <x:c r="AH737" s="3"/>
      <x:c r="AI737" s="3" t="s">
        <x:v>135</x:v>
      </x:c>
      <x:c r="AJ737" s="3" t="s">
        <x:v>111</x:v>
      </x:c>
      <x:c r="AK737" s="3" t="n">
        <x:v>120</x:v>
      </x:c>
      <x:c r="AL737" s="3" t="n">
        <x:v>35</x:v>
      </x:c>
      <x:c r="AM737" s="8" t="n">
        <x:v>0.0333</x:v>
      </x:c>
      <x:c r="AN737" s="3" t="n">
        <x:v>0</x:v>
      </x:c>
      <x:c r="AO737" s="3" t="s">
        <x:v>14</x:v>
      </x:c>
      <x:c r="AP737" s="3" t="s">
        <x:v>335</x:v>
      </x:c>
      <x:c r="AQ737" s="3" t="s">
        <x:v>361</x:v>
      </x:c>
      <x:c r="AR737" s="9" t="n">
        <x:v>636.2</x:v>
      </x:c>
      <x:c r="AS737" s="3" t="s">
        <x:v>121</x:v>
      </x:c>
      <x:c r="AT737" s="7" t="n">
        <x:v>46301.9166666667</x:v>
      </x:c>
    </x:row>
  </x:sheetData>
  <x:conditionalFormatting sqref="AO2:AO737">
    <x:cfRule type="expression" dxfId="19" priority="2" aboveAverage="0" percent="0" bottom="0" rank="0" equalAverage="0">
      <x:formula>AO2="Verde"</x:formula>
    </x:cfRule>
    <x:cfRule type="expression" dxfId="20" priority="3" aboveAverage="0" percent="0" bottom="0" rank="0" equalAverage="0">
      <x:formula>AO2="Amarelo"</x:formula>
    </x:cfRule>
    <x:cfRule type="expression" dxfId="21" priority="4" aboveAverage="0" percent="0" bottom="0" rank="0" equalAverage="0">
      <x:formula>AO2="Laranja"</x:formula>
    </x:cfRule>
    <x:cfRule type="expression" dxfId="22" priority="5" aboveAverage="0" percent="0" bottom="0" rank="0" equalAverage="0">
      <x:formula>AO2="Vermelho"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09df5593854859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7.239999771118164" hidden="0" customWidth="1"/>
    <x:col min="2" max="2" width="15.890000343322754" hidden="0" customWidth="1"/>
    <x:col min="3" max="3" width="20.43000030517578" hidden="0" customWidth="1"/>
    <x:col min="4" max="4" width="27.239999771118164" hidden="0" customWidth="1"/>
    <x:col min="5" max="5" width="18.15999984741211" hidden="0" customWidth="1"/>
    <x:col min="6" max="6" width="20.43000030517578" hidden="0" customWidth="1"/>
    <x:col min="7" max="7" width="27.239999771118164" hidden="0" customWidth="1"/>
    <x:col min="8" max="8" width="18.15999984741211" hidden="0" customWidth="1"/>
  </x:cols>
  <x:sheetData>
    <x:row r="1" ht="22.049999237060547" hidden="0">
      <x:c r="A1" s="10" t="s">
        <x:v>1305</x:v>
      </x:c>
      <x:c r="B1" s="10"/>
      <x:c r="C1" s="10"/>
      <x:c r="D1" s="10"/>
      <x:c r="E1" s="10"/>
      <x:c r="F1" s="10"/>
      <x:c r="G1" s="10"/>
      <x:c r="H1" s="10"/>
    </x:row>
    <x:row r="2" ht="15" hidden="0">
      <x:c r="A2" s="11" t="s">
        <x:v>1306</x:v>
      </x:c>
      <x:c r="B2" s="11"/>
      <x:c r="C2" s="11"/>
      <x:c r="D2" s="11"/>
      <x:c r="E2" s="11"/>
      <x:c r="F2" s="11"/>
      <x:c r="G2" s="11"/>
      <x:c r="H2" s="11"/>
    </x:row>
    <x:row r="4" ht="15" hidden="0">
      <x:c r="A4" s="12" t="s">
        <x:v>1307</x:v>
      </x:c>
      <x:c r="B4" s="12" t="s">
        <x:v>1308</x:v>
      </x:c>
      <x:c r="C4" s="12" t="s">
        <x:v>1309</x:v>
      </x:c>
      <x:c r="D4" s="12" t="s">
        <x:v>1310</x:v>
      </x:c>
      <x:c r="E4" s="12" t="s">
        <x:v>1311</x:v>
      </x:c>
      <x:c r="F4" s="12" t="s">
        <x:v>83</x:v>
      </x:c>
      <x:c r="G4" s="12" t="s">
        <x:v>1312</x:v>
      </x:c>
      <x:c r="H4" s="12" t="s">
        <x:v>1313</x:v>
      </x:c>
    </x:row>
    <x:row r="5" ht="15" hidden="0">
      <x:c r="A5" s="13" t="n">
        <x:v>736</x:v>
      </x:c>
      <x:c r="B5" s="14" t="n">
        <x:v>0.919836956521739</x:v>
      </x:c>
      <x:c r="C5" s="15" t="n">
        <x:v>696734.6</x:v>
      </x:c>
      <x:c r="D5" s="16" t="n">
        <x:v>35.385989010989</x:v>
      </x:c>
      <x:c r="E5" s="16" t="n">
        <x:v>49.1726519337017</x:v>
      </x:c>
      <x:c r="F5" s="13" t="n">
        <x:v>74</x:v>
      </x:c>
      <x:c r="G5" s="13" t="n">
        <x:v>106</x:v>
      </x:c>
      <x:c r="H5" s="13" t="s">
        <x:v>1314</x:v>
      </x:c>
    </x:row>
    <x:row r="8" ht="15" hidden="0">
      <x:c r="A8" s="17" t="s">
        <x:v>1315</x:v>
      </x:c>
      <x:c r="B8" s="17" t="s">
        <x:v>1316</x:v>
      </x:c>
      <x:c r="D8" s="17" t="s">
        <x:v>53</x:v>
      </x:c>
      <x:c r="E8" s="17" t="s">
        <x:v>1316</x:v>
      </x:c>
      <x:c r="G8" s="17" t="s">
        <x:v>56</x:v>
      </x:c>
      <x:c r="H8" s="17" t="s">
        <x:v>1316</x:v>
      </x:c>
    </x:row>
    <x:row r="9" ht="16.399999618530273" hidden="0">
      <x:c r="A9" s="3" t="s">
        <x:v>9</x:v>
      </x:c>
      <x:c r="B9" s="3" t="n">
        <x:v>253</x:v>
      </x:c>
      <x:c r="D9" t="s">
        <x:v>249</x:v>
      </x:c>
      <x:c r="E9" t="n">
        <x:v>724</x:v>
      </x:c>
      <x:c r="G9" t="s">
        <x:v>301</x:v>
      </x:c>
      <x:c r="H9" t="n">
        <x:v>225</x:v>
      </x:c>
    </x:row>
    <x:row r="10" ht="16.399999618530273" hidden="0">
      <x:c r="A10" s="3" t="s">
        <x:v>14</x:v>
      </x:c>
      <x:c r="B10" s="3" t="n">
        <x:v>345</x:v>
      </x:c>
      <x:c r="D10" t="s">
        <x:v>98</x:v>
      </x:c>
      <x:c r="E10" t="n">
        <x:v>4</x:v>
      </x:c>
      <x:c r="G10" t="s">
        <x:v>101</x:v>
      </x:c>
      <x:c r="H10" t="n">
        <x:v>201</x:v>
      </x:c>
    </x:row>
    <x:row r="11" ht="16.399999618530273" hidden="0">
      <x:c r="A11" s="3" t="s">
        <x:v>19</x:v>
      </x:c>
      <x:c r="B11" s="3" t="n">
        <x:v>72</x:v>
      </x:c>
      <x:c r="D11" t="s">
        <x:v>126</x:v>
      </x:c>
      <x:c r="E11" t="n">
        <x:v>4</x:v>
      </x:c>
      <x:c r="G11" t="s">
        <x:v>343</x:v>
      </x:c>
      <x:c r="H11" t="n">
        <x:v>198</x:v>
      </x:c>
    </x:row>
    <x:row r="12" ht="16.399999618530273" hidden="0">
      <x:c r="A12" s="3" t="s">
        <x:v>24</x:v>
      </x:c>
      <x:c r="B12" s="3" t="n">
        <x:v>66</x:v>
      </x:c>
      <x:c r="D12" t="s">
        <x:v>244</x:v>
      </x:c>
      <x:c r="E12" t="n">
        <x:v>2</x:v>
      </x:c>
      <x:c r="G12" t="s">
        <x:v>339</x:v>
      </x:c>
      <x:c r="H12" t="n">
        <x:v>112</x:v>
      </x:c>
    </x:row>
    <x:row r="13" ht="15" hidden="0">
      <x:c r="D13" t="s">
        <x:v>77</x:v>
      </x:c>
      <x:c r="E13" t="n">
        <x:v>2</x:v>
      </x:c>
    </x:row>
    <x:row r="16" ht="15" hidden="0">
      <x:c r="A16" s="17" t="s">
        <x:v>1317</x:v>
      </x:c>
      <x:c r="B16" s="17" t="s">
        <x:v>1316</x:v>
      </x:c>
      <x:c r="D16" s="17" t="s">
        <x:v>66</x:v>
      </x:c>
      <x:c r="E16" s="17" t="s">
        <x:v>1307</x:v>
      </x:c>
      <x:c r="G16" s="17" t="s">
        <x:v>70</x:v>
      </x:c>
      <x:c r="H16" s="17" t="s">
        <x:v>1307</x:v>
      </x:c>
    </x:row>
    <x:row r="17" ht="15" hidden="0">
      <x:c r="A17" t="s">
        <x:v>166</x:v>
      </x:c>
      <x:c r="B17" t="n">
        <x:v>105</x:v>
      </x:c>
      <x:c r="D17" t="s">
        <x:v>344</x:v>
      </x:c>
      <x:c r="E17" t="n">
        <x:v>90</x:v>
      </x:c>
      <x:c r="G17" t="s">
        <x:v>178</x:v>
      </x:c>
      <x:c r="H17" t="n">
        <x:v>281</x:v>
      </x:c>
    </x:row>
    <x:row r="18" ht="15" hidden="0">
      <x:c r="A18" t="s">
        <x:v>83</x:v>
      </x:c>
      <x:c r="B18" t="n">
        <x:v>74</x:v>
      </x:c>
      <x:c r="D18" t="s">
        <x:v>380</x:v>
      </x:c>
      <x:c r="E18" t="n">
        <x:v>71</x:v>
      </x:c>
      <x:c r="G18" t="s">
        <x:v>312</x:v>
      </x:c>
      <x:c r="H18" t="n">
        <x:v>188</x:v>
      </x:c>
    </x:row>
    <x:row r="19" ht="15" hidden="0">
      <x:c r="A19" t="s">
        <x:v>146</x:v>
      </x:c>
      <x:c r="B19" t="n">
        <x:v>69</x:v>
      </x:c>
      <x:c r="D19" t="s">
        <x:v>330</x:v>
      </x:c>
      <x:c r="E19" t="n">
        <x:v>69</x:v>
      </x:c>
      <x:c r="G19" t="s">
        <x:v>158</x:v>
      </x:c>
      <x:c r="H19" t="n">
        <x:v>58</x:v>
      </x:c>
    </x:row>
    <x:row r="20" ht="15" hidden="0">
      <x:c r="A20" t="s">
        <x:v>222</x:v>
      </x:c>
      <x:c r="B20" t="n">
        <x:v>65</x:v>
      </x:c>
      <x:c r="D20" t="s">
        <x:v>176</x:v>
      </x:c>
      <x:c r="E20" t="n">
        <x:v>65</x:v>
      </x:c>
      <x:c r="G20" t="s">
        <x:v>113</x:v>
      </x:c>
      <x:c r="H20" t="n">
        <x:v>57</x:v>
      </x:c>
    </x:row>
    <x:row r="21" ht="15" hidden="0">
      <x:c r="A21" t="s">
        <x:v>123</x:v>
      </x:c>
      <x:c r="B21" t="n">
        <x:v>62</x:v>
      </x:c>
      <x:c r="D21" t="s">
        <x:v>391</x:v>
      </x:c>
      <x:c r="E21" t="n">
        <x:v>59</x:v>
      </x:c>
      <x:c r="G21" t="s">
        <x:v>216</x:v>
      </x:c>
      <x:c r="H21" t="n">
        <x:v>55</x:v>
      </x:c>
    </x:row>
    <x:row r="22" ht="15" hidden="0">
      <x:c r="A22" t="s">
        <x:v>205</x:v>
      </x:c>
      <x:c r="B22" t="n">
        <x:v>62</x:v>
      </x:c>
      <x:c r="D22" t="s">
        <x:v>310</x:v>
      </x:c>
      <x:c r="E22" t="n">
        <x:v>58</x:v>
      </x:c>
      <x:c r="G22" t="s">
        <x:v>198</x:v>
      </x:c>
      <x:c r="H22" t="n">
        <x:v>53</x:v>
      </x:c>
    </x:row>
    <x:row r="23" ht="15" hidden="0">
      <x:c r="A23" t="s">
        <x:v>233</x:v>
      </x:c>
      <x:c r="B23" t="n">
        <x:v>58</x:v>
      </x:c>
      <x:c r="D23" t="s">
        <x:v>156</x:v>
      </x:c>
      <x:c r="E23" t="n">
        <x:v>58</x:v>
      </x:c>
      <x:c r="G23" t="s">
        <x:v>137</x:v>
      </x:c>
      <x:c r="H23" t="n">
        <x:v>44</x:v>
      </x:c>
    </x:row>
    <x:row r="24" ht="15" hidden="0">
      <x:c r="A24" t="s">
        <x:v>187</x:v>
      </x:c>
      <x:c r="B24" t="n">
        <x:v>54</x:v>
      </x:c>
      <x:c r="D24" t="s">
        <x:v>373</x:v>
      </x:c>
      <x:c r="E24" t="n">
        <x:v>57</x:v>
      </x:c>
    </x:row>
    <x:row r="28" ht="15" hidden="0">
      <x:c r="A28" s="17" t="s">
        <x:v>1318</x:v>
      </x:c>
      <x:c r="B28" s="17" t="s">
        <x:v>1307</x:v>
      </x:c>
      <x:c r="C28" s="17" t="s">
        <x:v>19</x:v>
      </x:c>
      <x:c r="D28" s="17" t="s">
        <x:v>24</x:v>
      </x:c>
      <x:c r="E28" s="17" t="s">
        <x:v>1309</x:v>
      </x:c>
    </x:row>
    <x:row r="29" ht="15" hidden="0">
      <x:c r="A29" s="18" t="n">
        <x:v>46242</x:v>
      </x:c>
      <x:c r="B29" t="n">
        <x:v>10</x:v>
      </x:c>
      <x:c r="C29" t="n">
        <x:v>1</x:v>
      </x:c>
      <x:c r="D29" t="n">
        <x:v>0</x:v>
      </x:c>
      <x:c r="E29" s="19" t="n">
        <x:v>9485.6</x:v>
      </x:c>
    </x:row>
    <x:row r="30" ht="15" hidden="0">
      <x:c r="A30" s="18" t="n">
        <x:v>46243</x:v>
      </x:c>
      <x:c r="B30" t="n">
        <x:v>9</x:v>
      </x:c>
      <x:c r="C30" t="n">
        <x:v>0</x:v>
      </x:c>
      <x:c r="D30" t="n">
        <x:v>0</x:v>
      </x:c>
      <x:c r="E30" s="19" t="n">
        <x:v>8023.4</x:v>
      </x:c>
    </x:row>
    <x:row r="31" ht="15" hidden="0">
      <x:c r="A31" s="18" t="n">
        <x:v>46244</x:v>
      </x:c>
      <x:c r="B31" t="n">
        <x:v>11</x:v>
      </x:c>
      <x:c r="C31" t="n">
        <x:v>1</x:v>
      </x:c>
      <x:c r="D31" t="n">
        <x:v>2</x:v>
      </x:c>
      <x:c r="E31" s="19" t="n">
        <x:v>11087.8</x:v>
      </x:c>
    </x:row>
    <x:row r="32" ht="15" hidden="0">
      <x:c r="A32" s="18" t="n">
        <x:v>46245</x:v>
      </x:c>
      <x:c r="B32" t="n">
        <x:v>14</x:v>
      </x:c>
      <x:c r="C32" t="n">
        <x:v>1</x:v>
      </x:c>
      <x:c r="D32" t="n">
        <x:v>1</x:v>
      </x:c>
      <x:c r="E32" s="19" t="n">
        <x:v>12419</x:v>
      </x:c>
    </x:row>
    <x:row r="33" ht="15" hidden="0">
      <x:c r="A33" s="18" t="n">
        <x:v>46246</x:v>
      </x:c>
      <x:c r="B33" t="n">
        <x:v>10</x:v>
      </x:c>
      <x:c r="C33" t="n">
        <x:v>0</x:v>
      </x:c>
      <x:c r="D33" t="n">
        <x:v>2</x:v>
      </x:c>
      <x:c r="E33" s="19" t="n">
        <x:v>9427.6</x:v>
      </x:c>
    </x:row>
    <x:row r="34" ht="15" hidden="0">
      <x:c r="A34" s="18" t="n">
        <x:v>46247</x:v>
      </x:c>
      <x:c r="B34" t="n">
        <x:v>16</x:v>
      </x:c>
      <x:c r="C34" t="n">
        <x:v>2</x:v>
      </x:c>
      <x:c r="D34" t="n">
        <x:v>0</x:v>
      </x:c>
      <x:c r="E34" s="19" t="n">
        <x:v>14341.6</x:v>
      </x:c>
    </x:row>
    <x:row r="35" ht="15" hidden="0">
      <x:c r="A35" s="18" t="n">
        <x:v>46248</x:v>
      </x:c>
      <x:c r="B35" t="n">
        <x:v>10</x:v>
      </x:c>
      <x:c r="C35" t="n">
        <x:v>2</x:v>
      </x:c>
      <x:c r="D35" t="n">
        <x:v>0</x:v>
      </x:c>
      <x:c r="E35" s="19" t="n">
        <x:v>11151.2</x:v>
      </x:c>
    </x:row>
    <x:row r="36" ht="15" hidden="0">
      <x:c r="A36" s="18" t="n">
        <x:v>46249</x:v>
      </x:c>
      <x:c r="B36" t="n">
        <x:v>9</x:v>
      </x:c>
      <x:c r="C36" t="n">
        <x:v>0</x:v>
      </x:c>
      <x:c r="D36" t="n">
        <x:v>1</x:v>
      </x:c>
      <x:c r="E36" s="19" t="n">
        <x:v>7385.2</x:v>
      </x:c>
    </x:row>
    <x:row r="37" ht="15" hidden="0">
      <x:c r="A37" s="18" t="n">
        <x:v>46250</x:v>
      </x:c>
      <x:c r="B37" t="n">
        <x:v>7</x:v>
      </x:c>
      <x:c r="C37" t="n">
        <x:v>0</x:v>
      </x:c>
      <x:c r="D37" t="n">
        <x:v>2</x:v>
      </x:c>
      <x:c r="E37" s="19" t="n">
        <x:v>5165.4</x:v>
      </x:c>
    </x:row>
    <x:row r="38" ht="15" hidden="0">
      <x:c r="A38" s="18" t="n">
        <x:v>46251</x:v>
      </x:c>
      <x:c r="B38" t="n">
        <x:v>10</x:v>
      </x:c>
      <x:c r="C38" t="n">
        <x:v>0</x:v>
      </x:c>
      <x:c r="D38" t="n">
        <x:v>1</x:v>
      </x:c>
      <x:c r="E38" s="19" t="n">
        <x:v>8083.7</x:v>
      </x:c>
    </x:row>
    <x:row r="39" ht="15" hidden="0">
      <x:c r="A39" s="18" t="n">
        <x:v>46252</x:v>
      </x:c>
      <x:c r="B39" t="n">
        <x:v>11</x:v>
      </x:c>
      <x:c r="C39" t="n">
        <x:v>1</x:v>
      </x:c>
      <x:c r="D39" t="n">
        <x:v>1</x:v>
      </x:c>
      <x:c r="E39" s="19" t="n">
        <x:v>10008.2</x:v>
      </x:c>
    </x:row>
    <x:row r="40" ht="15" hidden="0">
      <x:c r="A40" s="18" t="n">
        <x:v>46253</x:v>
      </x:c>
      <x:c r="B40" t="n">
        <x:v>15</x:v>
      </x:c>
      <x:c r="C40" t="n">
        <x:v>1</x:v>
      </x:c>
      <x:c r="D40" t="n">
        <x:v>0</x:v>
      </x:c>
      <x:c r="E40" s="19" t="n">
        <x:v>13547.9</x:v>
      </x:c>
    </x:row>
    <x:row r="41" ht="15" hidden="0">
      <x:c r="A41" s="18" t="n">
        <x:v>46254</x:v>
      </x:c>
      <x:c r="B41" t="n">
        <x:v>16</x:v>
      </x:c>
      <x:c r="C41" t="n">
        <x:v>2</x:v>
      </x:c>
      <x:c r="D41" t="n">
        <x:v>0</x:v>
      </x:c>
      <x:c r="E41" s="19" t="n">
        <x:v>14156.2</x:v>
      </x:c>
    </x:row>
    <x:row r="42" ht="15" hidden="0">
      <x:c r="A42" s="18" t="n">
        <x:v>46255</x:v>
      </x:c>
      <x:c r="B42" t="n">
        <x:v>17</x:v>
      </x:c>
      <x:c r="C42" t="n">
        <x:v>3</x:v>
      </x:c>
      <x:c r="D42" t="n">
        <x:v>1</x:v>
      </x:c>
      <x:c r="E42" s="19" t="n">
        <x:v>15845.2</x:v>
      </x:c>
    </x:row>
    <x:row r="43" ht="15" hidden="0">
      <x:c r="A43" s="18" t="n">
        <x:v>46256</x:v>
      </x:c>
      <x:c r="B43" t="n">
        <x:v>6</x:v>
      </x:c>
      <x:c r="C43" t="n">
        <x:v>0</x:v>
      </x:c>
      <x:c r="D43" t="n">
        <x:v>0</x:v>
      </x:c>
      <x:c r="E43" s="19" t="n">
        <x:v>4631.7</x:v>
      </x:c>
    </x:row>
    <x:row r="44" ht="15" hidden="0">
      <x:c r="A44" s="18" t="n">
        <x:v>46257</x:v>
      </x:c>
      <x:c r="B44" t="n">
        <x:v>9</x:v>
      </x:c>
      <x:c r="C44" t="n">
        <x:v>1</x:v>
      </x:c>
      <x:c r="D44" t="n">
        <x:v>1</x:v>
      </x:c>
      <x:c r="E44" s="19" t="n">
        <x:v>7650.9</x:v>
      </x:c>
    </x:row>
    <x:row r="45" ht="15" hidden="0">
      <x:c r="A45" s="18" t="n">
        <x:v>46258</x:v>
      </x:c>
      <x:c r="B45" t="n">
        <x:v>14</x:v>
      </x:c>
      <x:c r="C45" t="n">
        <x:v>1</x:v>
      </x:c>
      <x:c r="D45" t="n">
        <x:v>1</x:v>
      </x:c>
      <x:c r="E45" s="19" t="n">
        <x:v>13033.7</x:v>
      </x:c>
    </x:row>
    <x:row r="46" ht="15" hidden="0">
      <x:c r="A46" s="18" t="n">
        <x:v>46259</x:v>
      </x:c>
      <x:c r="B46" t="n">
        <x:v>11</x:v>
      </x:c>
      <x:c r="C46" t="n">
        <x:v>1</x:v>
      </x:c>
      <x:c r="D46" t="n">
        <x:v>0</x:v>
      </x:c>
      <x:c r="E46" s="19" t="n">
        <x:v>10068.7</x:v>
      </x:c>
    </x:row>
    <x:row r="47" ht="15" hidden="0">
      <x:c r="A47" s="18" t="n">
        <x:v>46260</x:v>
      </x:c>
      <x:c r="B47" t="n">
        <x:v>17</x:v>
      </x:c>
      <x:c r="C47" t="n">
        <x:v>1</x:v>
      </x:c>
      <x:c r="D47" t="n">
        <x:v>2</x:v>
      </x:c>
      <x:c r="E47" s="19" t="n">
        <x:v>15461</x:v>
      </x:c>
    </x:row>
    <x:row r="48" ht="15" hidden="0">
      <x:c r="A48" s="18" t="n">
        <x:v>46261</x:v>
      </x:c>
      <x:c r="B48" t="n">
        <x:v>10</x:v>
      </x:c>
      <x:c r="C48" t="n">
        <x:v>0</x:v>
      </x:c>
      <x:c r="D48" t="n">
        <x:v>3</x:v>
      </x:c>
      <x:c r="E48" s="19" t="n">
        <x:v>9806.2</x:v>
      </x:c>
    </x:row>
    <x:row r="49" ht="15" hidden="0">
      <x:c r="A49" s="18" t="n">
        <x:v>46262</x:v>
      </x:c>
      <x:c r="B49" t="n">
        <x:v>12</x:v>
      </x:c>
      <x:c r="C49" t="n">
        <x:v>2</x:v>
      </x:c>
      <x:c r="D49" t="n">
        <x:v>3</x:v>
      </x:c>
      <x:c r="E49" s="19" t="n">
        <x:v>10472.2</x:v>
      </x:c>
    </x:row>
    <x:row r="50" ht="15" hidden="0">
      <x:c r="A50" s="18" t="n">
        <x:v>46263</x:v>
      </x:c>
      <x:c r="B50" t="n">
        <x:v>11</x:v>
      </x:c>
      <x:c r="C50" t="n">
        <x:v>1</x:v>
      </x:c>
      <x:c r="D50" t="n">
        <x:v>1</x:v>
      </x:c>
      <x:c r="E50" s="19" t="n">
        <x:v>9997.4</x:v>
      </x:c>
    </x:row>
    <x:row r="51" ht="15" hidden="0">
      <x:c r="A51" s="18" t="n">
        <x:v>46264</x:v>
      </x:c>
      <x:c r="B51" t="n">
        <x:v>9</x:v>
      </x:c>
      <x:c r="C51" t="n">
        <x:v>3</x:v>
      </x:c>
      <x:c r="D51" t="n">
        <x:v>0</x:v>
      </x:c>
      <x:c r="E51" s="19" t="n">
        <x:v>9256.4</x:v>
      </x:c>
    </x:row>
    <x:row r="52" ht="15" hidden="0">
      <x:c r="A52" s="18" t="n">
        <x:v>46265</x:v>
      </x:c>
      <x:c r="B52" t="n">
        <x:v>11</x:v>
      </x:c>
      <x:c r="C52" t="n">
        <x:v>5</x:v>
      </x:c>
      <x:c r="D52" t="n">
        <x:v>0</x:v>
      </x:c>
      <x:c r="E52" s="19" t="n">
        <x:v>10910.7</x:v>
      </x:c>
    </x:row>
    <x:row r="53" ht="15" hidden="0">
      <x:c r="A53" s="18" t="n">
        <x:v>46266</x:v>
      </x:c>
      <x:c r="B53" t="n">
        <x:v>14</x:v>
      </x:c>
      <x:c r="C53" t="n">
        <x:v>0</x:v>
      </x:c>
      <x:c r="D53" t="n">
        <x:v>1</x:v>
      </x:c>
      <x:c r="E53" s="19" t="n">
        <x:v>13267.3</x:v>
      </x:c>
    </x:row>
    <x:row r="54" ht="15" hidden="0">
      <x:c r="A54" s="18" t="n">
        <x:v>46267</x:v>
      </x:c>
      <x:c r="B54" t="n">
        <x:v>12</x:v>
      </x:c>
      <x:c r="C54" t="n">
        <x:v>1</x:v>
      </x:c>
      <x:c r="D54" t="n">
        <x:v>0</x:v>
      </x:c>
      <x:c r="E54" s="19" t="n">
        <x:v>12307.8</x:v>
      </x:c>
    </x:row>
    <x:row r="55" ht="15" hidden="0">
      <x:c r="A55" s="18" t="n">
        <x:v>46268</x:v>
      </x:c>
      <x:c r="B55" t="n">
        <x:v>14</x:v>
      </x:c>
      <x:c r="C55" t="n">
        <x:v>1</x:v>
      </x:c>
      <x:c r="D55" t="n">
        <x:v>0</x:v>
      </x:c>
      <x:c r="E55" s="19" t="n">
        <x:v>12126.5</x:v>
      </x:c>
    </x:row>
    <x:row r="56" ht="15" hidden="0">
      <x:c r="A56" s="18" t="n">
        <x:v>46269</x:v>
      </x:c>
      <x:c r="B56" t="n">
        <x:v>12</x:v>
      </x:c>
      <x:c r="C56" t="n">
        <x:v>0</x:v>
      </x:c>
      <x:c r="D56" t="n">
        <x:v>0</x:v>
      </x:c>
      <x:c r="E56" s="19" t="n">
        <x:v>9395.9</x:v>
      </x:c>
    </x:row>
    <x:row r="57" ht="15" hidden="0">
      <x:c r="A57" s="18" t="n">
        <x:v>46270</x:v>
      </x:c>
      <x:c r="B57" t="n">
        <x:v>7</x:v>
      </x:c>
      <x:c r="C57" t="n">
        <x:v>1</x:v>
      </x:c>
      <x:c r="D57" t="n">
        <x:v>1</x:v>
      </x:c>
      <x:c r="E57" s="19" t="n">
        <x:v>6296.6</x:v>
      </x:c>
    </x:row>
    <x:row r="58" ht="15" hidden="0">
      <x:c r="A58" s="18" t="n">
        <x:v>46271</x:v>
      </x:c>
      <x:c r="B58" t="n">
        <x:v>7</x:v>
      </x:c>
      <x:c r="C58" t="n">
        <x:v>2</x:v>
      </x:c>
      <x:c r="D58" t="n">
        <x:v>0</x:v>
      </x:c>
      <x:c r="E58" s="19" t="n">
        <x:v>6151.7</x:v>
      </x:c>
    </x:row>
    <x:row r="59" ht="15" hidden="0">
      <x:c r="A59" s="18" t="n">
        <x:v>46272</x:v>
      </x:c>
      <x:c r="B59" t="n">
        <x:v>14</x:v>
      </x:c>
      <x:c r="C59" t="n">
        <x:v>1</x:v>
      </x:c>
      <x:c r="D59" t="n">
        <x:v>4</x:v>
      </x:c>
      <x:c r="E59" s="19" t="n">
        <x:v>13244.2</x:v>
      </x:c>
    </x:row>
    <x:row r="60" ht="15" hidden="0">
      <x:c r="A60" s="18" t="n">
        <x:v>46273</x:v>
      </x:c>
      <x:c r="B60" t="n">
        <x:v>16</x:v>
      </x:c>
      <x:c r="C60" t="n">
        <x:v>1</x:v>
      </x:c>
      <x:c r="D60" t="n">
        <x:v>2</x:v>
      </x:c>
      <x:c r="E60" s="19" t="n">
        <x:v>15228.7</x:v>
      </x:c>
    </x:row>
    <x:row r="61" ht="15" hidden="0">
      <x:c r="A61" s="18" t="n">
        <x:v>46274</x:v>
      </x:c>
      <x:c r="B61" t="n">
        <x:v>14</x:v>
      </x:c>
      <x:c r="C61" t="n">
        <x:v>1</x:v>
      </x:c>
      <x:c r="D61" t="n">
        <x:v>3</x:v>
      </x:c>
      <x:c r="E61" s="19" t="n">
        <x:v>12201.2</x:v>
      </x:c>
    </x:row>
    <x:row r="62" ht="15" hidden="0">
      <x:c r="A62" s="18" t="n">
        <x:v>46275</x:v>
      </x:c>
      <x:c r="B62" t="n">
        <x:v>13</x:v>
      </x:c>
      <x:c r="C62" t="n">
        <x:v>2</x:v>
      </x:c>
      <x:c r="D62" t="n">
        <x:v>2</x:v>
      </x:c>
      <x:c r="E62" s="19" t="n">
        <x:v>13206.9</x:v>
      </x:c>
    </x:row>
    <x:row r="63" ht="15" hidden="0">
      <x:c r="A63" s="18" t="n">
        <x:v>46276</x:v>
      </x:c>
      <x:c r="B63" t="n">
        <x:v>14</x:v>
      </x:c>
      <x:c r="C63" t="n">
        <x:v>2</x:v>
      </x:c>
      <x:c r="D63" t="n">
        <x:v>2</x:v>
      </x:c>
      <x:c r="E63" s="19" t="n">
        <x:v>13253.2</x:v>
      </x:c>
    </x:row>
    <x:row r="64" ht="15" hidden="0">
      <x:c r="A64" s="18" t="n">
        <x:v>46277</x:v>
      </x:c>
      <x:c r="B64" t="n">
        <x:v>6</x:v>
      </x:c>
      <x:c r="C64" t="n">
        <x:v>2</x:v>
      </x:c>
      <x:c r="D64" t="n">
        <x:v>0</x:v>
      </x:c>
      <x:c r="E64" s="19" t="n">
        <x:v>5905.8</x:v>
      </x:c>
    </x:row>
    <x:row r="65" ht="15" hidden="0">
      <x:c r="A65" s="18" t="n">
        <x:v>46278</x:v>
      </x:c>
      <x:c r="B65" t="n">
        <x:v>9</x:v>
      </x:c>
      <x:c r="C65" t="n">
        <x:v>0</x:v>
      </x:c>
      <x:c r="D65" t="n">
        <x:v>1</x:v>
      </x:c>
      <x:c r="E65" s="19" t="n">
        <x:v>7623.3</x:v>
      </x:c>
    </x:row>
    <x:row r="66" ht="15" hidden="0">
      <x:c r="A66" s="18" t="n">
        <x:v>46279</x:v>
      </x:c>
      <x:c r="B66" t="n">
        <x:v>16</x:v>
      </x:c>
      <x:c r="C66" t="n">
        <x:v>4</x:v>
      </x:c>
      <x:c r="D66" t="n">
        <x:v>0</x:v>
      </x:c>
      <x:c r="E66" s="19" t="n">
        <x:v>15813.6</x:v>
      </x:c>
    </x:row>
    <x:row r="67" ht="15" hidden="0">
      <x:c r="A67" s="18" t="n">
        <x:v>46280</x:v>
      </x:c>
      <x:c r="B67" t="n">
        <x:v>16</x:v>
      </x:c>
      <x:c r="C67" t="n">
        <x:v>2</x:v>
      </x:c>
      <x:c r="D67" t="n">
        <x:v>0</x:v>
      </x:c>
      <x:c r="E67" s="19" t="n">
        <x:v>15524.5</x:v>
      </x:c>
    </x:row>
    <x:row r="68" ht="15" hidden="0">
      <x:c r="A68" s="18" t="n">
        <x:v>46281</x:v>
      </x:c>
      <x:c r="B68" t="n">
        <x:v>12</x:v>
      </x:c>
      <x:c r="C68" t="n">
        <x:v>1</x:v>
      </x:c>
      <x:c r="D68" t="n">
        <x:v>2</x:v>
      </x:c>
      <x:c r="E68" s="19" t="n">
        <x:v>12811</x:v>
      </x:c>
    </x:row>
    <x:row r="69" ht="15" hidden="0">
      <x:c r="A69" s="18" t="n">
        <x:v>46282</x:v>
      </x:c>
      <x:c r="B69" t="n">
        <x:v>12</x:v>
      </x:c>
      <x:c r="C69" t="n">
        <x:v>2</x:v>
      </x:c>
      <x:c r="D69" t="n">
        <x:v>2</x:v>
      </x:c>
      <x:c r="E69" s="19" t="n">
        <x:v>12450.4</x:v>
      </x:c>
    </x:row>
    <x:row r="70" ht="15" hidden="0">
      <x:c r="A70" s="18" t="n">
        <x:v>46283</x:v>
      </x:c>
      <x:c r="B70" t="n">
        <x:v>15</x:v>
      </x:c>
      <x:c r="C70" t="n">
        <x:v>1</x:v>
      </x:c>
      <x:c r="D70" t="n">
        <x:v>2</x:v>
      </x:c>
      <x:c r="E70" s="19" t="n">
        <x:v>14942.6</x:v>
      </x:c>
    </x:row>
    <x:row r="71" ht="15" hidden="0">
      <x:c r="A71" s="18" t="n">
        <x:v>46284</x:v>
      </x:c>
      <x:c r="B71" t="n">
        <x:v>14</x:v>
      </x:c>
      <x:c r="C71" t="n">
        <x:v>1</x:v>
      </x:c>
      <x:c r="D71" t="n">
        <x:v>1</x:v>
      </x:c>
      <x:c r="E71" s="19" t="n">
        <x:v>12441.2</x:v>
      </x:c>
    </x:row>
    <x:row r="72" ht="15" hidden="0">
      <x:c r="A72" s="18" t="n">
        <x:v>46285</x:v>
      </x:c>
      <x:c r="B72" t="n">
        <x:v>10</x:v>
      </x:c>
      <x:c r="C72" t="n">
        <x:v>1</x:v>
      </x:c>
      <x:c r="D72" t="n">
        <x:v>1</x:v>
      </x:c>
      <x:c r="E72" s="19" t="n">
        <x:v>11292</x:v>
      </x:c>
    </x:row>
    <x:row r="73" ht="15" hidden="0">
      <x:c r="A73" s="18" t="n">
        <x:v>46286</x:v>
      </x:c>
      <x:c r="B73" t="n">
        <x:v>12</x:v>
      </x:c>
      <x:c r="C73" t="n">
        <x:v>2</x:v>
      </x:c>
      <x:c r="D73" t="n">
        <x:v>3</x:v>
      </x:c>
      <x:c r="E73" s="19" t="n">
        <x:v>12066.6</x:v>
      </x:c>
    </x:row>
    <x:row r="74" ht="15" hidden="0">
      <x:c r="A74" s="18" t="n">
        <x:v>46287</x:v>
      </x:c>
      <x:c r="B74" t="n">
        <x:v>13</x:v>
      </x:c>
      <x:c r="C74" t="n">
        <x:v>0</x:v>
      </x:c>
      <x:c r="D74" t="n">
        <x:v>0</x:v>
      </x:c>
      <x:c r="E74" s="19" t="n">
        <x:v>10534.6</x:v>
      </x:c>
    </x:row>
    <x:row r="75" ht="15" hidden="0">
      <x:c r="A75" s="18" t="n">
        <x:v>46288</x:v>
      </x:c>
      <x:c r="B75" t="n">
        <x:v>19</x:v>
      </x:c>
      <x:c r="C75" t="n">
        <x:v>2</x:v>
      </x:c>
      <x:c r="D75" t="n">
        <x:v>2</x:v>
      </x:c>
      <x:c r="E75" s="19" t="n">
        <x:v>17160.2</x:v>
      </x:c>
    </x:row>
    <x:row r="76" ht="15" hidden="0">
      <x:c r="A76" s="18" t="n">
        <x:v>46289</x:v>
      </x:c>
      <x:c r="B76" t="n">
        <x:v>12</x:v>
      </x:c>
      <x:c r="C76" t="n">
        <x:v>2</x:v>
      </x:c>
      <x:c r="D76" t="n">
        <x:v>2</x:v>
      </x:c>
      <x:c r="E76" s="19" t="n">
        <x:v>12152</x:v>
      </x:c>
    </x:row>
    <x:row r="77" ht="15" hidden="0">
      <x:c r="A77" s="18" t="n">
        <x:v>46290</x:v>
      </x:c>
      <x:c r="B77" t="n">
        <x:v>13</x:v>
      </x:c>
      <x:c r="C77" t="n">
        <x:v>1</x:v>
      </x:c>
      <x:c r="D77" t="n">
        <x:v>2</x:v>
      </x:c>
      <x:c r="E77" s="19" t="n">
        <x:v>13531.3</x:v>
      </x:c>
    </x:row>
    <x:row r="78" ht="15" hidden="0">
      <x:c r="A78" s="18" t="n">
        <x:v>46291</x:v>
      </x:c>
      <x:c r="B78" t="n">
        <x:v>13</x:v>
      </x:c>
      <x:c r="C78" t="n">
        <x:v>1</x:v>
      </x:c>
      <x:c r="D78" t="n">
        <x:v>1</x:v>
      </x:c>
      <x:c r="E78" s="19" t="n">
        <x:v>13143.4</x:v>
      </x:c>
    </x:row>
    <x:row r="79" ht="15" hidden="0">
      <x:c r="A79" s="18" t="n">
        <x:v>46292</x:v>
      </x:c>
      <x:c r="B79" t="n">
        <x:v>11</x:v>
      </x:c>
      <x:c r="C79" t="n">
        <x:v>1</x:v>
      </x:c>
      <x:c r="D79" t="n">
        <x:v>0</x:v>
      </x:c>
      <x:c r="E79" s="19" t="n">
        <x:v>13660</x:v>
      </x:c>
    </x:row>
    <x:row r="80" ht="15" hidden="0">
      <x:c r="A80" s="18" t="n">
        <x:v>46293</x:v>
      </x:c>
      <x:c r="B80" t="n">
        <x:v>13</x:v>
      </x:c>
      <x:c r="C80" t="n">
        <x:v>1</x:v>
      </x:c>
      <x:c r="D80" t="n">
        <x:v>1</x:v>
      </x:c>
      <x:c r="E80" s="19" t="n">
        <x:v>13296.9</x:v>
      </x:c>
    </x:row>
    <x:row r="81" ht="15" hidden="0">
      <x:c r="A81" s="18" t="n">
        <x:v>46294</x:v>
      </x:c>
      <x:c r="B81" t="n">
        <x:v>15</x:v>
      </x:c>
      <x:c r="C81" t="n">
        <x:v>0</x:v>
      </x:c>
      <x:c r="D81" t="n">
        <x:v>2</x:v>
      </x:c>
      <x:c r="E81" s="19" t="n">
        <x:v>12918</x:v>
      </x:c>
    </x:row>
    <x:row r="82" ht="15" hidden="0">
      <x:c r="A82" s="18" t="n">
        <x:v>46295</x:v>
      </x:c>
      <x:c r="B82" t="n">
        <x:v>13</x:v>
      </x:c>
      <x:c r="C82" t="n">
        <x:v>0</x:v>
      </x:c>
      <x:c r="D82" t="n">
        <x:v>0</x:v>
      </x:c>
      <x:c r="E82" s="19" t="n">
        <x:v>13153.3</x:v>
      </x:c>
    </x:row>
    <x:row r="83" ht="15" hidden="0">
      <x:c r="A83" s="18" t="n">
        <x:v>46296</x:v>
      </x:c>
      <x:c r="B83" t="n">
        <x:v>13</x:v>
      </x:c>
      <x:c r="C83" t="n">
        <x:v>1</x:v>
      </x:c>
      <x:c r="D83" t="n">
        <x:v>1</x:v>
      </x:c>
      <x:c r="E83" s="19" t="n">
        <x:v>12285.8</x:v>
      </x:c>
    </x:row>
    <x:row r="84" ht="15" hidden="0">
      <x:c r="A84" s="18" t="n">
        <x:v>46297</x:v>
      </x:c>
      <x:c r="B84" t="n">
        <x:v>17</x:v>
      </x:c>
      <x:c r="C84" t="n">
        <x:v>4</x:v>
      </x:c>
      <x:c r="D84" t="n">
        <x:v>1</x:v>
      </x:c>
      <x:c r="E84" s="19" t="n">
        <x:v>18139.6</x:v>
      </x:c>
    </x:row>
    <x:row r="85" ht="15" hidden="0">
      <x:c r="A85" s="18" t="n">
        <x:v>46298</x:v>
      </x:c>
      <x:c r="B85" t="n">
        <x:v>8</x:v>
      </x:c>
      <x:c r="C85" t="n">
        <x:v>0</x:v>
      </x:c>
      <x:c r="D85" t="n">
        <x:v>1</x:v>
      </x:c>
      <x:c r="E85" s="19" t="n">
        <x:v>7470.4</x:v>
      </x:c>
    </x:row>
    <x:row r="86" ht="15" hidden="0">
      <x:c r="A86" s="18" t="n">
        <x:v>46299</x:v>
      </x:c>
      <x:c r="B86" t="n">
        <x:v>12</x:v>
      </x:c>
      <x:c r="C86" t="n">
        <x:v>0</x:v>
      </x:c>
      <x:c r="D86" t="n">
        <x:v>2</x:v>
      </x:c>
      <x:c r="E86" s="19" t="n">
        <x:v>11656.8</x:v>
      </x:c>
    </x:row>
    <x:row r="87" ht="15" hidden="0">
      <x:c r="A87" s="18" t="n">
        <x:v>46300</x:v>
      </x:c>
      <x:c r="B87" t="n">
        <x:v>16</x:v>
      </x:c>
      <x:c r="C87" t="n">
        <x:v>2</x:v>
      </x:c>
      <x:c r="D87" t="n">
        <x:v>1</x:v>
      </x:c>
      <x:c r="E87" s="19" t="n">
        <x:v>17442.7</x:v>
      </x:c>
    </x:row>
    <x:row r="88" ht="15" hidden="0">
      <x:c r="A88" s="18" t="n">
        <x:v>46301</x:v>
      </x:c>
      <x:c r="B88" t="n">
        <x:v>14</x:v>
      </x:c>
      <x:c r="C88" t="n">
        <x:v>0</x:v>
      </x:c>
      <x:c r="D88" t="n">
        <x:v>1</x:v>
      </x:c>
      <x:c r="E88" s="19" t="n">
        <x:v>11221.7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821e7b219064a89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27.239999771118164" hidden="0" customWidth="1"/>
    <x:col min="2" max="2" width="31.780000686645508" hidden="0" customWidth="1"/>
    <x:col min="3" max="3" width="34.060001373291016" hidden="0" customWidth="1"/>
    <x:col min="4" max="4" width="43.13999938964844" hidden="0" customWidth="1"/>
    <x:col min="5" max="5" width="47.68000030517578" hidden="0" customWidth="1"/>
    <x:col min="6" max="6" width="13.619999885559082" hidden="0" customWidth="1"/>
    <x:col min="7" max="7" width="31.780000686645508" hidden="0" customWidth="1"/>
  </x:cols>
  <x:sheetData>
    <x:row r="1" ht="22.049999237060547" hidden="0">
      <x:c r="A1" s="10" t="s">
        <x:v>1319</x:v>
      </x:c>
      <x:c r="B1" s="10"/>
      <x:c r="C1" s="10"/>
      <x:c r="D1" s="10"/>
      <x:c r="E1" s="10"/>
      <x:c r="F1" s="10"/>
      <x:c r="G1" s="10"/>
    </x:row>
    <x:row r="2" ht="15" hidden="0">
      <x:c r="A2" s="20" t="s">
        <x:v>1320</x:v>
      </x:c>
      <x:c r="B2" s="20"/>
      <x:c r="C2" s="20"/>
      <x:c r="D2" s="20"/>
      <x:c r="E2" s="20"/>
      <x:c r="F2" s="20"/>
      <x:c r="G2" s="20"/>
    </x:row>
    <x:row r="4" ht="16.399999618530273" hidden="0">
      <x:c r="A4" s="5" t="s">
        <x:v>1321</x:v>
      </x:c>
      <x:c r="B4" s="5" t="s">
        <x:v>1322</x:v>
      </x:c>
      <x:c r="C4" s="5" t="s">
        <x:v>1323</x:v>
      </x:c>
      <x:c r="D4" s="5" t="s">
        <x:v>1324</x:v>
      </x:c>
      <x:c r="E4" s="5" t="s">
        <x:v>1325</x:v>
      </x:c>
      <x:c r="F4" s="5" t="s">
        <x:v>1326</x:v>
      </x:c>
      <x:c r="G4" s="5" t="s">
        <x:v>1327</x:v>
      </x:c>
    </x:row>
    <x:row r="5" ht="31.299999237060547" hidden="0">
      <x:c r="A5" s="3" t="s">
        <x:v>1313</x:v>
      </x:c>
      <x:c r="B5" s="3" t="s">
        <x:v>76</x:v>
      </x:c>
      <x:c r="C5" s="3" t="s">
        <x:v>1328</x:v>
      </x:c>
      <x:c r="D5" s="3" t="s">
        <x:v>1329</x:v>
      </x:c>
      <x:c r="E5" s="3" t="s">
        <x:v>1330</x:v>
      </x:c>
      <x:c r="F5" s="3" t="s">
        <x:v>1331</x:v>
      </x:c>
      <x:c r="G5" s="3" t="s">
        <x:v>1332</x:v>
      </x:c>
    </x:row>
    <x:row r="6" ht="31.299999237060547" hidden="0">
      <x:c r="A6" s="3" t="s">
        <x:v>1315</x:v>
      </x:c>
      <x:c r="B6" s="3" t="s">
        <x:v>89</x:v>
      </x:c>
      <x:c r="C6" s="3" t="s">
        <x:v>1333</x:v>
      </x:c>
      <x:c r="D6" s="3" t="s">
        <x:v>1334</x:v>
      </x:c>
      <x:c r="E6" s="3" t="s">
        <x:v>1335</x:v>
      </x:c>
      <x:c r="F6" s="3" t="s">
        <x:v>1331</x:v>
      </x:c>
      <x:c r="G6" s="3" t="s">
        <x:v>1336</x:v>
      </x:c>
    </x:row>
    <x:row r="7" ht="46.25" hidden="0">
      <x:c r="A7" s="3" t="s">
        <x:v>53</x:v>
      </x:c>
      <x:c r="B7" s="3" t="s">
        <x:v>53</x:v>
      </x:c>
      <x:c r="C7" s="3" t="s">
        <x:v>1337</x:v>
      </x:c>
      <x:c r="D7" s="3" t="s">
        <x:v>1338</x:v>
      </x:c>
      <x:c r="E7" s="3" t="s">
        <x:v>1339</x:v>
      </x:c>
      <x:c r="F7" s="3" t="s">
        <x:v>1331</x:v>
      </x:c>
      <x:c r="G7" s="3" t="s">
        <x:v>1340</x:v>
      </x:c>
    </x:row>
    <x:row r="8" ht="31.299999237060547" hidden="0">
      <x:c r="A8" s="3" t="s">
        <x:v>66</x:v>
      </x:c>
      <x:c r="B8" s="3" t="s">
        <x:v>66</x:v>
      </x:c>
      <x:c r="C8" s="3" t="s">
        <x:v>1341</x:v>
      </x:c>
      <x:c r="D8" s="3" t="s">
        <x:v>1342</x:v>
      </x:c>
      <x:c r="E8" s="3" t="s">
        <x:v>1343</x:v>
      </x:c>
      <x:c r="F8" s="3" t="s">
        <x:v>1331</x:v>
      </x:c>
      <x:c r="G8" s="3" t="s">
        <x:v>1344</x:v>
      </x:c>
    </x:row>
    <x:row r="9" ht="31.299999237060547" hidden="0">
      <x:c r="A9" s="3" t="s">
        <x:v>69</x:v>
      </x:c>
      <x:c r="B9" s="3" t="s">
        <x:v>69</x:v>
      </x:c>
      <x:c r="C9" s="3" t="s">
        <x:v>1345</x:v>
      </x:c>
      <x:c r="D9" s="3" t="s">
        <x:v>1346</x:v>
      </x:c>
      <x:c r="E9" s="3" t="s">
        <x:v>1347</x:v>
      </x:c>
      <x:c r="F9" s="3" t="s">
        <x:v>1348</x:v>
      </x:c>
      <x:c r="G9" s="3" t="s">
        <x:v>1349</x:v>
      </x:c>
    </x:row>
    <x:row r="10" ht="31.299999237060547" hidden="0">
      <x:c r="A10" s="3" t="s">
        <x:v>70</x:v>
      </x:c>
      <x:c r="B10" s="3" t="s">
        <x:v>70</x:v>
      </x:c>
      <x:c r="C10" s="3" t="s">
        <x:v>1350</x:v>
      </x:c>
      <x:c r="D10" s="3" t="s">
        <x:v>1351</x:v>
      </x:c>
      <x:c r="E10" s="3" t="s">
        <x:v>1352</x:v>
      </x:c>
      <x:c r="F10" s="3" t="s">
        <x:v>1331</x:v>
      </x:c>
      <x:c r="G10" s="3" t="s">
        <x:v>1353</x:v>
      </x:c>
    </x:row>
    <x:row r="11" ht="31.299999237060547" hidden="0">
      <x:c r="A11" s="3" t="s">
        <x:v>72</x:v>
      </x:c>
      <x:c r="B11" s="3" t="s">
        <x:v>72</x:v>
      </x:c>
      <x:c r="C11" s="3" t="s">
        <x:v>1354</x:v>
      </x:c>
      <x:c r="D11" s="3" t="s">
        <x:v>1355</x:v>
      </x:c>
      <x:c r="E11" s="3" t="s">
        <x:v>1356</x:v>
      </x:c>
      <x:c r="F11" s="3" t="s">
        <x:v>1348</x:v>
      </x:c>
      <x:c r="G11" s="3" t="s">
        <x:v>1357</x:v>
      </x:c>
    </x:row>
    <x:row r="12" ht="31.299999237060547" hidden="0">
      <x:c r="A12" s="3" t="s">
        <x:v>71</x:v>
      </x:c>
      <x:c r="B12" s="3" t="s">
        <x:v>71</x:v>
      </x:c>
      <x:c r="C12" s="3" t="s">
        <x:v>1358</x:v>
      </x:c>
      <x:c r="D12" s="3" t="s">
        <x:v>1359</x:v>
      </x:c>
      <x:c r="E12" s="3" t="s">
        <x:v>1360</x:v>
      </x:c>
      <x:c r="F12" s="3" t="s">
        <x:v>1348</x:v>
      </x:c>
      <x:c r="G12" s="3" t="s">
        <x:v>1361</x:v>
      </x:c>
    </x:row>
    <x:row r="13" ht="31.299999237060547" hidden="0">
      <x:c r="A13" s="3" t="s">
        <x:v>73</x:v>
      </x:c>
      <x:c r="B13" s="3" t="s">
        <x:v>73</x:v>
      </x:c>
      <x:c r="C13" s="3" t="s">
        <x:v>1362</x:v>
      </x:c>
      <x:c r="D13" s="3" t="s">
        <x:v>1363</x:v>
      </x:c>
      <x:c r="E13" s="3" t="s">
        <x:v>1364</x:v>
      </x:c>
      <x:c r="F13" s="3" t="s">
        <x:v>1348</x:v>
      </x:c>
      <x:c r="G13" s="3" t="s">
        <x:v>1365</x:v>
      </x:c>
    </x:row>
    <x:row r="14" ht="31.299999237060547" hidden="0">
      <x:c r="A14" s="3" t="s">
        <x:v>56</x:v>
      </x:c>
      <x:c r="B14" s="3" t="s">
        <x:v>56</x:v>
      </x:c>
      <x:c r="C14" s="3" t="s">
        <x:v>1366</x:v>
      </x:c>
      <x:c r="D14" s="3" t="s">
        <x:v>1367</x:v>
      </x:c>
      <x:c r="E14" s="3" t="s">
        <x:v>1368</x:v>
      </x:c>
      <x:c r="F14" s="3" t="s">
        <x:v>1331</x:v>
      </x:c>
      <x:c r="G14" s="3" t="s">
        <x:v>1369</x:v>
      </x:c>
    </x:row>
    <x:row r="15" ht="16.399999618530273" hidden="0">
      <x:c r="A15" s="3" t="s">
        <x:v>55</x:v>
      </x:c>
      <x:c r="B15" s="3" t="s">
        <x:v>55</x:v>
      </x:c>
      <x:c r="C15" s="3" t="s">
        <x:v>1370</x:v>
      </x:c>
      <x:c r="D15" s="3" t="s">
        <x:v>1371</x:v>
      </x:c>
      <x:c r="E15" s="3" t="s">
        <x:v>1372</x:v>
      </x:c>
      <x:c r="F15" s="3" t="s">
        <x:v>1331</x:v>
      </x:c>
      <x:c r="G15" s="3" t="s">
        <x:v>1373</x:v>
      </x:c>
    </x:row>
    <x:row r="16" ht="31.299999237060547" hidden="0">
      <x:c r="A16" s="3" t="s">
        <x:v>1317</x:v>
      </x:c>
      <x:c r="B16" s="3" t="s">
        <x:v>50</x:v>
      </x:c>
      <x:c r="C16" s="3" t="s">
        <x:v>1374</x:v>
      </x:c>
      <x:c r="D16" s="3" t="s">
        <x:v>1375</x:v>
      </x:c>
      <x:c r="E16" s="3" t="s">
        <x:v>1376</x:v>
      </x:c>
      <x:c r="F16" s="3" t="s">
        <x:v>1331</x:v>
      </x:c>
      <x:c r="G16" s="3" t="s">
        <x:v>1377</x:v>
      </x:c>
    </x:row>
    <x:row r="17" ht="31.299999237060547" hidden="0">
      <x:c r="A17" s="3" t="s">
        <x:v>1378</x:v>
      </x:c>
      <x:c r="B17" s="3" t="s">
        <x:v>61</x:v>
      </x:c>
      <x:c r="C17" s="3" t="s">
        <x:v>1379</x:v>
      </x:c>
      <x:c r="D17" s="3" t="s">
        <x:v>1380</x:v>
      </x:c>
      <x:c r="E17" s="3" t="s">
        <x:v>1381</x:v>
      </x:c>
      <x:c r="F17" s="3" t="s">
        <x:v>1331</x:v>
      </x:c>
      <x:c r="G17" s="3" t="s">
        <x:v>1382</x:v>
      </x:c>
    </x:row>
    <x:row r="18" ht="31.299999237060547" hidden="0">
      <x:c r="A18" s="3" t="s">
        <x:v>1383</x:v>
      </x:c>
      <x:c r="B18" s="3" t="s">
        <x:v>87</x:v>
      </x:c>
      <x:c r="C18" s="3" t="s">
        <x:v>1384</x:v>
      </x:c>
      <x:c r="D18" s="3" t="s">
        <x:v>1385</x:v>
      </x:c>
      <x:c r="E18" s="3" t="s">
        <x:v>1386</x:v>
      </x:c>
      <x:c r="F18" s="3" t="s">
        <x:v>1331</x:v>
      </x:c>
      <x:c r="G18" s="3" t="s">
        <x:v>1387</x:v>
      </x:c>
    </x:row>
    <x:row r="19" ht="31.299999237060547" hidden="0">
      <x:c r="A19" s="3" t="s">
        <x:v>1388</x:v>
      </x:c>
      <x:c r="B19" s="3" t="s">
        <x:v>83</x:v>
      </x:c>
      <x:c r="C19" s="3" t="s">
        <x:v>1389</x:v>
      </x:c>
      <x:c r="D19" s="3" t="s">
        <x:v>1390</x:v>
      </x:c>
      <x:c r="E19" s="3" t="s">
        <x:v>1391</x:v>
      </x:c>
      <x:c r="F19" s="3" t="s">
        <x:v>1331</x:v>
      </x:c>
      <x:c r="G19" s="3" t="s">
        <x:v>1392</x:v>
      </x:c>
    </x:row>
    <x:row r="20" ht="16.399999618530273" hidden="0">
      <x:c r="A20" s="3" t="s">
        <x:v>1393</x:v>
      </x:c>
      <x:c r="B20" s="3" t="s">
        <x:v>84</x:v>
      </x:c>
      <x:c r="C20" s="3" t="s">
        <x:v>1389</x:v>
      </x:c>
      <x:c r="D20" s="3" t="s">
        <x:v>1394</x:v>
      </x:c>
      <x:c r="E20" s="3" t="s">
        <x:v>1395</x:v>
      </x:c>
      <x:c r="F20" s="3" t="s">
        <x:v>1348</x:v>
      </x:c>
      <x:c r="G20" s="3" t="s">
        <x:v>1396</x:v>
      </x:c>
    </x:row>
    <x:row r="21" ht="16.399999618530273" hidden="0">
      <x:c r="A21" s="3" t="s">
        <x:v>1397</x:v>
      </x:c>
      <x:c r="B21" s="3" t="s">
        <x:v>88</x:v>
      </x:c>
      <x:c r="C21" s="3" t="s">
        <x:v>1398</x:v>
      </x:c>
      <x:c r="D21" s="3" t="s">
        <x:v>1399</x:v>
      </x:c>
      <x:c r="E21" s="3" t="s">
        <x:v>1400</x:v>
      </x:c>
      <x:c r="F21" s="3" t="s">
        <x:v>1331</x:v>
      </x:c>
      <x:c r="G21" s="3" t="s">
        <x:v>1401</x:v>
      </x:c>
    </x:row>
    <x:row r="22" ht="16.399999618530273" hidden="0">
      <x:c r="A22" s="3" t="s">
        <x:v>1402</x:v>
      </x:c>
      <x:c r="B22" s="3" t="s">
        <x:v>93</x:v>
      </x:c>
      <x:c r="C22" s="3" t="s">
        <x:v>1403</x:v>
      </x:c>
      <x:c r="D22" s="3" t="s">
        <x:v>1404</x:v>
      </x:c>
      <x:c r="E22" s="3" t="s">
        <x:v>1405</x:v>
      </x:c>
      <x:c r="F22" s="3" t="s">
        <x:v>1331</x:v>
      </x:c>
      <x:c r="G22" s="3" t="s">
        <x:v>1349</x:v>
      </x:c>
    </x:row>
    <x:row r="23" ht="16.399999618530273" hidden="0">
      <x:c r="A23" s="3" t="s">
        <x:v>1406</x:v>
      </x:c>
      <x:c r="B23" s="3" t="s">
        <x:v>92</x:v>
      </x:c>
      <x:c r="C23" s="3" t="s">
        <x:v>1407</x:v>
      </x:c>
      <x:c r="D23" s="3" t="s">
        <x:v>1408</x:v>
      </x:c>
      <x:c r="E23" s="3" t="s">
        <x:v>1409</x:v>
      </x:c>
      <x:c r="F23" s="3" t="s">
        <x:v>1348</x:v>
      </x:c>
      <x:c r="G23" s="3" t="s">
        <x:v>1410</x:v>
      </x:c>
    </x:row>
    <x:row r="24" ht="31.299999237060547" hidden="0">
      <x:c r="A24" s="3" t="s">
        <x:v>54</x:v>
      </x:c>
      <x:c r="B24" s="3" t="s">
        <x:v>54</x:v>
      </x:c>
      <x:c r="C24" s="3" t="s">
        <x:v>1411</x:v>
      </x:c>
      <x:c r="D24" s="3" t="s">
        <x:v>1412</x:v>
      </x:c>
      <x:c r="E24" s="3" t="s">
        <x:v>1413</x:v>
      </x:c>
      <x:c r="F24" s="3" t="s">
        <x:v>1348</x:v>
      </x:c>
      <x:c r="G24" s="3" t="s">
        <x:v>1414</x:v>
      </x:c>
    </x:row>
    <x:row r="27" ht="31.299999237060547" hidden="0">
      <x:c r="A27" s="5" t="s">
        <x:v>1415</x:v>
      </x:c>
      <x:c r="B27" s="5" t="s">
        <x:v>1416</x:v>
      </x:c>
      <x:c r="C27" s="5" t="s">
        <x:v>1417</x:v>
      </x:c>
      <x:c r="D27" s="5" t="s">
        <x:v>1418</x:v>
      </x:c>
    </x:row>
    <x:row r="28" ht="31.299999237060547" hidden="0">
      <x:c r="A28" s="3" t="s">
        <x:v>1419</x:v>
      </x:c>
      <x:c r="B28" s="3" t="s">
        <x:v>1420</x:v>
      </x:c>
      <x:c r="C28" s="3" t="s">
        <x:v>1421</x:v>
      </x:c>
      <x:c r="D28" s="3" t="s">
        <x:v>1422</x:v>
      </x:c>
    </x:row>
    <x:row r="29" ht="46.25" hidden="0">
      <x:c r="A29" s="3" t="s">
        <x:v>1423</x:v>
      </x:c>
      <x:c r="B29" s="3" t="s">
        <x:v>1424</x:v>
      </x:c>
      <x:c r="C29" s="3" t="s">
        <x:v>1425</x:v>
      </x:c>
      <x:c r="D29" s="3" t="s">
        <x:v>1426</x:v>
      </x:c>
    </x:row>
    <x:row r="30" ht="46.25" hidden="0">
      <x:c r="A30" s="3" t="s">
        <x:v>1427</x:v>
      </x:c>
      <x:c r="B30" s="3" t="s">
        <x:v>1428</x:v>
      </x:c>
      <x:c r="C30" s="3" t="s">
        <x:v>1429</x:v>
      </x:c>
      <x:c r="D30" s="3" t="s">
        <x:v>1430</x:v>
      </x:c>
    </x:row>
    <x:row r="31" ht="46.25" hidden="0">
      <x:c r="A31" s="3" t="s">
        <x:v>1431</x:v>
      </x:c>
      <x:c r="B31" s="3" t="s">
        <x:v>1432</x:v>
      </x:c>
      <x:c r="C31" s="3" t="s">
        <x:v>1433</x:v>
      </x:c>
      <x:c r="D31" s="3" t="s">
        <x:v>1434</x:v>
      </x:c>
    </x:row>
    <x:row r="32" ht="31.299999237060547" hidden="0">
      <x:c r="A32" s="3" t="s">
        <x:v>1435</x:v>
      </x:c>
      <x:c r="B32" s="3" t="s">
        <x:v>1436</x:v>
      </x:c>
      <x:c r="C32" s="3" t="s">
        <x:v>1437</x:v>
      </x:c>
      <x:c r="D32" s="3" t="s">
        <x:v>1438</x:v>
      </x:c>
    </x:row>
    <x:row r="33" ht="31.299999237060547" hidden="0">
      <x:c r="A33" s="3" t="s">
        <x:v>1439</x:v>
      </x:c>
      <x:c r="B33" s="3" t="s">
        <x:v>1440</x:v>
      </x:c>
      <x:c r="C33" s="3" t="s">
        <x:v>1441</x:v>
      </x:c>
      <x:c r="D33" s="3" t="s">
        <x:v>1442</x:v>
      </x:c>
    </x:row>
    <x:row r="34" ht="31.299999237060547" hidden="0">
      <x:c r="A34" s="3" t="s">
        <x:v>1443</x:v>
      </x:c>
      <x:c r="B34" s="3" t="s">
        <x:v>1444</x:v>
      </x:c>
      <x:c r="C34" s="3" t="s">
        <x:v>1445</x:v>
      </x:c>
      <x:c r="D34" s="3" t="s">
        <x:v>1446</x:v>
      </x:c>
    </x:row>
    <x:row r="35" ht="46.25" hidden="0">
      <x:c r="A35" s="3" t="s">
        <x:v>1447</x:v>
      </x:c>
      <x:c r="B35" s="3" t="s">
        <x:v>1448</x:v>
      </x:c>
      <x:c r="C35" s="3" t="s">
        <x:v>1449</x:v>
      </x:c>
      <x:c r="D35" s="3" t="s">
        <x:v>1450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9" hidden="0" customWidth="1"/>
    <x:col min="4" max="4" width="17" hidden="0" customWidth="1"/>
    <x:col min="5" max="5" width="17" hidden="0" customWidth="1"/>
    <x:col min="6" max="6" width="11" hidden="0" customWidth="1"/>
    <x:col min="7" max="7" width="18" hidden="0" customWidth="1"/>
    <x:col min="8" max="8" width="21" hidden="0" customWidth="1"/>
    <x:col min="9" max="9" width="22" hidden="0" customWidth="1"/>
    <x:col min="10" max="10" width="12" hidden="0" customWidth="1"/>
    <x:col min="11" max="11" width="15" hidden="0" customWidth="1"/>
    <x:col min="12" max="12" width="17" hidden="0" customWidth="1"/>
    <x:col min="13" max="13" width="17" hidden="0" customWidth="1"/>
    <x:col min="14" max="14" width="19" hidden="0" customWidth="1"/>
    <x:col min="15" max="15" width="72" hidden="0" customWidth="1"/>
  </x:cols>
  <x:sheetData>
    <x:row r="1" ht="29" customHeight="1">
      <x:c r="A1" s="45" t="str">
        <x:v>ID_Snapshot</x:v>
      </x:c>
      <x:c r="B1" s="45" t="str">
        <x:v>Horario_Operacional</x:v>
      </x:c>
      <x:c r="C1" s="45" t="str">
        <x:v>Fase</x:v>
      </x:c>
      <x:c r="D1" s="45" t="str">
        <x:v>Duracao_1x_s</x:v>
      </x:c>
      <x:c r="E1" s="45" t="str">
        <x:v>Chamados_Total</x:v>
      </x:c>
      <x:c r="F1" s="45" t="str">
        <x:v>Novos</x:v>
      </x:c>
      <x:c r="G1" s="45" t="str">
        <x:v>Mudancas_Status</x:v>
      </x:c>
      <x:c r="H1" s="45" t="str">
        <x:v>Mudancas_Criticidade</x:v>
      </x:c>
      <x:c r="I1" s="45" t="str">
        <x:v>Concluidos_Acumulados</x:v>
      </x:c>
      <x:c r="J1" s="45" t="str">
        <x:v>Ativos</x:v>
      </x:c>
      <x:c r="K1" s="45" t="str">
        <x:v>Verde_Ativo</x:v>
      </x:c>
      <x:c r="L1" s="45" t="str">
        <x:v>Amarelo_Ativo</x:v>
      </x:c>
      <x:c r="M1" s="45" t="str">
        <x:v>Laranja_Ativo</x:v>
      </x:c>
      <x:c r="N1" s="45" t="str">
        <x:v>Vermelho_Ativo</x:v>
      </x:c>
      <x:c r="O1" s="45" t="str">
        <x:v>Destaque_Observado</x:v>
      </x:c>
    </x:row>
    <x:row r="2" ht="22" customHeight="1">
      <x:c r="A2" t="str">
        <x:v>T00</x:v>
      </x:c>
      <x:c r="B2" s="50" t="n">
        <x:v>46273.333333333336</x:v>
      </x:c>
      <x:c r="C2" t="str">
        <x:v>Abertura</x:v>
      </x:c>
      <x:c r="D2" t="n">
        <x:v>27</x:v>
      </x:c>
      <x:c r="E2" t="n">
        <x:v>10</x:v>
      </x:c>
      <x:c r="F2" t="n">
        <x:v>10</x:v>
      </x:c>
      <x:c r="G2" t="n">
        <x:v>0</x:v>
      </x:c>
      <x:c r="H2" t="n">
        <x:v>0</x:v>
      </x:c>
      <x:c r="I2" t="n">
        <x:v>0</x:v>
      </x:c>
      <x:c r="J2" t="n">
        <x:v>10</x:v>
      </x:c>
      <x:c r="K2" t="n">
        <x:v>3</x:v>
      </x:c>
      <x:c r="L2" t="n">
        <x:v>7</x:v>
      </x:c>
      <x:c r="M2" t="n">
        <x:v>0</x:v>
      </x:c>
      <x:c r="N2" t="n">
        <x:v>0</x:v>
      </x:c>
      <x:c r="O2" t="str">
        <x:v>10 novos · 0 mudanças de status · 0 mudanças de criticidade; 0 laranjas e 0 vermelhos ativos</x:v>
      </x:c>
    </x:row>
    <x:row r="3" ht="22" customHeight="1">
      <x:c r="A3" t="str">
        <x:v>T01</x:v>
      </x:c>
      <x:c r="B3" s="50" t="n">
        <x:v>46273.354166666664</x:v>
      </x:c>
      <x:c r="C3" t="str">
        <x:v>Acompanhamento</x:v>
      </x:c>
      <x:c r="D3" t="n">
        <x:v>27</x:v>
      </x:c>
      <x:c r="E3" t="n">
        <x:v>16</x:v>
      </x:c>
      <x:c r="F3" t="n">
        <x:v>6</x:v>
      </x:c>
      <x:c r="G3" t="n">
        <x:v>9</x:v>
      </x:c>
      <x:c r="H3" t="n">
        <x:v>2</x:v>
      </x:c>
      <x:c r="I3" t="n">
        <x:v>2</x:v>
      </x:c>
      <x:c r="J3" t="n">
        <x:v>14</x:v>
      </x:c>
      <x:c r="K3" t="n">
        <x:v>2</x:v>
      </x:c>
      <x:c r="L3" t="n">
        <x:v>11</x:v>
      </x:c>
      <x:c r="M3" t="n">
        <x:v>0</x:v>
      </x:c>
      <x:c r="N3" t="n">
        <x:v>1</x:v>
      </x:c>
      <x:c r="O3" t="str">
        <x:v>6 novos · 9 mudanças de status · 2 mudanças de criticidade; 0 laranjas e 1 vermelhos ativos</x:v>
      </x:c>
    </x:row>
    <x:row r="4" ht="22" customHeight="1">
      <x:c r="A4" t="str">
        <x:v>T02</x:v>
      </x:c>
      <x:c r="B4" s="50" t="n">
        <x:v>46273.395833333336</x:v>
      </x:c>
      <x:c r="C4" t="str">
        <x:v>Desfecho</x:v>
      </x:c>
      <x:c r="D4" t="n">
        <x:v>27</x:v>
      </x:c>
      <x:c r="E4" t="n">
        <x:v>24</x:v>
      </x:c>
      <x:c r="F4" t="n">
        <x:v>8</x:v>
      </x:c>
      <x:c r="G4" t="n">
        <x:v>13</x:v>
      </x:c>
      <x:c r="H4" t="n">
        <x:v>8</x:v>
      </x:c>
      <x:c r="I4" t="n">
        <x:v>12</x:v>
      </x:c>
      <x:c r="J4" t="n">
        <x:v>12</x:v>
      </x:c>
      <x:c r="K4" t="n">
        <x:v>2</x:v>
      </x:c>
      <x:c r="L4" t="n">
        <x:v>6</x:v>
      </x:c>
      <x:c r="M4" t="n">
        <x:v>2</x:v>
      </x:c>
      <x:c r="N4" t="n">
        <x:v>2</x:v>
      </x:c>
      <x:c r="O4" t="str">
        <x:v>8 novos · 13 mudanças de status · 8 mudanças de criticidade; 2 laranjas e 2 vermelhos ativos</x:v>
      </x:c>
    </x:row>
    <x:row r="5" ht="22" customHeight="1">
      <x:c r="A5" t="str">
        <x:v>T03</x:v>
      </x:c>
      <x:c r="B5" s="50" t="n">
        <x:v>46273.427083333336</x:v>
      </x:c>
      <x:c r="C5" t="str">
        <x:v>Retomada</x:v>
      </x:c>
      <x:c r="D5" t="n">
        <x:v>27</x:v>
      </x:c>
      <x:c r="E5" t="n">
        <x:v>27</x:v>
      </x:c>
      <x:c r="F5" t="n">
        <x:v>3</x:v>
      </x:c>
      <x:c r="G5" t="n">
        <x:v>6</x:v>
      </x:c>
      <x:c r="H5" t="n">
        <x:v>8</x:v>
      </x:c>
      <x:c r="I5" t="n">
        <x:v>14</x:v>
      </x:c>
      <x:c r="J5" t="n">
        <x:v>13</x:v>
      </x:c>
      <x:c r="K5" t="n">
        <x:v>1</x:v>
      </x:c>
      <x:c r="L5" t="n">
        <x:v>3</x:v>
      </x:c>
      <x:c r="M5" t="n">
        <x:v>5</x:v>
      </x:c>
      <x:c r="N5" t="n">
        <x:v>4</x:v>
      </x:c>
      <x:c r="O5" t="str">
        <x:v>3 novos · 6 mudanças de status · 8 mudanças de criticidade; 5 laranjas e 4 vermelhos ativos</x:v>
      </x:c>
    </x:row>
    <x:row r="6" ht="22" customHeight="1">
      <x:c r="A6" t="str">
        <x:v>T04</x:v>
      </x:c>
      <x:c r="B6" s="50" t="n">
        <x:v>46273.458333333336</x:v>
      </x:c>
      <x:c r="C6" t="str">
        <x:v>Priorizacao</x:v>
      </x:c>
      <x:c r="D6" t="n">
        <x:v>27</x:v>
      </x:c>
      <x:c r="E6" t="n">
        <x:v>30</x:v>
      </x:c>
      <x:c r="F6" t="n">
        <x:v>3</x:v>
      </x:c>
      <x:c r="G6" t="n">
        <x:v>7</x:v>
      </x:c>
      <x:c r="H6" t="n">
        <x:v>5</x:v>
      </x:c>
      <x:c r="I6" t="n">
        <x:v>19</x:v>
      </x:c>
      <x:c r="J6" t="n">
        <x:v>11</x:v>
      </x:c>
      <x:c r="K6" t="n">
        <x:v>1</x:v>
      </x:c>
      <x:c r="L6" t="n">
        <x:v>3</x:v>
      </x:c>
      <x:c r="M6" t="n">
        <x:v>4</x:v>
      </x:c>
      <x:c r="N6" t="n">
        <x:v>3</x:v>
      </x:c>
      <x:c r="O6" t="str">
        <x:v>3 novos · 7 mudanças de status · 5 mudanças de criticidade; 4 laranjas e 3 vermelhos ativos</x:v>
      </x:c>
    </x:row>
    <x:row r="7" ht="22" customHeight="1">
      <x:c r="A7" t="str">
        <x:v>T05</x:v>
      </x:c>
      <x:c r="B7" s="50" t="n">
        <x:v>46273.489583333336</x:v>
      </x:c>
      <x:c r="C7" t="str">
        <x:v>Intervencao</x:v>
      </x:c>
      <x:c r="D7" t="n">
        <x:v>27</x:v>
      </x:c>
      <x:c r="E7" t="n">
        <x:v>34</x:v>
      </x:c>
      <x:c r="F7" t="n">
        <x:v>4</x:v>
      </x:c>
      <x:c r="G7" t="n">
        <x:v>9</x:v>
      </x:c>
      <x:c r="H7" t="n">
        <x:v>5</x:v>
      </x:c>
      <x:c r="I7" t="n">
        <x:v>25</x:v>
      </x:c>
      <x:c r="J7" t="n">
        <x:v>9</x:v>
      </x:c>
      <x:c r="K7" t="n">
        <x:v>1</x:v>
      </x:c>
      <x:c r="L7" t="n">
        <x:v>3</x:v>
      </x:c>
      <x:c r="M7" t="n">
        <x:v>3</x:v>
      </x:c>
      <x:c r="N7" t="n">
        <x:v>2</x:v>
      </x:c>
      <x:c r="O7" t="str">
        <x:v>4 novos · 9 mudanças de status · 5 mudanças de criticidade; 3 laranjas e 2 vermelhos ativos</x:v>
      </x:c>
    </x:row>
    <x:row r="8" ht="22" customHeight="1">
      <x:c r="A8" t="str">
        <x:v>T06</x:v>
      </x:c>
      <x:c r="B8" s="50" t="n">
        <x:v>46273.520833333336</x:v>
      </x:c>
      <x:c r="C8" t="str">
        <x:v>Meio-dia</x:v>
      </x:c>
      <x:c r="D8" t="n">
        <x:v>27</x:v>
      </x:c>
      <x:c r="E8" t="n">
        <x:v>37</x:v>
      </x:c>
      <x:c r="F8" t="n">
        <x:v>3</x:v>
      </x:c>
      <x:c r="G8" t="n">
        <x:v>5</x:v>
      </x:c>
      <x:c r="H8" t="n">
        <x:v>5</x:v>
      </x:c>
      <x:c r="I8" t="n">
        <x:v>27</x:v>
      </x:c>
      <x:c r="J8" t="n">
        <x:v>10</x:v>
      </x:c>
      <x:c r="K8" t="n">
        <x:v>0</x:v>
      </x:c>
      <x:c r="L8" t="n">
        <x:v>5</x:v>
      </x:c>
      <x:c r="M8" t="n">
        <x:v>0</x:v>
      </x:c>
      <x:c r="N8" t="n">
        <x:v>5</x:v>
      </x:c>
      <x:c r="O8" t="str">
        <x:v>3 novos · 5 mudanças de status · 5 mudanças de criticidade; 0 laranjas e 5 vermelhos ativos</x:v>
      </x:c>
    </x:row>
    <x:row r="9" ht="22" customHeight="1">
      <x:c r="A9" t="str">
        <x:v>T07</x:v>
      </x:c>
      <x:c r="B9" s="50" t="n">
        <x:v>46273.552083333336</x:v>
      </x:c>
      <x:c r="C9" t="str">
        <x:v>Riscos</x:v>
      </x:c>
      <x:c r="D9" t="n">
        <x:v>27</x:v>
      </x:c>
      <x:c r="E9" t="n">
        <x:v>41</x:v>
      </x:c>
      <x:c r="F9" t="n">
        <x:v>4</x:v>
      </x:c>
      <x:c r="G9" t="n">
        <x:v>8</x:v>
      </x:c>
      <x:c r="H9" t="n">
        <x:v>3</x:v>
      </x:c>
      <x:c r="I9" t="n">
        <x:v>31</x:v>
      </x:c>
      <x:c r="J9" t="n">
        <x:v>10</x:v>
      </x:c>
      <x:c r="K9" t="n">
        <x:v>1</x:v>
      </x:c>
      <x:c r="L9" t="n">
        <x:v>4</x:v>
      </x:c>
      <x:c r="M9" t="n">
        <x:v>1</x:v>
      </x:c>
      <x:c r="N9" t="n">
        <x:v>4</x:v>
      </x:c>
      <x:c r="O9" t="str">
        <x:v>4 novos · 8 mudanças de status · 3 mudanças de criticidade; 1 laranjas e 4 vermelhos ativos</x:v>
      </x:c>
    </x:row>
    <x:row r="10" ht="22" customHeight="1">
      <x:c r="A10" t="str">
        <x:v>T08</x:v>
      </x:c>
      <x:c r="B10" s="50" t="n">
        <x:v>46273.583333333336</x:v>
      </x:c>
      <x:c r="C10" t="str">
        <x:v>Recorrencias</x:v>
      </x:c>
      <x:c r="D10" t="n">
        <x:v>27</x:v>
      </x:c>
      <x:c r="E10" t="n">
        <x:v>44</x:v>
      </x:c>
      <x:c r="F10" t="n">
        <x:v>3</x:v>
      </x:c>
      <x:c r="G10" t="n">
        <x:v>5</x:v>
      </x:c>
      <x:c r="H10" t="n">
        <x:v>3</x:v>
      </x:c>
      <x:c r="I10" t="n">
        <x:v>32</x:v>
      </x:c>
      <x:c r="J10" t="n">
        <x:v>12</x:v>
      </x:c>
      <x:c r="K10" t="n">
        <x:v>1</x:v>
      </x:c>
      <x:c r="L10" t="n">
        <x:v>4</x:v>
      </x:c>
      <x:c r="M10" t="n">
        <x:v>1</x:v>
      </x:c>
      <x:c r="N10" t="n">
        <x:v>6</x:v>
      </x:c>
      <x:c r="O10" t="str">
        <x:v>3 novos · 5 mudanças de status · 3 mudanças de criticidade; 1 laranjas e 6 vermelhos ativos</x:v>
      </x:c>
    </x:row>
    <x:row r="11" ht="22" customHeight="1">
      <x:c r="A11" t="str">
        <x:v>T09</x:v>
      </x:c>
      <x:c r="B11" s="50" t="n">
        <x:v>46273.625</x:v>
      </x:c>
      <x:c r="C11" t="str">
        <x:v>Resposta</x:v>
      </x:c>
      <x:c r="D11" t="n">
        <x:v>27</x:v>
      </x:c>
      <x:c r="E11" t="n">
        <x:v>48</x:v>
      </x:c>
      <x:c r="F11" t="n">
        <x:v>4</x:v>
      </x:c>
      <x:c r="G11" t="n">
        <x:v>8</x:v>
      </x:c>
      <x:c r="H11" t="n">
        <x:v>5</x:v>
      </x:c>
      <x:c r="I11" t="n">
        <x:v>37</x:v>
      </x:c>
      <x:c r="J11" t="n">
        <x:v>11</x:v>
      </x:c>
      <x:c r="K11" t="n">
        <x:v>1</x:v>
      </x:c>
      <x:c r="L11" t="n">
        <x:v>3</x:v>
      </x:c>
      <x:c r="M11" t="n">
        <x:v>1</x:v>
      </x:c>
      <x:c r="N11" t="n">
        <x:v>6</x:v>
      </x:c>
      <x:c r="O11" t="str">
        <x:v>4 novos · 8 mudanças de status · 5 mudanças de criticidade; 1 laranjas e 6 vermelhos ativos</x:v>
      </x:c>
    </x:row>
    <x:row r="12" ht="22" customHeight="1">
      <x:c r="A12" t="str">
        <x:v>T10</x:v>
      </x:c>
      <x:c r="B12" s="50" t="n">
        <x:v>46273.666666666664</x:v>
      </x:c>
      <x:c r="C12" t="str">
        <x:v>Estabilizacao</x:v>
      </x:c>
      <x:c r="D12" t="n">
        <x:v>27</x:v>
      </x:c>
      <x:c r="E12" t="n">
        <x:v>51</x:v>
      </x:c>
      <x:c r="F12" t="n">
        <x:v>3</x:v>
      </x:c>
      <x:c r="G12" t="n">
        <x:v>8</x:v>
      </x:c>
      <x:c r="H12" t="n">
        <x:v>3</x:v>
      </x:c>
      <x:c r="I12" t="n">
        <x:v>42</x:v>
      </x:c>
      <x:c r="J12" t="n">
        <x:v>9</x:v>
      </x:c>
      <x:c r="K12" t="n">
        <x:v>1</x:v>
      </x:c>
      <x:c r="L12" t="n">
        <x:v>3</x:v>
      </x:c>
      <x:c r="M12" t="n">
        <x:v>1</x:v>
      </x:c>
      <x:c r="N12" t="n">
        <x:v>4</x:v>
      </x:c>
      <x:c r="O12" t="str">
        <x:v>3 novos · 8 mudanças de status · 3 mudanças de criticidade; 1 laranjas e 4 vermelhos ativos</x:v>
      </x:c>
    </x:row>
    <x:row r="13" ht="22" customHeight="1">
      <x:c r="A13" t="str">
        <x:v>T11</x:v>
      </x:c>
      <x:c r="B13" s="50" t="n">
        <x:v>46273.708333333336</x:v>
      </x:c>
      <x:c r="C13" t="str">
        <x:v>Fechamento</x:v>
      </x:c>
      <x:c r="D13" t="n">
        <x:v>27</x:v>
      </x:c>
      <x:c r="E13" t="n">
        <x:v>55</x:v>
      </x:c>
      <x:c r="F13" t="n">
        <x:v>4</x:v>
      </x:c>
      <x:c r="G13" t="n">
        <x:v>5</x:v>
      </x:c>
      <x:c r="H13" t="n">
        <x:v>4</x:v>
      </x:c>
      <x:c r="I13" t="n">
        <x:v>45</x:v>
      </x:c>
      <x:c r="J13" t="n">
        <x:v>10</x:v>
      </x:c>
      <x:c r="K13" t="n">
        <x:v>0</x:v>
      </x:c>
      <x:c r="L13" t="n">
        <x:v>5</x:v>
      </x:c>
      <x:c r="M13" t="n">
        <x:v>1</x:v>
      </x:c>
      <x:c r="N13" t="n">
        <x:v>4</x:v>
      </x:c>
      <x:c r="O13" t="str">
        <x:v>4 novos · 5 mudanças de status · 4 mudanças de criticidade; 1 laranjas e 4 vermelhos ativos</x:v>
      </x:c>
    </x:row>
    <x:row r="16" ht="25" customHeight="1">
      <x:c r="A16" s="53" t="str">
        <x:v>RESUMO EXECUTIVO DA SIMULAÇÃO ESTENDIDA</x:v>
      </x:c>
      <x:c r="B16" s="53"/>
      <x:c r="C16" s="53"/>
      <x:c r="D16" s="53"/>
      <x:c r="E16" s="53"/>
      <x:c r="F16" s="53"/>
    </x:row>
    <x:row r="17">
      <x:c r="A17" t="str">
        <x:v>Estados operacionais</x:v>
      </x:c>
      <x:c r="C17" s="56" t="n">
        <x:f>COUNTA(A2:A13)</x:f>
        <x:v>12</x:v>
      </x:c>
      <x:c r="D17"/>
      <x:c r="E17" t="str">
        <x:v>Unidade de leitura temporal: snapshot completo.</x:v>
      </x:c>
    </x:row>
    <x:row r="18">
      <x:c r="A18" t="str">
        <x:v>Chamados finais</x:v>
      </x:c>
      <x:c r="C18" s="56" t="n">
        <x:f>E13</x:f>
        <x:v>55</x:v>
      </x:c>
      <x:c r="D18"/>
      <x:c r="E18" t="str">
        <x:v>Quantidade distinta no último snapshot, sem somar etapas.</x:v>
      </x:c>
    </x:row>
    <x:row r="19">
      <x:c r="A19" t="str">
        <x:v>Chamados adicionados após T2</x:v>
      </x:c>
      <x:c r="C19" s="56" t="n">
        <x:f>E13-E4</x:f>
        <x:v>31</x:v>
      </x:c>
      <x:c r="D19"/>
      <x:c r="E19" t="str">
        <x:v>Casos sintéticos novos, inseridos a partir de T03.</x:v>
      </x:c>
    </x:row>
    <x:row r="20">
      <x:c r="A20" t="str">
        <x:v>Ciclo visual (segundos)</x:v>
      </x:c>
      <x:c r="C20" s="56" t="n">
        <x:f>SUM(D2:D13)+12</x:f>
        <x:v>336</x:v>
      </x:c>
      <x:c r="D20"/>
      <x:c r="E20" t="str">
        <x:v>12 estados de 27s + intervalo de 12s para reinício.</x:v>
      </x:c>
    </x:row>
    <x:row r="21">
      <x:c r="A21" t="str">
        <x:v>Chamados concluídos em T11</x:v>
      </x:c>
      <x:c r="C21" s="56" t="n">
        <x:f>I13</x:f>
        <x:v>45</x:v>
      </x:c>
      <x:c r="D21"/>
      <x:c r="E21" t="str">
        <x:v>Não confundir com criticidade histórica.</x:v>
      </x:c>
    </x:row>
    <x:row r="22">
      <x:c r="A22" t="str">
        <x:v>Chamados ativos em T11</x:v>
      </x:c>
      <x:c r="C22" s="56" t="n">
        <x:f>J13</x:f>
        <x:v>10</x:v>
      </x:c>
      <x:c r="D22"/>
      <x:c r="E22" t="str">
        <x:v>Persistem para continuidade do próximo turno.</x:v>
      </x:c>
    </x:row>
    <x:row r="24" ht="29" customHeight="1">
      <x:c r="A24" s="59" t="str">
        <x:v>NOTA: valores em cada linha são estados completos; não somar chamados entre snapshots. Mudanças representam diferenças observadas entre estados.</x:v>
      </x:c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</x:sheetData>
  <x:mergeCells>
    <x:mergeCell ref="A16:F16"/>
    <x:mergeCell ref="A24:O24"/>
    <x:mergeCell ref="E17:L17"/>
    <x:mergeCell ref="E18:L18"/>
    <x:mergeCell ref="E19:L19"/>
    <x:mergeCell ref="E20:L20"/>
    <x:mergeCell ref="E21:L21"/>
    <x:mergeCell ref="E22:L22"/>
  </x:mergeCells>
  <x:pageMargins left="0.7" right="0.7" top="0.75" bottom="0.75" header="0.3" footer="0.3"/>
  <x:drawing xmlns:r="http://schemas.openxmlformats.org/officeDocument/2006/relationships" r:id="Rc20b2e46afdb41cd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42" hidden="0" customWidth="1"/>
    <x:col min="5" max="5" width="22" hidden="0" customWidth="1"/>
    <x:col min="7" max="7" width="14" hidden="0" customWidth="1"/>
    <x:col min="8" max="8" width="22" hidden="0" customWidth="1"/>
    <x:col min="13" max="13" width="24" hidden="0" customWidth="1"/>
    <x:col min="14" max="14" width="22" hidden="0" customWidth="1"/>
    <x:col min="18" max="18" width="26" hidden="0" customWidth="1"/>
    <x:col min="21" max="21" width="19" hidden="0" customWidth="1"/>
    <x:col min="22" max="22" width="15" hidden="0" customWidth="1"/>
    <x:col min="23" max="23" width="23" hidden="0" customWidth="1"/>
    <x:col min="24" max="24" width="18" hidden="0" customWidth="1"/>
    <x:col min="28" max="28" width="20" hidden="0" customWidth="1"/>
    <x:col min="29" max="29" width="20" hidden="0" customWidth="1"/>
    <x:col min="30" max="30" width="20" hidden="0" customWidth="1"/>
    <x:col min="31" max="31" width="22" hidden="0" customWidth="1"/>
    <x:col min="32" max="32" width="20" hidden="0" customWidth="1"/>
    <x:col min="40" max="40" width="18" hidden="0" customWidth="1"/>
    <x:col min="41" max="41" width="18" hidden="0" customWidth="1"/>
    <x:col min="42" max="42" width="53" hidden="0" customWidth="1"/>
    <x:col min="43" max="43" width="68" hidden="0" customWidth="1"/>
    <x:col min="45" max="45" width="20" hidden="0" customWidth="1"/>
    <x:col min="46" max="46" width="24" hidden="0" customWidth="1"/>
    <x:col min="47" max="47" width="15" hidden="0" customWidth="1"/>
    <x:col min="48" max="48" width="64" hidden="0" customWidth="1"/>
  </x:cols>
  <x:sheetData>
    <x:row r="1" ht="29" customHeight="1">
      <x:c r="A1" s="45" t="str">
        <x:v>ID_Chamado</x:v>
      </x:c>
      <x:c r="B1" s="45" t="str">
        <x:v>Categoria do Chamado</x:v>
      </x:c>
      <x:c r="C1" s="45" t="str">
        <x:v>Problema</x:v>
      </x:c>
      <x:c r="D1" s="45" t="str">
        <x:v>Descrição do Problema</x:v>
      </x:c>
      <x:c r="E1" s="45" t="str">
        <x:v>Status</x:v>
      </x:c>
      <x:c r="F1" s="45" t="str">
        <x:v>Origem</x:v>
      </x:c>
      <x:c r="G1" s="45" t="str">
        <x:v>Unidade</x:v>
      </x:c>
      <x:c r="H1" s="45" t="str">
        <x:v>Tipo de Unidade</x:v>
      </x:c>
      <x:c r="I1" s="45" t="str">
        <x:v>Tipo Controle</x:v>
      </x:c>
      <x:c r="J1" s="45" t="str">
        <x:v>Tipo Máquina</x:v>
      </x:c>
      <x:c r="K1" s="45" t="str">
        <x:v>Fabricante</x:v>
      </x:c>
      <x:c r="L1" s="45" t="str">
        <x:v>Código ROT</x:v>
      </x:c>
      <x:c r="M1" s="45" t="str">
        <x:v>Componente Principal</x:v>
      </x:c>
      <x:c r="N1" s="45" t="str">
        <x:v>Subcomponente</x:v>
      </x:c>
      <x:c r="O1" s="45" t="str">
        <x:v>Defeito</x:v>
      </x:c>
      <x:c r="P1" s="45" t="str">
        <x:v>Falha</x:v>
      </x:c>
      <x:c r="Q1" s="45" t="str">
        <x:v>Fechamento</x:v>
      </x:c>
      <x:c r="R1" s="45" t="str">
        <x:v>Cliente</x:v>
      </x:c>
      <x:c r="S1" s="45" t="str">
        <x:v>VIP</x:v>
      </x:c>
      <x:c r="T1" s="45" t="str">
        <x:v>Corporativo</x:v>
      </x:c>
      <x:c r="U1" s="45" t="str">
        <x:v>Contrato</x:v>
      </x:c>
      <x:c r="V1" s="45" t="str">
        <x:v>Área</x:v>
      </x:c>
      <x:c r="W1" s="45" t="str">
        <x:v>Técnico</x:v>
      </x:c>
      <x:c r="X1" s="45" t="str">
        <x:v>Supervisor</x:v>
      </x:c>
      <x:c r="Y1" s="45" t="str">
        <x:v>Rota</x:v>
      </x:c>
      <x:c r="Z1" s="45" t="str">
        <x:v>Endereço</x:v>
      </x:c>
      <x:c r="AA1" s="45" t="str">
        <x:v>Unidade de Negócio</x:v>
      </x:c>
      <x:c r="AB1" s="45" t="str">
        <x:v>Criado em</x:v>
      </x:c>
      <x:c r="AC1" s="45" t="str">
        <x:v>Contactado</x:v>
      </x:c>
      <x:c r="AD1" s="45" t="str">
        <x:v>Aceito</x:v>
      </x:c>
      <x:c r="AE1" s="45" t="str">
        <x:v>Chegou ao Edifício</x:v>
      </x:c>
      <x:c r="AF1" s="45" t="str">
        <x:v>Saída</x:v>
      </x:c>
      <x:c r="AG1" s="45" t="str">
        <x:v>TA</x:v>
      </x:c>
      <x:c r="AH1" s="45" t="str">
        <x:v>TB</x:v>
      </x:c>
      <x:c r="AI1" s="45" t="str">
        <x:v>Passageiro Preso</x:v>
      </x:c>
      <x:c r="AJ1" s="45" t="str">
        <x:v>Carro Parado</x:v>
      </x:c>
      <x:c r="AK1" s="45" t="str">
        <x:v>SLA_min</x:v>
      </x:c>
      <x:c r="AL1" s="45" t="str">
        <x:v>ETA_min</x:v>
      </x:c>
      <x:c r="AM1" s="45" t="str">
        <x:v>Percentual_SLA</x:v>
      </x:c>
      <x:c r="AN1" s="45" t="str">
        <x:v>Recorrencia_30d</x:v>
      </x:c>
      <x:c r="AO1" s="45" t="str">
        <x:v>Criticidade_ORQUESTRA</x:v>
      </x:c>
      <x:c r="AP1" s="45" t="str">
        <x:v>Motivo_Criticidade</x:v>
      </x:c>
      <x:c r="AQ1" s="45" t="str">
        <x:v>Insight_ORQUESTRA</x:v>
      </x:c>
      <x:c r="AR1" s="45" t="str">
        <x:v>Custo_Estimado_R$</x:v>
      </x:c>
      <x:c r="AS1" s="45" t="str">
        <x:v>Impacto_Contrato</x:v>
      </x:c>
      <x:c r="AT1" s="45" t="str">
        <x:v>Momento_Dataset</x:v>
      </x:c>
      <x:c r="AU1" s="45" t="str">
        <x:v>ID_Snapshot</x:v>
      </x:c>
      <x:c r="AV1" s="45" t="str">
        <x:v>Origem_Cenario</x:v>
      </x:c>
    </x:row>
    <x:row r="2">
      <x:c r="A2" t="str">
        <x:v>CH-20260908-001</x:v>
      </x:c>
      <x:c r="B2" t="str">
        <x:v>Passageiro Preso</x:v>
      </x:c>
      <x:c r="C2" t="str">
        <x:v>Elevador parado entre andares</x:v>
      </x:c>
      <x:c r="D2" t="str">
        <x:v>Cabine imobilizada com passageiro no interior.</x:v>
      </x:c>
      <x:c r="E2" t="str">
        <x:v>Em atendimento</x:v>
      </x:c>
      <x:c r="F2" t="str">
        <x:v>Central de Atendimento</x:v>
      </x:c>
      <x:c r="G2" t="str">
        <x:v>E-101</x:v>
      </x:c>
      <x:c r="H2" t="str">
        <x:v>Elevador Social</x:v>
      </x:c>
      <x:c r="I2" t="str">
        <x:v>Microprocessado</x:v>
      </x:c>
      <x:c r="J2" t="str">
        <x:v>Gearless</x:v>
      </x:c>
      <x:c r="K2" t="str">
        <x:v>OTIS</x:v>
      </x:c>
      <x:c r="L2" t="str">
        <x:v>ROT-001</x:v>
      </x:c>
      <x:c r="M2" t="str">
        <x:v>Tração</x:v>
      </x:c>
      <x:c r="N2" t="str">
        <x:v>Freio</x:v>
      </x:c>
      <x:c r="O2" t="str">
        <x:v>Travamento</x:v>
      </x:c>
      <x:c r="P2" t="str">
        <x:v>Parada total</x:v>
      </x:c>
      <x:c r="Q2"/>
      <x:c r="R2" t="str">
        <x:v>Hospital São Paulo</x:v>
      </x:c>
      <x:c r="S2" t="str">
        <x:v>Sim</x:v>
      </x:c>
      <x:c r="T2" t="str">
        <x:v>Sim</x:v>
      </x:c>
      <x:c r="U2" t="str">
        <x:v>CT-2026-001</x:v>
      </x:c>
      <x:c r="V2" t="str">
        <x:v>SP-Centro</x:v>
      </x:c>
      <x:c r="W2" t="str">
        <x:v>João Silva</x:v>
      </x:c>
      <x:c r="X2" t="str">
        <x:v>Supervisor A</x:v>
      </x:c>
      <x:c r="Y2" t="str">
        <x:v>Rota Centro 01</x:v>
      </x:c>
      <x:c r="Z2" t="str">
        <x:v>Av. Paulista, 1000 - São Paulo/SP</x:v>
      </x:c>
      <x:c r="AA2" t="str">
        <x:v>São Paulo</x:v>
      </x:c>
      <x:c r="AB2" s="50" t="n">
        <x:v>46273.3055555556</x:v>
      </x:c>
      <x:c r="AC2" s="50" t="n">
        <x:v>46273.3076388889</x:v>
      </x:c>
      <x:c r="AD2" s="50" t="n">
        <x:v>46273.3104166667</x:v>
      </x:c>
      <x:c r="AE2" s="50" t="n">
        <x:v>46273.3201388889</x:v>
      </x:c>
      <x:c r="AF2" s="50"/>
      <x:c r="AG2" t="n">
        <x:v>21</x:v>
      </x:c>
      <x:c r="AH2"/>
      <x:c r="AI2" t="str">
        <x:v>Sim</x:v>
      </x:c>
      <x:c r="AJ2" t="str">
        <x:v>Sim</x:v>
      </x:c>
      <x:c r="AK2" t="n">
        <x:v>60</x:v>
      </x:c>
      <x:c r="AL2" t="n">
        <x:v>0</x:v>
      </x:c>
      <x:c r="AM2" s="64" t="n">
        <x:v>0.6667</x:v>
      </x:c>
      <x:c r="AN2" t="n">
        <x:v>0</x:v>
      </x:c>
      <x:c r="AO2" t="str">
        <x:v>Amarelo</x:v>
      </x:c>
      <x:c r="AP2" t="str">
        <x:v>passageiro preso; SLA acima de 55%; carro parado</x:v>
      </x:c>
      <x:c r="AQ2" t="str">
        <x:v>Sem recorrência relevante; acompanhar evolução de Tração.</x:v>
      </x:c>
      <x:c r="AR2" s="62" t="n">
        <x:v>882</x:v>
      </x:c>
      <x:c r="AS2" t="str">
        <x:v>Médio</x:v>
      </x:c>
      <x:c r="AT2" s="50" t="n">
        <x:v>46273.333333333336</x:v>
      </x:c>
      <x:c r="AU2" t="str">
        <x:v>T00</x:v>
      </x:c>
      <x:c r="AV2" t="str">
        <x:v>Snapshot original T0/T1/T2; apenas ocultação de eventos futuros</x:v>
      </x:c>
    </x:row>
    <x:row r="3">
      <x:c r="A3" t="str">
        <x:v>CH-20260908-002</x:v>
      </x:c>
      <x:c r="B3" t="str">
        <x:v>Falha de Nivelamento</x:v>
      </x:c>
      <x:c r="C3" t="str">
        <x:v>Cabine desnivelada</x:v>
      </x:c>
      <x:c r="D3" t="str">
        <x:v>Cabine parou fora do nível do pavimento.</x:v>
      </x:c>
      <x:c r="E3" t="str">
        <x:v>Técnico a caminho</x:v>
      </x:c>
      <x:c r="F3" t="str">
        <x:v>IoT</x:v>
      </x:c>
      <x:c r="G3" t="str">
        <x:v>E-102</x:v>
      </x:c>
      <x:c r="H3" t="str">
        <x:v>Elevador Social</x:v>
      </x:c>
      <x:c r="I3" t="str">
        <x:v>Microprocessado</x:v>
      </x:c>
      <x:c r="J3" t="str">
        <x:v>Gearless</x:v>
      </x:c>
      <x:c r="K3" t="str">
        <x:v>OTIS</x:v>
      </x:c>
      <x:c r="L3" t="str">
        <x:v>ROT-014</x:v>
      </x:c>
      <x:c r="M3" t="str">
        <x:v>Sensor de Nível</x:v>
      </x:c>
      <x:c r="N3" t="str">
        <x:v>Sensor</x:v>
      </x:c>
      <x:c r="O3" t="str">
        <x:v>Leitura inconsistente</x:v>
      </x:c>
      <x:c r="P3" t="str">
        <x:v>Falha de nivelamento</x:v>
      </x:c>
      <x:c r="Q3"/>
      <x:c r="R3" t="str">
        <x:v>Shopping Center Norte</x:v>
      </x:c>
      <x:c r="S3" t="str">
        <x:v>Não</x:v>
      </x:c>
      <x:c r="T3" t="str">
        <x:v>Sim</x:v>
      </x:c>
      <x:c r="U3" t="str">
        <x:v>CT-2026-002</x:v>
      </x:c>
      <x:c r="V3" t="str">
        <x:v>SP-Norte</x:v>
      </x:c>
      <x:c r="W3" t="str">
        <x:v>Marcos Lima</x:v>
      </x:c>
      <x:c r="X3" t="str">
        <x:v>Supervisor B</x:v>
      </x:c>
      <x:c r="Y3" t="str">
        <x:v>Rota Norte 02</x:v>
      </x:c>
      <x:c r="Z3" t="str">
        <x:v>Av. Otto Baumgart, 245 - São Paulo/SP</x:v>
      </x:c>
      <x:c r="AA3" t="str">
        <x:v>São Paulo</x:v>
      </x:c>
      <x:c r="AB3" s="50" t="n">
        <x:v>46273.3090277778</x:v>
      </x:c>
      <x:c r="AC3" s="50" t="n">
        <x:v>46273.3118055556</x:v>
      </x:c>
      <x:c r="AD3" s="50" t="n">
        <x:v>46273.3159722222</x:v>
      </x:c>
      <x:c r="AE3" s="50"/>
      <x:c r="AF3" s="50"/>
      <x:c r="AG3"/>
      <x:c r="AH3"/>
      <x:c r="AI3" t="str">
        <x:v>Não</x:v>
      </x:c>
      <x:c r="AJ3" t="str">
        <x:v>Não</x:v>
      </x:c>
      <x:c r="AK3" t="n">
        <x:v>90</x:v>
      </x:c>
      <x:c r="AL3" t="n">
        <x:v>1</x:v>
      </x:c>
      <x:c r="AM3" s="64" t="n">
        <x:v>0.3889</x:v>
      </x:c>
      <x:c r="AN3" t="n">
        <x:v>1</x:v>
      </x:c>
      <x:c r="AO3" t="str">
        <x:v>Verde</x:v>
      </x:c>
      <x:c r="AP3" t="str">
        <x:v>operação dentro do esperado</x:v>
      </x:c>
      <x:c r="AQ3" t="str">
        <x:v>Há ocorrência recente semelhante; comparar solução anterior de Sensor de Nível.</x:v>
      </x:c>
      <x:c r="AR3" s="62" t="n">
        <x:v>664</x:v>
      </x:c>
      <x:c r="AS3" t="str">
        <x:v>Baixo</x:v>
      </x:c>
      <x:c r="AT3" s="50" t="n">
        <x:v>46273.333333333336</x:v>
      </x:c>
      <x:c r="AU3" t="str">
        <x:v>T00</x:v>
      </x:c>
      <x:c r="AV3" t="str">
        <x:v>Snapshot original T0/T1/T2; apenas ocultação de eventos futuros</x:v>
      </x:c>
    </x:row>
    <x:row r="4">
      <x:c r="A4" t="str">
        <x:v>CH-20260908-003</x:v>
      </x:c>
      <x:c r="B4" t="str">
        <x:v>Porta não fecha</x:v>
      </x:c>
      <x:c r="C4" t="str">
        <x:v>Falha no fechamento</x:v>
      </x:c>
      <x:c r="D4" t="str">
        <x:v>Porta permanece aberta e impede partida.</x:v>
      </x:c>
      <x:c r="E4" t="str">
        <x:v>Técnico a caminho</x:v>
      </x:c>
      <x:c r="F4" t="str">
        <x:v>Aplicativo Cliente</x:v>
      </x:c>
      <x:c r="G4" t="str">
        <x:v>E-103</x:v>
      </x:c>
      <x:c r="H4" t="str">
        <x:v>Elevador Social</x:v>
      </x:c>
      <x:c r="I4" t="str">
        <x:v>Microprocessado</x:v>
      </x:c>
      <x:c r="J4" t="str">
        <x:v>Gearless</x:v>
      </x:c>
      <x:c r="K4" t="str">
        <x:v>OTIS</x:v>
      </x:c>
      <x:c r="L4" t="str">
        <x:v>ROT-021</x:v>
      </x:c>
      <x:c r="M4" t="str">
        <x:v>Operador de Porta</x:v>
      </x:c>
      <x:c r="N4" t="str">
        <x:v>Sensor de porta</x:v>
      </x:c>
      <x:c r="O4" t="str">
        <x:v>Falha de leitura</x:v>
      </x:c>
      <x:c r="P4" t="str">
        <x:v>Porta aberta</x:v>
      </x:c>
      <x:c r="Q4"/>
      <x:c r="R4" t="str">
        <x:v>Edifício Corporate</x:v>
      </x:c>
      <x:c r="S4" t="str">
        <x:v>Não</x:v>
      </x:c>
      <x:c r="T4" t="str">
        <x:v>Sim</x:v>
      </x:c>
      <x:c r="U4" t="str">
        <x:v>CT-2026-003</x:v>
      </x:c>
      <x:c r="V4" t="str">
        <x:v>SP-Oeste</x:v>
      </x:c>
      <x:c r="W4" t="str">
        <x:v>Ana Costa</x:v>
      </x:c>
      <x:c r="X4" t="str">
        <x:v>Supervisor C</x:v>
      </x:c>
      <x:c r="Y4" t="str">
        <x:v>Rota Oeste 03</x:v>
      </x:c>
      <x:c r="Z4" t="str">
        <x:v>Av. Faria Lima, 3500 - São Paulo/SP</x:v>
      </x:c>
      <x:c r="AA4" t="str">
        <x:v>São Paulo</x:v>
      </x:c>
      <x:c r="AB4" s="50" t="n">
        <x:v>46273.3118055556</x:v>
      </x:c>
      <x:c r="AC4" s="50" t="n">
        <x:v>46273.3152777778</x:v>
      </x:c>
      <x:c r="AD4" s="50" t="n">
        <x:v>46273.3166666667</x:v>
      </x:c>
      <x:c r="AE4" s="50"/>
      <x:c r="AF4" s="50"/>
      <x:c r="AG4"/>
      <x:c r="AH4"/>
      <x:c r="AI4" t="str">
        <x:v>Não</x:v>
      </x:c>
      <x:c r="AJ4" t="str">
        <x:v>Não</x:v>
      </x:c>
      <x:c r="AK4" t="n">
        <x:v>120</x:v>
      </x:c>
      <x:c r="AL4" t="n">
        <x:v>9</x:v>
      </x:c>
      <x:c r="AM4" s="64" t="n">
        <x:v>0.2583</x:v>
      </x:c>
      <x:c r="AN4" t="n">
        <x:v>2</x:v>
      </x:c>
      <x:c r="AO4" t="str">
        <x:v>Amarelo</x:v>
      </x:c>
      <x:c r="AP4" t="str">
        <x:v>2 recorrências/30d</x:v>
      </x:c>
      <x:c r="AQ4" t="str">
        <x:v>Há ocorrência recente semelhante; comparar solução anterior de Operador de Porta.</x:v>
      </x:c>
      <x:c r="AR4" s="62" t="n">
        <x:v>769</x:v>
      </x:c>
      <x:c r="AS4" t="str">
        <x:v>Médio</x:v>
      </x:c>
      <x:c r="AT4" s="50" t="n">
        <x:v>46273.333333333336</x:v>
      </x:c>
      <x:c r="AU4" t="str">
        <x:v>T00</x:v>
      </x:c>
      <x:c r="AV4" t="str">
        <x:v>Snapshot original T0/T1/T2; apenas ocultação de eventos futuros</x:v>
      </x:c>
    </x:row>
    <x:row r="5">
      <x:c r="A5" t="str">
        <x:v>CH-20260908-004</x:v>
      </x:c>
      <x:c r="B5" t="str">
        <x:v>Painel sem comunicação</x:v>
      </x:c>
      <x:c r="C5" t="str">
        <x:v>Falha de comunicação</x:v>
      </x:c>
      <x:c r="D5" t="str">
        <x:v>Painel não responde aos comandos.</x:v>
      </x:c>
      <x:c r="E5" t="str">
        <x:v>Técnico a caminho</x:v>
      </x:c>
      <x:c r="F5" t="str">
        <x:v>Monitoramento Remoto</x:v>
      </x:c>
      <x:c r="G5" t="str">
        <x:v>E-104</x:v>
      </x:c>
      <x:c r="H5" t="str">
        <x:v>Elevador Social</x:v>
      </x:c>
      <x:c r="I5" t="str">
        <x:v>Microprocessado</x:v>
      </x:c>
      <x:c r="J5" t="str">
        <x:v>Gearless</x:v>
      </x:c>
      <x:c r="K5" t="str">
        <x:v>OTIS</x:v>
      </x:c>
      <x:c r="L5" t="str">
        <x:v>ROT-033</x:v>
      </x:c>
      <x:c r="M5" t="str">
        <x:v>Painel/Comando</x:v>
      </x:c>
      <x:c r="N5" t="str">
        <x:v>Interface</x:v>
      </x:c>
      <x:c r="O5" t="str">
        <x:v>Sem comunicação</x:v>
      </x:c>
      <x:c r="P5" t="str">
        <x:v>Falha lógica</x:v>
      </x:c>
      <x:c r="Q5"/>
      <x:c r="R5" t="str">
        <x:v>Condomínio Alameda</x:v>
      </x:c>
      <x:c r="S5" t="str">
        <x:v>Não</x:v>
      </x:c>
      <x:c r="T5" t="str">
        <x:v>Não</x:v>
      </x:c>
      <x:c r="U5" t="str">
        <x:v>CT-2026-004</x:v>
      </x:c>
      <x:c r="V5" t="str">
        <x:v>SP-Sul</x:v>
      </x:c>
      <x:c r="W5" t="str">
        <x:v>Carlos Souza</x:v>
      </x:c>
      <x:c r="X5" t="str">
        <x:v>Supervisor D</x:v>
      </x:c>
      <x:c r="Y5" t="str">
        <x:v>Rota Sul 04</x:v>
      </x:c>
      <x:c r="Z5" t="str">
        <x:v>R. das Acácias, 420 - São Paulo/SP</x:v>
      </x:c>
      <x:c r="AA5" t="str">
        <x:v>São Paulo</x:v>
      </x:c>
      <x:c r="AB5" s="50" t="n">
        <x:v>46273.3145833333</x:v>
      </x:c>
      <x:c r="AC5" s="50" t="n">
        <x:v>46273.31875</x:v>
      </x:c>
      <x:c r="AD5" s="50" t="n">
        <x:v>46273.3215277778</x:v>
      </x:c>
      <x:c r="AE5" s="50"/>
      <x:c r="AF5" s="50"/>
      <x:c r="AG5"/>
      <x:c r="AH5"/>
      <x:c r="AI5" t="str">
        <x:v>Não</x:v>
      </x:c>
      <x:c r="AJ5" t="str">
        <x:v>Não</x:v>
      </x:c>
      <x:c r="AK5" t="n">
        <x:v>180</x:v>
      </x:c>
      <x:c r="AL5" t="n">
        <x:v>23</x:v>
      </x:c>
      <x:c r="AM5" s="64" t="n">
        <x:v>0.15</x:v>
      </x:c>
      <x:c r="AN5" t="n">
        <x:v>3</x:v>
      </x:c>
      <x:c r="AO5" t="str">
        <x:v>Amarelo</x:v>
      </x:c>
      <x:c r="AP5" t="str">
        <x:v>3 recorrências/30d</x:v>
      </x:c>
      <x:c r="AQ5" t="str">
        <x:v>Recorrência elevada: verificar padrão histórico em Painel/Comando/Interface.</x:v>
      </x:c>
      <x:c r="AR5" s="62" t="n">
        <x:v>1594</x:v>
      </x:c>
      <x:c r="AS5" t="str">
        <x:v>Alto</x:v>
      </x:c>
      <x:c r="AT5" s="50" t="n">
        <x:v>46273.333333333336</x:v>
      </x:c>
      <x:c r="AU5" t="str">
        <x:v>T00</x:v>
      </x:c>
      <x:c r="AV5" t="str">
        <x:v>Snapshot original T0/T1/T2; apenas ocultação de eventos futuros</x:v>
      </x:c>
    </x:row>
    <x:row r="6">
      <x:c r="A6" t="str">
        <x:v>CH-20260908-005</x:v>
      </x:c>
      <x:c r="B6" t="str">
        <x:v>Falha de Tração</x:v>
      </x:c>
      <x:c r="C6" t="str">
        <x:v>Movimento irregular</x:v>
      </x:c>
      <x:c r="D6" t="str">
        <x:v>Equipamento apresenta perda de tração.</x:v>
      </x:c>
      <x:c r="E6" t="str">
        <x:v>Em atendimento</x:v>
      </x:c>
      <x:c r="F6" t="str">
        <x:v>Central de Atendimento</x:v>
      </x:c>
      <x:c r="G6" t="str">
        <x:v>E-105</x:v>
      </x:c>
      <x:c r="H6" t="str">
        <x:v>Elevador Social</x:v>
      </x:c>
      <x:c r="I6" t="str">
        <x:v>Microprocessado</x:v>
      </x:c>
      <x:c r="J6" t="str">
        <x:v>Gearless</x:v>
      </x:c>
      <x:c r="K6" t="str">
        <x:v>OTIS</x:v>
      </x:c>
      <x:c r="L6" t="str">
        <x:v>ROT-041</x:v>
      </x:c>
      <x:c r="M6" t="str">
        <x:v>Máquina de Tração</x:v>
      </x:c>
      <x:c r="N6" t="str">
        <x:v>Inversor</x:v>
      </x:c>
      <x:c r="O6" t="str">
        <x:v>Oscilação</x:v>
      </x:c>
      <x:c r="P6" t="str">
        <x:v>Falha de movimento</x:v>
      </x:c>
      <x:c r="Q6"/>
      <x:c r="R6" t="str">
        <x:v>Aeroporto Terminal 3</x:v>
      </x:c>
      <x:c r="S6" t="str">
        <x:v>Sim</x:v>
      </x:c>
      <x:c r="T6" t="str">
        <x:v>Sim</x:v>
      </x:c>
      <x:c r="U6" t="str">
        <x:v>CT-2026-005</x:v>
      </x:c>
      <x:c r="V6" t="str">
        <x:v>GRU</x:v>
      </x:c>
      <x:c r="W6" t="str">
        <x:v>Renata Alves</x:v>
      </x:c>
      <x:c r="X6" t="str">
        <x:v>Supervisor A</x:v>
      </x:c>
      <x:c r="Y6" t="str">
        <x:v>Rota GRU 05</x:v>
      </x:c>
      <x:c r="Z6" t="str">
        <x:v>Rod. Hélio Smidt, s/n - Guarulhos/SP</x:v>
      </x:c>
      <x:c r="AA6" t="str">
        <x:v>São Paulo</x:v>
      </x:c>
      <x:c r="AB6" s="50" t="n">
        <x:v>46273.3180555556</x:v>
      </x:c>
      <x:c r="AC6" s="50" t="n">
        <x:v>46273.3194444444</x:v>
      </x:c>
      <x:c r="AD6" s="50" t="n">
        <x:v>46273.3236111111</x:v>
      </x:c>
      <x:c r="AE6" s="50" t="n">
        <x:v>46273.3319444444</x:v>
      </x:c>
      <x:c r="AF6" s="50"/>
      <x:c r="AG6" t="n">
        <x:v>20</x:v>
      </x:c>
      <x:c r="AH6"/>
      <x:c r="AI6" t="str">
        <x:v>Não</x:v>
      </x:c>
      <x:c r="AJ6" t="str">
        <x:v>Sim</x:v>
      </x:c>
      <x:c r="AK6" t="n">
        <x:v>45</x:v>
      </x:c>
      <x:c r="AL6" t="n">
        <x:v>0</x:v>
      </x:c>
      <x:c r="AM6" s="64" t="n">
        <x:v>0.4889</x:v>
      </x:c>
      <x:c r="AN6" t="n">
        <x:v>1</x:v>
      </x:c>
      <x:c r="AO6" t="str">
        <x:v>Amarelo</x:v>
      </x:c>
      <x:c r="AP6" t="str">
        <x:v>carro parado</x:v>
      </x:c>
      <x:c r="AQ6" t="str">
        <x:v>Há ocorrência recente semelhante; comparar solução anterior de Máquina de Tração.</x:v>
      </x:c>
      <x:c r="AR6" s="62" t="n">
        <x:v>1259</x:v>
      </x:c>
      <x:c r="AS6" t="str">
        <x:v>Alto</x:v>
      </x:c>
      <x:c r="AT6" s="50" t="n">
        <x:v>46273.333333333336</x:v>
      </x:c>
      <x:c r="AU6" t="str">
        <x:v>T00</x:v>
      </x:c>
      <x:c r="AV6" t="str">
        <x:v>Snapshot original T0/T1/T2; apenas ocultação de eventos futuros</x:v>
      </x:c>
    </x:row>
    <x:row r="7">
      <x:c r="A7" t="str">
        <x:v>CH-20260908-006</x:v>
      </x:c>
      <x:c r="B7" t="str">
        <x:v>Iluminação de Cabine</x:v>
      </x:c>
      <x:c r="C7" t="str">
        <x:v>Iluminação inoperante</x:v>
      </x:c>
      <x:c r="D7" t="str">
        <x:v>Cabine com iluminação parcial ou total indisponível.</x:v>
      </x:c>
      <x:c r="E7" t="str">
        <x:v>Técnico a caminho</x:v>
      </x:c>
      <x:c r="F7" t="str">
        <x:v>IoT</x:v>
      </x:c>
      <x:c r="G7" t="str">
        <x:v>E-106</x:v>
      </x:c>
      <x:c r="H7" t="str">
        <x:v>Elevador Social</x:v>
      </x:c>
      <x:c r="I7" t="str">
        <x:v>Microprocessado</x:v>
      </x:c>
      <x:c r="J7" t="str">
        <x:v>Gearless</x:v>
      </x:c>
      <x:c r="K7" t="str">
        <x:v>OTIS</x:v>
      </x:c>
      <x:c r="L7" t="str">
        <x:v>ROT-052</x:v>
      </x:c>
      <x:c r="M7" t="str">
        <x:v>Elétrica</x:v>
      </x:c>
      <x:c r="N7" t="str">
        <x:v>Fonte</x:v>
      </x:c>
      <x:c r="O7" t="str">
        <x:v>Sem alimentação</x:v>
      </x:c>
      <x:c r="P7" t="str">
        <x:v>Falha elétrica</x:v>
      </x:c>
      <x:c r="Q7"/>
      <x:c r="R7" t="str">
        <x:v>Universidade Central</x:v>
      </x:c>
      <x:c r="S7" t="str">
        <x:v>Não</x:v>
      </x:c>
      <x:c r="T7" t="str">
        <x:v>Sim</x:v>
      </x:c>
      <x:c r="U7" t="str">
        <x:v>CT-2026-006</x:v>
      </x:c>
      <x:c r="V7" t="str">
        <x:v>SP-Leste</x:v>
      </x:c>
      <x:c r="W7" t="str">
        <x:v>Paulo Mendes</x:v>
      </x:c>
      <x:c r="X7" t="str">
        <x:v>Supervisor B</x:v>
      </x:c>
      <x:c r="Y7" t="str">
        <x:v>Rota Leste 06</x:v>
      </x:c>
      <x:c r="Z7" t="str">
        <x:v>Av. Central, 850 - São Paulo/SP</x:v>
      </x:c>
      <x:c r="AA7" t="str">
        <x:v>São Paulo</x:v>
      </x:c>
      <x:c r="AB7" s="50" t="n">
        <x:v>46273.3215277778</x:v>
      </x:c>
      <x:c r="AC7" s="50" t="n">
        <x:v>46273.3236111111</x:v>
      </x:c>
      <x:c r="AD7" s="50" t="n">
        <x:v>46273.325</x:v>
      </x:c>
      <x:c r="AE7" s="50"/>
      <x:c r="AF7" s="50"/>
      <x:c r="AG7"/>
      <x:c r="AH7"/>
      <x:c r="AI7" t="str">
        <x:v>Não</x:v>
      </x:c>
      <x:c r="AJ7" t="str">
        <x:v>Não</x:v>
      </x:c>
      <x:c r="AK7" t="n">
        <x:v>120</x:v>
      </x:c>
      <x:c r="AL7" t="n">
        <x:v>8</x:v>
      </x:c>
      <x:c r="AM7" s="64" t="n">
        <x:v>0.1417</x:v>
      </x:c>
      <x:c r="AN7" t="n">
        <x:v>0</x:v>
      </x:c>
      <x:c r="AO7" t="str">
        <x:v>Verde</x:v>
      </x:c>
      <x:c r="AP7" t="str">
        <x:v>operação dentro do esperado</x:v>
      </x:c>
      <x:c r="AQ7" t="str">
        <x:v>Sem recorrência relevante; acompanhar evolução de Elétrica.</x:v>
      </x:c>
      <x:c r="AR7" s="62" t="n">
        <x:v>507</x:v>
      </x:c>
      <x:c r="AS7" t="str">
        <x:v>Baixo</x:v>
      </x:c>
      <x:c r="AT7" s="50" t="n">
        <x:v>46273.333333333336</x:v>
      </x:c>
      <x:c r="AU7" t="str">
        <x:v>T00</x:v>
      </x:c>
      <x:c r="AV7" t="str">
        <x:v>Snapshot original T0/T1/T2; apenas ocultação de eventos futuros</x:v>
      </x:c>
    </x:row>
    <x:row r="8">
      <x:c r="A8" t="str">
        <x:v>CH-20260908-007</x:v>
      </x:c>
      <x:c r="B8" t="str">
        <x:v>Botão de Chamada</x:v>
      </x:c>
      <x:c r="C8" t="str">
        <x:v>Botão não responde</x:v>
      </x:c>
      <x:c r="D8" t="str">
        <x:v>Botão de chamada não registra comando.</x:v>
      </x:c>
      <x:c r="E8" t="str">
        <x:v>Técnico a caminho</x:v>
      </x:c>
      <x:c r="F8" t="str">
        <x:v>Aplicativo Cliente</x:v>
      </x:c>
      <x:c r="G8" t="str">
        <x:v>E-107</x:v>
      </x:c>
      <x:c r="H8" t="str">
        <x:v>Elevador Social</x:v>
      </x:c>
      <x:c r="I8" t="str">
        <x:v>Microprocessado</x:v>
      </x:c>
      <x:c r="J8" t="str">
        <x:v>Gearless</x:v>
      </x:c>
      <x:c r="K8" t="str">
        <x:v>OTIS</x:v>
      </x:c>
      <x:c r="L8" t="str">
        <x:v>ROT-063</x:v>
      </x:c>
      <x:c r="M8" t="str">
        <x:v>Botoeira</x:v>
      </x:c>
      <x:c r="N8" t="str">
        <x:v>Contato</x:v>
      </x:c>
      <x:c r="O8" t="str">
        <x:v>Mau contato</x:v>
      </x:c>
      <x:c r="P8" t="str">
        <x:v>Falha de comando</x:v>
      </x:c>
      <x:c r="Q8"/>
      <x:c r="R8" t="str">
        <x:v>Hospital São Paulo</x:v>
      </x:c>
      <x:c r="S8" t="str">
        <x:v>Sim</x:v>
      </x:c>
      <x:c r="T8" t="str">
        <x:v>Sim</x:v>
      </x:c>
      <x:c r="U8" t="str">
        <x:v>CT-2026-001</x:v>
      </x:c>
      <x:c r="V8" t="str">
        <x:v>SP-Centro</x:v>
      </x:c>
      <x:c r="W8" t="str">
        <x:v>João Silva</x:v>
      </x:c>
      <x:c r="X8" t="str">
        <x:v>Supervisor C</x:v>
      </x:c>
      <x:c r="Y8" t="str">
        <x:v>Rota Centro 01</x:v>
      </x:c>
      <x:c r="Z8" t="str">
        <x:v>Av. Paulista, 1000 - São Paulo/SP</x:v>
      </x:c>
      <x:c r="AA8" t="str">
        <x:v>São Paulo</x:v>
      </x:c>
      <x:c r="AB8" s="50" t="n">
        <x:v>46273.3243055556</x:v>
      </x:c>
      <x:c r="AC8" s="50" t="n">
        <x:v>46273.3270833333</x:v>
      </x:c>
      <x:c r="AD8" s="50" t="n">
        <x:v>46273.3298611111</x:v>
      </x:c>
      <x:c r="AE8" s="50"/>
      <x:c r="AF8" s="50"/>
      <x:c r="AG8"/>
      <x:c r="AH8"/>
      <x:c r="AI8" t="str">
        <x:v>Não</x:v>
      </x:c>
      <x:c r="AJ8" t="str">
        <x:v>Não</x:v>
      </x:c>
      <x:c r="AK8" t="n">
        <x:v>60</x:v>
      </x:c>
      <x:c r="AL8" t="n">
        <x:v>22</x:v>
      </x:c>
      <x:c r="AM8" s="64" t="n">
        <x:v>0.2167</x:v>
      </x:c>
      <x:c r="AN8" t="n">
        <x:v>2</x:v>
      </x:c>
      <x:c r="AO8" t="str">
        <x:v>Amarelo</x:v>
      </x:c>
      <x:c r="AP8" t="str">
        <x:v>2 recorrências/30d</x:v>
      </x:c>
      <x:c r="AQ8" t="str">
        <x:v>Há ocorrência recente semelhante; comparar solução anterior de Botoeira.</x:v>
      </x:c>
      <x:c r="AR8" s="62" t="n">
        <x:v>612</x:v>
      </x:c>
      <x:c r="AS8" t="str">
        <x:v>Baixo</x:v>
      </x:c>
      <x:c r="AT8" s="50" t="n">
        <x:v>46273.333333333336</x:v>
      </x:c>
      <x:c r="AU8" t="str">
        <x:v>T00</x:v>
      </x:c>
      <x:c r="AV8" t="str">
        <x:v>Snapshot original T0/T1/T2; apenas ocultação de eventos futuros</x:v>
      </x:c>
    </x:row>
    <x:row r="9">
      <x:c r="A9" t="str">
        <x:v>CH-20260908-008</x:v>
      </x:c>
      <x:c r="B9" t="str">
        <x:v>Parada Intermitente</x:v>
      </x:c>
      <x:c r="C9" t="str">
        <x:v>Paradas aleatórias</x:v>
      </x:c>
      <x:c r="D9" t="str">
        <x:v>Equipamento interrompe operação de forma intermitente.</x:v>
      </x:c>
      <x:c r="E9" t="str">
        <x:v>Contactado</x:v>
      </x:c>
      <x:c r="F9" t="str">
        <x:v>Monitoramento Remoto</x:v>
      </x:c>
      <x:c r="G9" t="str">
        <x:v>E-108</x:v>
      </x:c>
      <x:c r="H9" t="str">
        <x:v>Elevador Social</x:v>
      </x:c>
      <x:c r="I9" t="str">
        <x:v>Microprocessado</x:v>
      </x:c>
      <x:c r="J9" t="str">
        <x:v>Gearless</x:v>
      </x:c>
      <x:c r="K9" t="str">
        <x:v>OTIS</x:v>
      </x:c>
      <x:c r="L9" t="str">
        <x:v>ROT-074</x:v>
      </x:c>
      <x:c r="M9" t="str">
        <x:v>Painel/Comando</x:v>
      </x:c>
      <x:c r="N9" t="str">
        <x:v>Placa</x:v>
      </x:c>
      <x:c r="O9" t="str">
        <x:v>Intermitência</x:v>
      </x:c>
      <x:c r="P9" t="str">
        <x:v>Falha intermitente</x:v>
      </x:c>
      <x:c r="Q9"/>
      <x:c r="R9" t="str">
        <x:v>Shopping Center Norte</x:v>
      </x:c>
      <x:c r="S9" t="str">
        <x:v>Não</x:v>
      </x:c>
      <x:c r="T9" t="str">
        <x:v>Sim</x:v>
      </x:c>
      <x:c r="U9" t="str">
        <x:v>CT-2026-002</x:v>
      </x:c>
      <x:c r="V9" t="str">
        <x:v>SP-Norte</x:v>
      </x:c>
      <x:c r="W9" t="str">
        <x:v>Marcos Lima</x:v>
      </x:c>
      <x:c r="X9" t="str">
        <x:v>Supervisor D</x:v>
      </x:c>
      <x:c r="Y9" t="str">
        <x:v>Rota Norte 02</x:v>
      </x:c>
      <x:c r="Z9" t="str">
        <x:v>Av. Otto Baumgart, 245 - São Paulo/SP</x:v>
      </x:c>
      <x:c r="AA9" t="str">
        <x:v>São Paulo</x:v>
      </x:c>
      <x:c r="AB9" s="50" t="n">
        <x:v>46273.3270833333</x:v>
      </x:c>
      <x:c r="AC9" s="50" t="n">
        <x:v>46273.3305555556</x:v>
      </x:c>
      <x:c r="AD9" s="50"/>
      <x:c r="AE9" s="50"/>
      <x:c r="AF9" s="50"/>
      <x:c r="AG9"/>
      <x:c r="AH9"/>
      <x:c r="AI9" t="str">
        <x:v>Não</x:v>
      </x:c>
      <x:c r="AJ9" t="str">
        <x:v>Sim</x:v>
      </x:c>
      <x:c r="AK9" t="n">
        <x:v>90</x:v>
      </x:c>
      <x:c r="AL9" t="n">
        <x:v>34</x:v>
      </x:c>
      <x:c r="AM9" s="64" t="n">
        <x:v>0.1</x:v>
      </x:c>
      <x:c r="AN9" t="n">
        <x:v>4</x:v>
      </x:c>
      <x:c r="AO9" t="str">
        <x:v>Amarelo</x:v>
      </x:c>
      <x:c r="AP9" t="str">
        <x:v>4 recorrências/30d; carro parado</x:v>
      </x:c>
      <x:c r="AQ9" t="str">
        <x:v>Recorrência elevada: verificar padrão histórico em Painel/Comando/Placa.</x:v>
      </x:c>
      <x:c r="AR9" s="62" t="n">
        <x:v>1437</x:v>
      </x:c>
      <x:c r="AS9" t="str">
        <x:v>Alto</x:v>
      </x:c>
      <x:c r="AT9" s="50" t="n">
        <x:v>46273.333333333336</x:v>
      </x:c>
      <x:c r="AU9" t="str">
        <x:v>T00</x:v>
      </x:c>
      <x:c r="AV9" t="str">
        <x:v>Snapshot original T0/T1/T2; apenas ocultação de eventos futuros</x:v>
      </x:c>
    </x:row>
    <x:row r="10">
      <x:c r="A10" t="str">
        <x:v>CH-20260908-009</x:v>
      </x:c>
      <x:c r="B10" t="str">
        <x:v>Passageiro Preso</x:v>
      </x:c>
      <x:c r="C10" t="str">
        <x:v>Elevador parado entre andares</x:v>
      </x:c>
      <x:c r="D10" t="str">
        <x:v>Cabine imobilizada com passageiro no interior.</x:v>
      </x:c>
      <x:c r="E10" t="str">
        <x:v>Aberto</x:v>
      </x:c>
      <x:c r="F10" t="str">
        <x:v>Central de Atendimento</x:v>
      </x:c>
      <x:c r="G10" t="str">
        <x:v>E-109</x:v>
      </x:c>
      <x:c r="H10" t="str">
        <x:v>Elevador Social</x:v>
      </x:c>
      <x:c r="I10" t="str">
        <x:v>Microprocessado</x:v>
      </x:c>
      <x:c r="J10" t="str">
        <x:v>Gearless</x:v>
      </x:c>
      <x:c r="K10" t="str">
        <x:v>OTIS</x:v>
      </x:c>
      <x:c r="L10" t="str">
        <x:v>ROT-001</x:v>
      </x:c>
      <x:c r="M10" t="str">
        <x:v>Tração</x:v>
      </x:c>
      <x:c r="N10" t="str">
        <x:v>Freio</x:v>
      </x:c>
      <x:c r="O10" t="str">
        <x:v>Travamento</x:v>
      </x:c>
      <x:c r="P10" t="str">
        <x:v>Parada total</x:v>
      </x:c>
      <x:c r="Q10"/>
      <x:c r="R10" t="str">
        <x:v>Edifício Corporate</x:v>
      </x:c>
      <x:c r="S10" t="str">
        <x:v>Não</x:v>
      </x:c>
      <x:c r="T10" t="str">
        <x:v>Sim</x:v>
      </x:c>
      <x:c r="U10" t="str">
        <x:v>CT-2026-003</x:v>
      </x:c>
      <x:c r="V10" t="str">
        <x:v>SP-Oeste</x:v>
      </x:c>
      <x:c r="W10" t="str">
        <x:v>Ana Costa</x:v>
      </x:c>
      <x:c r="X10" t="str">
        <x:v>Supervisor A</x:v>
      </x:c>
      <x:c r="Y10" t="str">
        <x:v>Rota Oeste 03</x:v>
      </x:c>
      <x:c r="Z10" t="str">
        <x:v>Av. Faria Lima, 3500 - São Paulo/SP</x:v>
      </x:c>
      <x:c r="AA10" t="str">
        <x:v>São Paulo</x:v>
      </x:c>
      <x:c r="AB10" s="50" t="n">
        <x:v>46273.3298611111</x:v>
      </x:c>
      <x:c r="AC10" s="50"/>
      <x:c r="AD10" s="50"/>
      <x:c r="AE10" s="50"/>
      <x:c r="AF10" s="50"/>
      <x:c r="AG10"/>
      <x:c r="AH10"/>
      <x:c r="AI10" t="str">
        <x:v>Sim</x:v>
      </x:c>
      <x:c r="AJ10" t="str">
        <x:v>Sim</x:v>
      </x:c>
      <x:c r="AK10" t="n">
        <x:v>120</x:v>
      </x:c>
      <x:c r="AL10" t="n">
        <x:v>36</x:v>
      </x:c>
      <x:c r="AM10" s="64" t="n">
        <x:v>0.0417</x:v>
      </x:c>
      <x:c r="AN10" t="n">
        <x:v>0</x:v>
      </x:c>
      <x:c r="AO10" t="str">
        <x:v>Amarelo</x:v>
      </x:c>
      <x:c r="AP10" t="str">
        <x:v>passageiro preso; carro parado</x:v>
      </x:c>
      <x:c r="AQ10" t="str">
        <x:v>Sem recorrência relevante; acompanhar evolução de Tração.</x:v>
      </x:c>
      <x:c r="AR10" s="62" t="n">
        <x:v>970</x:v>
      </x:c>
      <x:c r="AS10" t="str">
        <x:v>Médio</x:v>
      </x:c>
      <x:c r="AT10" s="50" t="n">
        <x:v>46273.333333333336</x:v>
      </x:c>
      <x:c r="AU10" t="str">
        <x:v>T00</x:v>
      </x:c>
      <x:c r="AV10" t="str">
        <x:v>Snapshot original T0/T1/T2; apenas ocultação de eventos futuros</x:v>
      </x:c>
    </x:row>
    <x:row r="11">
      <x:c r="A11" t="str">
        <x:v>CH-20260908-010</x:v>
      </x:c>
      <x:c r="B11" t="str">
        <x:v>Falha de Nivelamento</x:v>
      </x:c>
      <x:c r="C11" t="str">
        <x:v>Cabine desnivelada</x:v>
      </x:c>
      <x:c r="D11" t="str">
        <x:v>Cabine parou fora do nível do pavimento.</x:v>
      </x:c>
      <x:c r="E11" t="str">
        <x:v>Aberto</x:v>
      </x:c>
      <x:c r="F11" t="str">
        <x:v>IoT</x:v>
      </x:c>
      <x:c r="G11" t="str">
        <x:v>E-110</x:v>
      </x:c>
      <x:c r="H11" t="str">
        <x:v>Elevador Social</x:v>
      </x:c>
      <x:c r="I11" t="str">
        <x:v>Microprocessado</x:v>
      </x:c>
      <x:c r="J11" t="str">
        <x:v>Gearless</x:v>
      </x:c>
      <x:c r="K11" t="str">
        <x:v>OTIS</x:v>
      </x:c>
      <x:c r="L11" t="str">
        <x:v>ROT-014</x:v>
      </x:c>
      <x:c r="M11" t="str">
        <x:v>Sensor de Nível</x:v>
      </x:c>
      <x:c r="N11" t="str">
        <x:v>Sensor</x:v>
      </x:c>
      <x:c r="O11" t="str">
        <x:v>Leitura inconsistente</x:v>
      </x:c>
      <x:c r="P11" t="str">
        <x:v>Falha de nivelamento</x:v>
      </x:c>
      <x:c r="Q11"/>
      <x:c r="R11" t="str">
        <x:v>Condomínio Alameda</x:v>
      </x:c>
      <x:c r="S11" t="str">
        <x:v>Não</x:v>
      </x:c>
      <x:c r="T11" t="str">
        <x:v>Não</x:v>
      </x:c>
      <x:c r="U11" t="str">
        <x:v>CT-2026-004</x:v>
      </x:c>
      <x:c r="V11" t="str">
        <x:v>SP-Sul</x:v>
      </x:c>
      <x:c r="W11" t="str">
        <x:v>Carlos Souza</x:v>
      </x:c>
      <x:c r="X11" t="str">
        <x:v>Supervisor B</x:v>
      </x:c>
      <x:c r="Y11" t="str">
        <x:v>Rota Sul 04</x:v>
      </x:c>
      <x:c r="Z11" t="str">
        <x:v>R. das Acácias, 420 - São Paulo/SP</x:v>
      </x:c>
      <x:c r="AA11" t="str">
        <x:v>São Paulo</x:v>
      </x:c>
      <x:c r="AB11" s="50" t="n">
        <x:v>46273.3326388889</x:v>
      </x:c>
      <x:c r="AC11" s="50"/>
      <x:c r="AD11" s="50"/>
      <x:c r="AE11" s="50"/>
      <x:c r="AF11" s="50"/>
      <x:c r="AG11"/>
      <x:c r="AH11"/>
      <x:c r="AI11" t="str">
        <x:v>Não</x:v>
      </x:c>
      <x:c r="AJ11" t="str">
        <x:v>Não</x:v>
      </x:c>
      <x:c r="AK11" t="n">
        <x:v>180</x:v>
      </x:c>
      <x:c r="AL11" t="n">
        <x:v>14</x:v>
      </x:c>
      <x:c r="AM11" s="64" t="n">
        <x:v>0.0056</x:v>
      </x:c>
      <x:c r="AN11" t="n">
        <x:v>1</x:v>
      </x:c>
      <x:c r="AO11" t="str">
        <x:v>Verde</x:v>
      </x:c>
      <x:c r="AP11" t="str">
        <x:v>operação dentro do esperado</x:v>
      </x:c>
      <x:c r="AQ11" t="str">
        <x:v>Há ocorrência recente semelhante; comparar solução anterior de Sensor de Nível.</x:v>
      </x:c>
      <x:c r="AR11" s="62" t="n">
        <x:v>791</x:v>
      </x:c>
      <x:c r="AS11" t="str">
        <x:v>Médio</x:v>
      </x:c>
      <x:c r="AT11" s="50" t="n">
        <x:v>46273.333333333336</x:v>
      </x:c>
      <x:c r="AU11" t="str">
        <x:v>T00</x:v>
      </x:c>
      <x:c r="AV11" t="str">
        <x:v>Snapshot original T0/T1/T2; apenas ocultação de eventos futuros</x:v>
      </x:c>
    </x:row>
    <x:row r="12">
      <x:c r="A12" t="str">
        <x:v>CH-20260908-001</x:v>
      </x:c>
      <x:c r="B12" t="str">
        <x:v>Passageiro Preso</x:v>
      </x:c>
      <x:c r="C12" t="str">
        <x:v>Elevador parado entre andares</x:v>
      </x:c>
      <x:c r="D12" t="str">
        <x:v>Cabine imobilizada com passageiro no interior.</x:v>
      </x:c>
      <x:c r="E12" t="str">
        <x:v>Concluído</x:v>
      </x:c>
      <x:c r="F12" t="str">
        <x:v>Central de Atendimento</x:v>
      </x:c>
      <x:c r="G12" t="str">
        <x:v>E-101</x:v>
      </x:c>
      <x:c r="H12" t="str">
        <x:v>Elevador Social</x:v>
      </x:c>
      <x:c r="I12" t="str">
        <x:v>Microprocessado</x:v>
      </x:c>
      <x:c r="J12" t="str">
        <x:v>Gearless</x:v>
      </x:c>
      <x:c r="K12" t="str">
        <x:v>OTIS</x:v>
      </x:c>
      <x:c r="L12" t="str">
        <x:v>ROT-001</x:v>
      </x:c>
      <x:c r="M12" t="str">
        <x:v>Tração</x:v>
      </x:c>
      <x:c r="N12" t="str">
        <x:v>Freio</x:v>
      </x:c>
      <x:c r="O12" t="str">
        <x:v>Travamento</x:v>
      </x:c>
      <x:c r="P12" t="str">
        <x:v>Parada total</x:v>
      </x:c>
      <x:c r="Q12" t="str">
        <x:v>Resgate concluído e equipamento normalizado</x:v>
      </x:c>
      <x:c r="R12" t="str">
        <x:v>Hospital São Paulo</x:v>
      </x:c>
      <x:c r="S12" t="str">
        <x:v>Sim</x:v>
      </x:c>
      <x:c r="T12" t="str">
        <x:v>Sim</x:v>
      </x:c>
      <x:c r="U12" t="str">
        <x:v>CT-2026-001</x:v>
      </x:c>
      <x:c r="V12" t="str">
        <x:v>SP-Centro</x:v>
      </x:c>
      <x:c r="W12" t="str">
        <x:v>João Silva</x:v>
      </x:c>
      <x:c r="X12" t="str">
        <x:v>Supervisor A</x:v>
      </x:c>
      <x:c r="Y12" t="str">
        <x:v>Rota Centro 01</x:v>
      </x:c>
      <x:c r="Z12" t="str">
        <x:v>Av. Paulista, 1000 - São Paulo/SP</x:v>
      </x:c>
      <x:c r="AA12" t="str">
        <x:v>São Paulo</x:v>
      </x:c>
      <x:c r="AB12" s="50" t="n">
        <x:v>46273.3055555556</x:v>
      </x:c>
      <x:c r="AC12" s="50" t="n">
        <x:v>46273.3076388889</x:v>
      </x:c>
      <x:c r="AD12" s="50" t="n">
        <x:v>46273.3104166667</x:v>
      </x:c>
      <x:c r="AE12" s="50" t="n">
        <x:v>46273.3201388889</x:v>
      </x:c>
      <x:c r="AF12" s="50" t="n">
        <x:v>46273.3430555556</x:v>
      </x:c>
      <x:c r="AG12" t="n">
        <x:v>21</x:v>
      </x:c>
      <x:c r="AH12" t="n">
        <x:v>28</x:v>
      </x:c>
      <x:c r="AI12" t="str">
        <x:v>Sim</x:v>
      </x:c>
      <x:c r="AJ12" t="str">
        <x:v>Sim</x:v>
      </x:c>
      <x:c r="AK12" t="n">
        <x:v>60</x:v>
      </x:c>
      <x:c r="AL12" t="n">
        <x:v>0</x:v>
      </x:c>
      <x:c r="AM12" s="64" t="n">
        <x:v>0.8167</x:v>
      </x:c>
      <x:c r="AN12" t="n">
        <x:v>0</x:v>
      </x:c>
      <x:c r="AO12" t="str">
        <x:v>Amarelo</x:v>
      </x:c>
      <x:c r="AP12" t="str">
        <x:v>passageiro preso; SLA acima de 80%; carro parado</x:v>
      </x:c>
      <x:c r="AQ12" t="str">
        <x:v>Sem recorrência relevante; acompanhar evolução de Tração.</x:v>
      </x:c>
      <x:c r="AR12" s="62" t="n">
        <x:v>882</x:v>
      </x:c>
      <x:c r="AS12" t="str">
        <x:v>Médio</x:v>
      </x:c>
      <x:c r="AT12" s="50" t="n">
        <x:v>46273.354166666664</x:v>
      </x:c>
      <x:c r="AU12" t="str">
        <x:v>T01</x:v>
      </x:c>
      <x:c r="AV12" t="str">
        <x:v>Snapshot original T0/T1/T2; apenas ocultação de eventos futuros</x:v>
      </x:c>
    </x:row>
    <x:row r="13">
      <x:c r="A13" t="str">
        <x:v>CH-20260908-002</x:v>
      </x:c>
      <x:c r="B13" t="str">
        <x:v>Falha de Nivelamento</x:v>
      </x:c>
      <x:c r="C13" t="str">
        <x:v>Cabine desnivelada</x:v>
      </x:c>
      <x:c r="D13" t="str">
        <x:v>Cabine parou fora do nível do pavimento.</x:v>
      </x:c>
      <x:c r="E13" t="str">
        <x:v>Em atendimento</x:v>
      </x:c>
      <x:c r="F13" t="str">
        <x:v>IoT</x:v>
      </x:c>
      <x:c r="G13" t="str">
        <x:v>E-102</x:v>
      </x:c>
      <x:c r="H13" t="str">
        <x:v>Elevador Social</x:v>
      </x:c>
      <x:c r="I13" t="str">
        <x:v>Microprocessado</x:v>
      </x:c>
      <x:c r="J13" t="str">
        <x:v>Gearless</x:v>
      </x:c>
      <x:c r="K13" t="str">
        <x:v>OTIS</x:v>
      </x:c>
      <x:c r="L13" t="str">
        <x:v>ROT-014</x:v>
      </x:c>
      <x:c r="M13" t="str">
        <x:v>Sensor de Nível</x:v>
      </x:c>
      <x:c r="N13" t="str">
        <x:v>Sensor</x:v>
      </x:c>
      <x:c r="O13" t="str">
        <x:v>Leitura inconsistente</x:v>
      </x:c>
      <x:c r="P13" t="str">
        <x:v>Falha de nivelamento</x:v>
      </x:c>
      <x:c r="Q13"/>
      <x:c r="R13" t="str">
        <x:v>Shopping Center Norte</x:v>
      </x:c>
      <x:c r="S13" t="str">
        <x:v>Não</x:v>
      </x:c>
      <x:c r="T13" t="str">
        <x:v>Sim</x:v>
      </x:c>
      <x:c r="U13" t="str">
        <x:v>CT-2026-002</x:v>
      </x:c>
      <x:c r="V13" t="str">
        <x:v>SP-Norte</x:v>
      </x:c>
      <x:c r="W13" t="str">
        <x:v>Marcos Lima</x:v>
      </x:c>
      <x:c r="X13" t="str">
        <x:v>Supervisor B</x:v>
      </x:c>
      <x:c r="Y13" t="str">
        <x:v>Rota Norte 02</x:v>
      </x:c>
      <x:c r="Z13" t="str">
        <x:v>Av. Otto Baumgart, 245 - São Paulo/SP</x:v>
      </x:c>
      <x:c r="AA13" t="str">
        <x:v>São Paulo</x:v>
      </x:c>
      <x:c r="AB13" s="50" t="n">
        <x:v>46273.3090277778</x:v>
      </x:c>
      <x:c r="AC13" s="50" t="n">
        <x:v>46273.3118055556</x:v>
      </x:c>
      <x:c r="AD13" s="50" t="n">
        <x:v>46273.3159722222</x:v>
      </x:c>
      <x:c r="AE13" s="50" t="n">
        <x:v>46273.3340277778</x:v>
      </x:c>
      <x:c r="AF13" s="50"/>
      <x:c r="AG13" t="n">
        <x:v>36</x:v>
      </x:c>
      <x:c r="AH13"/>
      <x:c r="AI13" t="str">
        <x:v>Não</x:v>
      </x:c>
      <x:c r="AJ13" t="str">
        <x:v>Não</x:v>
      </x:c>
      <x:c r="AK13" t="n">
        <x:v>90</x:v>
      </x:c>
      <x:c r="AL13" t="n">
        <x:v>0</x:v>
      </x:c>
      <x:c r="AM13" s="64" t="n">
        <x:v>0.7222</x:v>
      </x:c>
      <x:c r="AN13" t="n">
        <x:v>1</x:v>
      </x:c>
      <x:c r="AO13" t="str">
        <x:v>Amarelo</x:v>
      </x:c>
      <x:c r="AP13" t="str">
        <x:v>SLA acima de 55%</x:v>
      </x:c>
      <x:c r="AQ13" t="str">
        <x:v>Há ocorrência recente semelhante; comparar solução anterior de Sensor de Nível.</x:v>
      </x:c>
      <x:c r="AR13" s="62" t="n">
        <x:v>664</x:v>
      </x:c>
      <x:c r="AS13" t="str">
        <x:v>Baixo</x:v>
      </x:c>
      <x:c r="AT13" s="50" t="n">
        <x:v>46273.354166666664</x:v>
      </x:c>
      <x:c r="AU13" t="str">
        <x:v>T01</x:v>
      </x:c>
      <x:c r="AV13" t="str">
        <x:v>Snapshot original T0/T1/T2; apenas ocultação de eventos futuros</x:v>
      </x:c>
    </x:row>
    <x:row r="14">
      <x:c r="A14" t="str">
        <x:v>CH-20260908-003</x:v>
      </x:c>
      <x:c r="B14" t="str">
        <x:v>Porta não fecha</x:v>
      </x:c>
      <x:c r="C14" t="str">
        <x:v>Falha no fechamento</x:v>
      </x:c>
      <x:c r="D14" t="str">
        <x:v>Porta permanece aberta e impede partida.</x:v>
      </x:c>
      <x:c r="E14" t="str">
        <x:v>Em atendimento</x:v>
      </x:c>
      <x:c r="F14" t="str">
        <x:v>Aplicativo Cliente</x:v>
      </x:c>
      <x:c r="G14" t="str">
        <x:v>E-103</x:v>
      </x:c>
      <x:c r="H14" t="str">
        <x:v>Elevador Social</x:v>
      </x:c>
      <x:c r="I14" t="str">
        <x:v>Microprocessado</x:v>
      </x:c>
      <x:c r="J14" t="str">
        <x:v>Gearless</x:v>
      </x:c>
      <x:c r="K14" t="str">
        <x:v>OTIS</x:v>
      </x:c>
      <x:c r="L14" t="str">
        <x:v>ROT-021</x:v>
      </x:c>
      <x:c r="M14" t="str">
        <x:v>Operador de Porta</x:v>
      </x:c>
      <x:c r="N14" t="str">
        <x:v>Sensor de porta</x:v>
      </x:c>
      <x:c r="O14" t="str">
        <x:v>Falha de leitura</x:v>
      </x:c>
      <x:c r="P14" t="str">
        <x:v>Porta aberta</x:v>
      </x:c>
      <x:c r="Q14"/>
      <x:c r="R14" t="str">
        <x:v>Edifício Corporate</x:v>
      </x:c>
      <x:c r="S14" t="str">
        <x:v>Não</x:v>
      </x:c>
      <x:c r="T14" t="str">
        <x:v>Sim</x:v>
      </x:c>
      <x:c r="U14" t="str">
        <x:v>CT-2026-003</x:v>
      </x:c>
      <x:c r="V14" t="str">
        <x:v>SP-Oeste</x:v>
      </x:c>
      <x:c r="W14" t="str">
        <x:v>Ana Costa</x:v>
      </x:c>
      <x:c r="X14" t="str">
        <x:v>Supervisor C</x:v>
      </x:c>
      <x:c r="Y14" t="str">
        <x:v>Rota Oeste 03</x:v>
      </x:c>
      <x:c r="Z14" t="str">
        <x:v>Av. Faria Lima, 3500 - São Paulo/SP</x:v>
      </x:c>
      <x:c r="AA14" t="str">
        <x:v>São Paulo</x:v>
      </x:c>
      <x:c r="AB14" s="50" t="n">
        <x:v>46273.3118055556</x:v>
      </x:c>
      <x:c r="AC14" s="50" t="n">
        <x:v>46273.3152777778</x:v>
      </x:c>
      <x:c r="AD14" s="50" t="n">
        <x:v>46273.3166666667</x:v>
      </x:c>
      <x:c r="AE14" s="50" t="n">
        <x:v>46273.3395833333</x:v>
      </x:c>
      <x:c r="AF14" s="50"/>
      <x:c r="AG14" t="n">
        <x:v>40</x:v>
      </x:c>
      <x:c r="AH14"/>
      <x:c r="AI14" t="str">
        <x:v>Não</x:v>
      </x:c>
      <x:c r="AJ14" t="str">
        <x:v>Não</x:v>
      </x:c>
      <x:c r="AK14" t="n">
        <x:v>120</x:v>
      </x:c>
      <x:c r="AL14" t="n">
        <x:v>0</x:v>
      </x:c>
      <x:c r="AM14" s="64" t="n">
        <x:v>0.5083</x:v>
      </x:c>
      <x:c r="AN14" t="n">
        <x:v>2</x:v>
      </x:c>
      <x:c r="AO14" t="str">
        <x:v>Amarelo</x:v>
      </x:c>
      <x:c r="AP14" t="str">
        <x:v>2 recorrências/30d</x:v>
      </x:c>
      <x:c r="AQ14" t="str">
        <x:v>Há ocorrência recente semelhante; comparar solução anterior de Operador de Porta.</x:v>
      </x:c>
      <x:c r="AR14" s="62" t="n">
        <x:v>769</x:v>
      </x:c>
      <x:c r="AS14" t="str">
        <x:v>Médio</x:v>
      </x:c>
      <x:c r="AT14" s="50" t="n">
        <x:v>46273.354166666664</x:v>
      </x:c>
      <x:c r="AU14" t="str">
        <x:v>T01</x:v>
      </x:c>
      <x:c r="AV14" t="str">
        <x:v>Snapshot original T0/T1/T2; apenas ocultação de eventos futuros</x:v>
      </x:c>
    </x:row>
    <x:row r="15">
      <x:c r="A15" t="str">
        <x:v>CH-20260908-004</x:v>
      </x:c>
      <x:c r="B15" t="str">
        <x:v>Painel sem comunicação</x:v>
      </x:c>
      <x:c r="C15" t="str">
        <x:v>Falha de comunicação</x:v>
      </x:c>
      <x:c r="D15" t="str">
        <x:v>Painel não responde aos comandos.</x:v>
      </x:c>
      <x:c r="E15" t="str">
        <x:v>Em atendimento</x:v>
      </x:c>
      <x:c r="F15" t="str">
        <x:v>Monitoramento Remoto</x:v>
      </x:c>
      <x:c r="G15" t="str">
        <x:v>E-104</x:v>
      </x:c>
      <x:c r="H15" t="str">
        <x:v>Elevador Social</x:v>
      </x:c>
      <x:c r="I15" t="str">
        <x:v>Microprocessado</x:v>
      </x:c>
      <x:c r="J15" t="str">
        <x:v>Gearless</x:v>
      </x:c>
      <x:c r="K15" t="str">
        <x:v>OTIS</x:v>
      </x:c>
      <x:c r="L15" t="str">
        <x:v>ROT-033</x:v>
      </x:c>
      <x:c r="M15" t="str">
        <x:v>Painel/Comando</x:v>
      </x:c>
      <x:c r="N15" t="str">
        <x:v>Interface</x:v>
      </x:c>
      <x:c r="O15" t="str">
        <x:v>Sem comunicação</x:v>
      </x:c>
      <x:c r="P15" t="str">
        <x:v>Falha lógica</x:v>
      </x:c>
      <x:c r="Q15"/>
      <x:c r="R15" t="str">
        <x:v>Condomínio Alameda</x:v>
      </x:c>
      <x:c r="S15" t="str">
        <x:v>Não</x:v>
      </x:c>
      <x:c r="T15" t="str">
        <x:v>Não</x:v>
      </x:c>
      <x:c r="U15" t="str">
        <x:v>CT-2026-004</x:v>
      </x:c>
      <x:c r="V15" t="str">
        <x:v>SP-Sul</x:v>
      </x:c>
      <x:c r="W15" t="str">
        <x:v>Carlos Souza</x:v>
      </x:c>
      <x:c r="X15" t="str">
        <x:v>Supervisor D</x:v>
      </x:c>
      <x:c r="Y15" t="str">
        <x:v>Rota Sul 04</x:v>
      </x:c>
      <x:c r="Z15" t="str">
        <x:v>R. das Acácias, 420 - São Paulo/SP</x:v>
      </x:c>
      <x:c r="AA15" t="str">
        <x:v>São Paulo</x:v>
      </x:c>
      <x:c r="AB15" s="50" t="n">
        <x:v>46273.3145833333</x:v>
      </x:c>
      <x:c r="AC15" s="50" t="n">
        <x:v>46273.31875</x:v>
      </x:c>
      <x:c r="AD15" s="50" t="n">
        <x:v>46273.3215277778</x:v>
      </x:c>
      <x:c r="AE15" s="50" t="n">
        <x:v>46273.3493055556</x:v>
      </x:c>
      <x:c r="AF15" s="50"/>
      <x:c r="AG15" t="n">
        <x:v>50</x:v>
      </x:c>
      <x:c r="AH15"/>
      <x:c r="AI15" t="str">
        <x:v>Não</x:v>
      </x:c>
      <x:c r="AJ15" t="str">
        <x:v>Não</x:v>
      </x:c>
      <x:c r="AK15" t="n">
        <x:v>180</x:v>
      </x:c>
      <x:c r="AL15" t="n">
        <x:v>0</x:v>
      </x:c>
      <x:c r="AM15" s="64" t="n">
        <x:v>0.3167</x:v>
      </x:c>
      <x:c r="AN15" t="n">
        <x:v>3</x:v>
      </x:c>
      <x:c r="AO15" t="str">
        <x:v>Amarelo</x:v>
      </x:c>
      <x:c r="AP15" t="str">
        <x:v>3 recorrências/30d</x:v>
      </x:c>
      <x:c r="AQ15" t="str">
        <x:v>Recorrência elevada: verificar padrão histórico em Painel/Comando/Interface.</x:v>
      </x:c>
      <x:c r="AR15" s="62" t="n">
        <x:v>1594</x:v>
      </x:c>
      <x:c r="AS15" t="str">
        <x:v>Alto</x:v>
      </x:c>
      <x:c r="AT15" s="50" t="n">
        <x:v>46273.354166666664</x:v>
      </x:c>
      <x:c r="AU15" t="str">
        <x:v>T01</x:v>
      </x:c>
      <x:c r="AV15" t="str">
        <x:v>Snapshot original T0/T1/T2; apenas ocultação de eventos futuros</x:v>
      </x:c>
    </x:row>
    <x:row r="16">
      <x:c r="A16" t="str">
        <x:v>CH-20260908-005</x:v>
      </x:c>
      <x:c r="B16" t="str">
        <x:v>Falha de Tração</x:v>
      </x:c>
      <x:c r="C16" t="str">
        <x:v>Movimento irregular</x:v>
      </x:c>
      <x:c r="D16" t="str">
        <x:v>Equipamento apresenta perda de tração.</x:v>
      </x:c>
      <x:c r="E16" t="str">
        <x:v>Em atendimento</x:v>
      </x:c>
      <x:c r="F16" t="str">
        <x:v>Central de Atendimento</x:v>
      </x:c>
      <x:c r="G16" t="str">
        <x:v>E-105</x:v>
      </x:c>
      <x:c r="H16" t="str">
        <x:v>Elevador Social</x:v>
      </x:c>
      <x:c r="I16" t="str">
        <x:v>Microprocessado</x:v>
      </x:c>
      <x:c r="J16" t="str">
        <x:v>Gearless</x:v>
      </x:c>
      <x:c r="K16" t="str">
        <x:v>OTIS</x:v>
      </x:c>
      <x:c r="L16" t="str">
        <x:v>ROT-041</x:v>
      </x:c>
      <x:c r="M16" t="str">
        <x:v>Máquina de Tração</x:v>
      </x:c>
      <x:c r="N16" t="str">
        <x:v>Inversor</x:v>
      </x:c>
      <x:c r="O16" t="str">
        <x:v>Oscilação</x:v>
      </x:c>
      <x:c r="P16" t="str">
        <x:v>Falha de movimento</x:v>
      </x:c>
      <x:c r="Q16"/>
      <x:c r="R16" t="str">
        <x:v>Aeroporto Terminal 3</x:v>
      </x:c>
      <x:c r="S16" t="str">
        <x:v>Sim</x:v>
      </x:c>
      <x:c r="T16" t="str">
        <x:v>Sim</x:v>
      </x:c>
      <x:c r="U16" t="str">
        <x:v>CT-2026-005</x:v>
      </x:c>
      <x:c r="V16" t="str">
        <x:v>GRU</x:v>
      </x:c>
      <x:c r="W16" t="str">
        <x:v>Renata Alves</x:v>
      </x:c>
      <x:c r="X16" t="str">
        <x:v>Supervisor A</x:v>
      </x:c>
      <x:c r="Y16" t="str">
        <x:v>Rota GRU 05</x:v>
      </x:c>
      <x:c r="Z16" t="str">
        <x:v>Rod. Hélio Smidt, s/n - Guarulhos/SP</x:v>
      </x:c>
      <x:c r="AA16" t="str">
        <x:v>São Paulo</x:v>
      </x:c>
      <x:c r="AB16" s="50" t="n">
        <x:v>46273.3180555556</x:v>
      </x:c>
      <x:c r="AC16" s="50" t="n">
        <x:v>46273.3194444444</x:v>
      </x:c>
      <x:c r="AD16" s="50" t="n">
        <x:v>46273.3236111111</x:v>
      </x:c>
      <x:c r="AE16" s="50" t="n">
        <x:v>46273.3319444444</x:v>
      </x:c>
      <x:c r="AF16" s="50"/>
      <x:c r="AG16" t="n">
        <x:v>20</x:v>
      </x:c>
      <x:c r="AH16"/>
      <x:c r="AI16" t="str">
        <x:v>Não</x:v>
      </x:c>
      <x:c r="AJ16" t="str">
        <x:v>Sim</x:v>
      </x:c>
      <x:c r="AK16" t="n">
        <x:v>45</x:v>
      </x:c>
      <x:c r="AL16" t="n">
        <x:v>0</x:v>
      </x:c>
      <x:c r="AM16" s="64" t="n">
        <x:v>1.1556</x:v>
      </x:c>
      <x:c r="AN16" t="n">
        <x:v>1</x:v>
      </x:c>
      <x:c r="AO16" t="str">
        <x:v>Vermelho</x:v>
      </x:c>
      <x:c r="AP16" t="str">
        <x:v>SLA estourado; carro parado</x:v>
      </x:c>
      <x:c r="AQ16" t="str">
        <x:v>Há ocorrência recente semelhante; comparar solução anterior de Máquina de Tração.</x:v>
      </x:c>
      <x:c r="AR16" s="62" t="n">
        <x:v>1259</x:v>
      </x:c>
      <x:c r="AS16" t="str">
        <x:v>Alto</x:v>
      </x:c>
      <x:c r="AT16" s="50" t="n">
        <x:v>46273.354166666664</x:v>
      </x:c>
      <x:c r="AU16" t="str">
        <x:v>T01</x:v>
      </x:c>
      <x:c r="AV16" t="str">
        <x:v>Snapshot original T0/T1/T2; apenas ocultação de eventos futuros</x:v>
      </x:c>
    </x:row>
    <x:row r="17">
      <x:c r="A17" t="str">
        <x:v>CH-20260908-006</x:v>
      </x:c>
      <x:c r="B17" t="str">
        <x:v>Iluminação de Cabine</x:v>
      </x:c>
      <x:c r="C17" t="str">
        <x:v>Iluminação inoperante</x:v>
      </x:c>
      <x:c r="D17" t="str">
        <x:v>Cabine com iluminação parcial ou total indisponível.</x:v>
      </x:c>
      <x:c r="E17" t="str">
        <x:v>Concluído</x:v>
      </x:c>
      <x:c r="F17" t="str">
        <x:v>IoT</x:v>
      </x:c>
      <x:c r="G17" t="str">
        <x:v>E-106</x:v>
      </x:c>
      <x:c r="H17" t="str">
        <x:v>Elevador Social</x:v>
      </x:c>
      <x:c r="I17" t="str">
        <x:v>Microprocessado</x:v>
      </x:c>
      <x:c r="J17" t="str">
        <x:v>Gearless</x:v>
      </x:c>
      <x:c r="K17" t="str">
        <x:v>OTIS</x:v>
      </x:c>
      <x:c r="L17" t="str">
        <x:v>ROT-052</x:v>
      </x:c>
      <x:c r="M17" t="str">
        <x:v>Elétrica</x:v>
      </x:c>
      <x:c r="N17" t="str">
        <x:v>Fonte</x:v>
      </x:c>
      <x:c r="O17" t="str">
        <x:v>Sem alimentação</x:v>
      </x:c>
      <x:c r="P17" t="str">
        <x:v>Falha elétrica</x:v>
      </x:c>
      <x:c r="Q17" t="str">
        <x:v>Fonte substituída</x:v>
      </x:c>
      <x:c r="R17" t="str">
        <x:v>Universidade Central</x:v>
      </x:c>
      <x:c r="S17" t="str">
        <x:v>Não</x:v>
      </x:c>
      <x:c r="T17" t="str">
        <x:v>Sim</x:v>
      </x:c>
      <x:c r="U17" t="str">
        <x:v>CT-2026-006</x:v>
      </x:c>
      <x:c r="V17" t="str">
        <x:v>SP-Leste</x:v>
      </x:c>
      <x:c r="W17" t="str">
        <x:v>Paulo Mendes</x:v>
      </x:c>
      <x:c r="X17" t="str">
        <x:v>Supervisor B</x:v>
      </x:c>
      <x:c r="Y17" t="str">
        <x:v>Rota Leste 06</x:v>
      </x:c>
      <x:c r="Z17" t="str">
        <x:v>Av. Central, 850 - São Paulo/SP</x:v>
      </x:c>
      <x:c r="AA17" t="str">
        <x:v>São Paulo</x:v>
      </x:c>
      <x:c r="AB17" s="50" t="n">
        <x:v>46273.3215277778</x:v>
      </x:c>
      <x:c r="AC17" s="50" t="n">
        <x:v>46273.3236111111</x:v>
      </x:c>
      <x:c r="AD17" s="50" t="n">
        <x:v>46273.325</x:v>
      </x:c>
      <x:c r="AE17" s="50" t="n">
        <x:v>46273.3388888889</x:v>
      </x:c>
      <x:c r="AF17" s="50"/>
      <x:c r="AG17" t="n">
        <x:v>25</x:v>
      </x:c>
      <x:c r="AH17" t="n">
        <x:v>21</x:v>
      </x:c>
      <x:c r="AI17" t="str">
        <x:v>Não</x:v>
      </x:c>
      <x:c r="AJ17" t="str">
        <x:v>Não</x:v>
      </x:c>
      <x:c r="AK17" t="n">
        <x:v>120</x:v>
      </x:c>
      <x:c r="AL17" t="n">
        <x:v>0</x:v>
      </x:c>
      <x:c r="AM17" s="64" t="n">
        <x:v>0.3833</x:v>
      </x:c>
      <x:c r="AN17" t="n">
        <x:v>0</x:v>
      </x:c>
      <x:c r="AO17" t="str">
        <x:v>Verde</x:v>
      </x:c>
      <x:c r="AP17" t="str">
        <x:v>operação dentro do esperado</x:v>
      </x:c>
      <x:c r="AQ17" t="str">
        <x:v>Sem recorrência relevante; acompanhar evolução de Elétrica.</x:v>
      </x:c>
      <x:c r="AR17" s="62" t="n">
        <x:v>507</x:v>
      </x:c>
      <x:c r="AS17" t="str">
        <x:v>Baixo</x:v>
      </x:c>
      <x:c r="AT17" s="50" t="n">
        <x:v>46273.354166666664</x:v>
      </x:c>
      <x:c r="AU17" t="str">
        <x:v>T01</x:v>
      </x:c>
      <x:c r="AV17" t="str">
        <x:v>Snapshot original T0/T1/T2; apenas ocultação de eventos futuros</x:v>
      </x:c>
    </x:row>
    <x:row r="18">
      <x:c r="A18" t="str">
        <x:v>CH-20260908-007</x:v>
      </x:c>
      <x:c r="B18" t="str">
        <x:v>Botão de Chamada</x:v>
      </x:c>
      <x:c r="C18" t="str">
        <x:v>Botão não responde</x:v>
      </x:c>
      <x:c r="D18" t="str">
        <x:v>Botão de chamada não registra comando.</x:v>
      </x:c>
      <x:c r="E18" t="str">
        <x:v>Em atendimento</x:v>
      </x:c>
      <x:c r="F18" t="str">
        <x:v>Aplicativo Cliente</x:v>
      </x:c>
      <x:c r="G18" t="str">
        <x:v>E-107</x:v>
      </x:c>
      <x:c r="H18" t="str">
        <x:v>Elevador Social</x:v>
      </x:c>
      <x:c r="I18" t="str">
        <x:v>Microprocessado</x:v>
      </x:c>
      <x:c r="J18" t="str">
        <x:v>Gearless</x:v>
      </x:c>
      <x:c r="K18" t="str">
        <x:v>OTIS</x:v>
      </x:c>
      <x:c r="L18" t="str">
        <x:v>ROT-063</x:v>
      </x:c>
      <x:c r="M18" t="str">
        <x:v>Botoeira</x:v>
      </x:c>
      <x:c r="N18" t="str">
        <x:v>Contato</x:v>
      </x:c>
      <x:c r="O18" t="str">
        <x:v>Mau contato</x:v>
      </x:c>
      <x:c r="P18" t="str">
        <x:v>Falha de comando</x:v>
      </x:c>
      <x:c r="Q18"/>
      <x:c r="R18" t="str">
        <x:v>Hospital São Paulo</x:v>
      </x:c>
      <x:c r="S18" t="str">
        <x:v>Sim</x:v>
      </x:c>
      <x:c r="T18" t="str">
        <x:v>Sim</x:v>
      </x:c>
      <x:c r="U18" t="str">
        <x:v>CT-2026-001</x:v>
      </x:c>
      <x:c r="V18" t="str">
        <x:v>SP-Centro</x:v>
      </x:c>
      <x:c r="W18" t="str">
        <x:v>João Silva</x:v>
      </x:c>
      <x:c r="X18" t="str">
        <x:v>Supervisor C</x:v>
      </x:c>
      <x:c r="Y18" t="str">
        <x:v>Rota Centro 01</x:v>
      </x:c>
      <x:c r="Z18" t="str">
        <x:v>Av. Paulista, 1000 - São Paulo/SP</x:v>
      </x:c>
      <x:c r="AA18" t="str">
        <x:v>São Paulo</x:v>
      </x:c>
      <x:c r="AB18" s="50" t="n">
        <x:v>46273.3243055556</x:v>
      </x:c>
      <x:c r="AC18" s="50" t="n">
        <x:v>46273.3270833333</x:v>
      </x:c>
      <x:c r="AD18" s="50" t="n">
        <x:v>46273.3298611111</x:v>
      </x:c>
      <x:c r="AE18" s="50" t="n">
        <x:v>46273.3486111111</x:v>
      </x:c>
      <x:c r="AF18" s="50"/>
      <x:c r="AG18" t="n">
        <x:v>35</x:v>
      </x:c>
      <x:c r="AH18"/>
      <x:c r="AI18" t="str">
        <x:v>Não</x:v>
      </x:c>
      <x:c r="AJ18" t="str">
        <x:v>Não</x:v>
      </x:c>
      <x:c r="AK18" t="n">
        <x:v>60</x:v>
      </x:c>
      <x:c r="AL18" t="n">
        <x:v>0</x:v>
      </x:c>
      <x:c r="AM18" s="64" t="n">
        <x:v>0.7167</x:v>
      </x:c>
      <x:c r="AN18" t="n">
        <x:v>2</x:v>
      </x:c>
      <x:c r="AO18" t="str">
        <x:v>Amarelo</x:v>
      </x:c>
      <x:c r="AP18" t="str">
        <x:v>2 recorrências/30d; SLA acima de 55%</x:v>
      </x:c>
      <x:c r="AQ18" t="str">
        <x:v>Há ocorrência recente semelhante; comparar solução anterior de Botoeira.</x:v>
      </x:c>
      <x:c r="AR18" s="62" t="n">
        <x:v>612</x:v>
      </x:c>
      <x:c r="AS18" t="str">
        <x:v>Baixo</x:v>
      </x:c>
      <x:c r="AT18" s="50" t="n">
        <x:v>46273.354166666664</x:v>
      </x:c>
      <x:c r="AU18" t="str">
        <x:v>T01</x:v>
      </x:c>
      <x:c r="AV18" t="str">
        <x:v>Snapshot original T0/T1/T2; apenas ocultação de eventos futuros</x:v>
      </x:c>
    </x:row>
    <x:row r="19">
      <x:c r="A19" t="str">
        <x:v>CH-20260908-008</x:v>
      </x:c>
      <x:c r="B19" t="str">
        <x:v>Parada Intermitente</x:v>
      </x:c>
      <x:c r="C19" t="str">
        <x:v>Paradas aleatórias</x:v>
      </x:c>
      <x:c r="D19" t="str">
        <x:v>Equipamento interrompe operação de forma intermitente.</x:v>
      </x:c>
      <x:c r="E19" t="str">
        <x:v>Técnico a caminho</x:v>
      </x:c>
      <x:c r="F19" t="str">
        <x:v>Monitoramento Remoto</x:v>
      </x:c>
      <x:c r="G19" t="str">
        <x:v>E-108</x:v>
      </x:c>
      <x:c r="H19" t="str">
        <x:v>Elevador Social</x:v>
      </x:c>
      <x:c r="I19" t="str">
        <x:v>Microprocessado</x:v>
      </x:c>
      <x:c r="J19" t="str">
        <x:v>Gearless</x:v>
      </x:c>
      <x:c r="K19" t="str">
        <x:v>OTIS</x:v>
      </x:c>
      <x:c r="L19" t="str">
        <x:v>ROT-074</x:v>
      </x:c>
      <x:c r="M19" t="str">
        <x:v>Painel/Comando</x:v>
      </x:c>
      <x:c r="N19" t="str">
        <x:v>Placa</x:v>
      </x:c>
      <x:c r="O19" t="str">
        <x:v>Intermitência</x:v>
      </x:c>
      <x:c r="P19" t="str">
        <x:v>Falha intermitente</x:v>
      </x:c>
      <x:c r="Q19"/>
      <x:c r="R19" t="str">
        <x:v>Shopping Center Norte</x:v>
      </x:c>
      <x:c r="S19" t="str">
        <x:v>Não</x:v>
      </x:c>
      <x:c r="T19" t="str">
        <x:v>Sim</x:v>
      </x:c>
      <x:c r="U19" t="str">
        <x:v>CT-2026-002</x:v>
      </x:c>
      <x:c r="V19" t="str">
        <x:v>SP-Norte</x:v>
      </x:c>
      <x:c r="W19" t="str">
        <x:v>Marcos Lima</x:v>
      </x:c>
      <x:c r="X19" t="str">
        <x:v>Supervisor D</x:v>
      </x:c>
      <x:c r="Y19" t="str">
        <x:v>Rota Norte 02</x:v>
      </x:c>
      <x:c r="Z19" t="str">
        <x:v>Av. Otto Baumgart, 245 - São Paulo/SP</x:v>
      </x:c>
      <x:c r="AA19" t="str">
        <x:v>São Paulo</x:v>
      </x:c>
      <x:c r="AB19" s="50" t="n">
        <x:v>46273.3270833333</x:v>
      </x:c>
      <x:c r="AC19" s="50" t="n">
        <x:v>46273.3305555556</x:v>
      </x:c>
      <x:c r="AD19" s="50" t="n">
        <x:v>46273.3347222222</x:v>
      </x:c>
      <x:c r="AE19" s="50"/>
      <x:c r="AF19" s="50"/>
      <x:c r="AG19"/>
      <x:c r="AH19"/>
      <x:c r="AI19" t="str">
        <x:v>Não</x:v>
      </x:c>
      <x:c r="AJ19" t="str">
        <x:v>Sim</x:v>
      </x:c>
      <x:c r="AK19" t="n">
        <x:v>90</x:v>
      </x:c>
      <x:c r="AL19" t="n">
        <x:v>6</x:v>
      </x:c>
      <x:c r="AM19" s="64" t="n">
        <x:v>0.4333</x:v>
      </x:c>
      <x:c r="AN19" t="n">
        <x:v>4</x:v>
      </x:c>
      <x:c r="AO19" t="str">
        <x:v>Amarelo</x:v>
      </x:c>
      <x:c r="AP19" t="str">
        <x:v>4 recorrências/30d; carro parado</x:v>
      </x:c>
      <x:c r="AQ19" t="str">
        <x:v>Recorrência elevada: verificar padrão histórico em Painel/Comando/Placa.</x:v>
      </x:c>
      <x:c r="AR19" s="62" t="n">
        <x:v>1437</x:v>
      </x:c>
      <x:c r="AS19" t="str">
        <x:v>Alto</x:v>
      </x:c>
      <x:c r="AT19" s="50" t="n">
        <x:v>46273.354166666664</x:v>
      </x:c>
      <x:c r="AU19" t="str">
        <x:v>T01</x:v>
      </x:c>
      <x:c r="AV19" t="str">
        <x:v>Snapshot original T0/T1/T2; apenas ocultação de eventos futuros</x:v>
      </x:c>
    </x:row>
    <x:row r="20">
      <x:c r="A20" t="str">
        <x:v>CH-20260908-009</x:v>
      </x:c>
      <x:c r="B20" t="str">
        <x:v>Passageiro Preso</x:v>
      </x:c>
      <x:c r="C20" t="str">
        <x:v>Elevador parado entre andares</x:v>
      </x:c>
      <x:c r="D20" t="str">
        <x:v>Cabine imobilizada com passageiro no interior.</x:v>
      </x:c>
      <x:c r="E20" t="str">
        <x:v>Técnico a caminho</x:v>
      </x:c>
      <x:c r="F20" t="str">
        <x:v>Central de Atendimento</x:v>
      </x:c>
      <x:c r="G20" t="str">
        <x:v>E-109</x:v>
      </x:c>
      <x:c r="H20" t="str">
        <x:v>Elevador Social</x:v>
      </x:c>
      <x:c r="I20" t="str">
        <x:v>Microprocessado</x:v>
      </x:c>
      <x:c r="J20" t="str">
        <x:v>Gearless</x:v>
      </x:c>
      <x:c r="K20" t="str">
        <x:v>OTIS</x:v>
      </x:c>
      <x:c r="L20" t="str">
        <x:v>ROT-001</x:v>
      </x:c>
      <x:c r="M20" t="str">
        <x:v>Tração</x:v>
      </x:c>
      <x:c r="N20" t="str">
        <x:v>Freio</x:v>
      </x:c>
      <x:c r="O20" t="str">
        <x:v>Travamento</x:v>
      </x:c>
      <x:c r="P20" t="str">
        <x:v>Parada total</x:v>
      </x:c>
      <x:c r="Q20"/>
      <x:c r="R20" t="str">
        <x:v>Edifício Corporate</x:v>
      </x:c>
      <x:c r="S20" t="str">
        <x:v>Não</x:v>
      </x:c>
      <x:c r="T20" t="str">
        <x:v>Sim</x:v>
      </x:c>
      <x:c r="U20" t="str">
        <x:v>CT-2026-003</x:v>
      </x:c>
      <x:c r="V20" t="str">
        <x:v>SP-Oeste</x:v>
      </x:c>
      <x:c r="W20" t="str">
        <x:v>Ana Costa</x:v>
      </x:c>
      <x:c r="X20" t="str">
        <x:v>Supervisor A</x:v>
      </x:c>
      <x:c r="Y20" t="str">
        <x:v>Rota Oeste 03</x:v>
      </x:c>
      <x:c r="Z20" t="str">
        <x:v>Av. Faria Lima, 3500 - São Paulo/SP</x:v>
      </x:c>
      <x:c r="AA20" t="str">
        <x:v>São Paulo</x:v>
      </x:c>
      <x:c r="AB20" s="50" t="n">
        <x:v>46273.3298611111</x:v>
      </x:c>
      <x:c r="AC20" s="50" t="n">
        <x:v>46273.3340277778</x:v>
      </x:c>
      <x:c r="AD20" s="50" t="n">
        <x:v>46273.3354166667</x:v>
      </x:c>
      <x:c r="AE20" s="50"/>
      <x:c r="AF20" s="50"/>
      <x:c r="AG20"/>
      <x:c r="AH20"/>
      <x:c r="AI20" t="str">
        <x:v>Sim</x:v>
      </x:c>
      <x:c r="AJ20" t="str">
        <x:v>Sim</x:v>
      </x:c>
      <x:c r="AK20" t="n">
        <x:v>120</x:v>
      </x:c>
      <x:c r="AL20" t="n">
        <x:v>9</x:v>
      </x:c>
      <x:c r="AM20" s="64" t="n">
        <x:v>0.2917</x:v>
      </x:c>
      <x:c r="AN20" t="n">
        <x:v>0</x:v>
      </x:c>
      <x:c r="AO20" t="str">
        <x:v>Amarelo</x:v>
      </x:c>
      <x:c r="AP20" t="str">
        <x:v>passageiro preso; carro parado</x:v>
      </x:c>
      <x:c r="AQ20" t="str">
        <x:v>Sem recorrência relevante; acompanhar evolução de Tração.</x:v>
      </x:c>
      <x:c r="AR20" s="62" t="n">
        <x:v>970</x:v>
      </x:c>
      <x:c r="AS20" t="str">
        <x:v>Médio</x:v>
      </x:c>
      <x:c r="AT20" s="50" t="n">
        <x:v>46273.354166666664</x:v>
      </x:c>
      <x:c r="AU20" t="str">
        <x:v>T01</x:v>
      </x:c>
      <x:c r="AV20" t="str">
        <x:v>Snapshot original T0/T1/T2; apenas ocultação de eventos futuros</x:v>
      </x:c>
    </x:row>
    <x:row r="21">
      <x:c r="A21" t="str">
        <x:v>CH-20260908-010</x:v>
      </x:c>
      <x:c r="B21" t="str">
        <x:v>Falha de Nivelamento</x:v>
      </x:c>
      <x:c r="C21" t="str">
        <x:v>Cabine desnivelada</x:v>
      </x:c>
      <x:c r="D21" t="str">
        <x:v>Cabine parou fora do nível do pavimento.</x:v>
      </x:c>
      <x:c r="E21" t="str">
        <x:v>Em atendimento</x:v>
      </x:c>
      <x:c r="F21" t="str">
        <x:v>IoT</x:v>
      </x:c>
      <x:c r="G21" t="str">
        <x:v>E-110</x:v>
      </x:c>
      <x:c r="H21" t="str">
        <x:v>Elevador Social</x:v>
      </x:c>
      <x:c r="I21" t="str">
        <x:v>Microprocessado</x:v>
      </x:c>
      <x:c r="J21" t="str">
        <x:v>Gearless</x:v>
      </x:c>
      <x:c r="K21" t="str">
        <x:v>OTIS</x:v>
      </x:c>
      <x:c r="L21" t="str">
        <x:v>ROT-014</x:v>
      </x:c>
      <x:c r="M21" t="str">
        <x:v>Sensor de Nível</x:v>
      </x:c>
      <x:c r="N21" t="str">
        <x:v>Sensor</x:v>
      </x:c>
      <x:c r="O21" t="str">
        <x:v>Leitura inconsistente</x:v>
      </x:c>
      <x:c r="P21" t="str">
        <x:v>Falha de nivelamento</x:v>
      </x:c>
      <x:c r="Q21"/>
      <x:c r="R21" t="str">
        <x:v>Condomínio Alameda</x:v>
      </x:c>
      <x:c r="S21" t="str">
        <x:v>Não</x:v>
      </x:c>
      <x:c r="T21" t="str">
        <x:v>Não</x:v>
      </x:c>
      <x:c r="U21" t="str">
        <x:v>CT-2026-004</x:v>
      </x:c>
      <x:c r="V21" t="str">
        <x:v>SP-Sul</x:v>
      </x:c>
      <x:c r="W21" t="str">
        <x:v>Carlos Souza</x:v>
      </x:c>
      <x:c r="X21" t="str">
        <x:v>Supervisor B</x:v>
      </x:c>
      <x:c r="Y21" t="str">
        <x:v>Rota Sul 04</x:v>
      </x:c>
      <x:c r="Z21" t="str">
        <x:v>R. das Acácias, 420 - São Paulo/SP</x:v>
      </x:c>
      <x:c r="AA21" t="str">
        <x:v>São Paulo</x:v>
      </x:c>
      <x:c r="AB21" s="50" t="n">
        <x:v>46273.3326388889</x:v>
      </x:c>
      <x:c r="AC21" s="50" t="n">
        <x:v>46273.3340277778</x:v>
      </x:c>
      <x:c r="AD21" s="50" t="n">
        <x:v>46273.3368055556</x:v>
      </x:c>
      <x:c r="AE21" s="50" t="n">
        <x:v>46273.3465277778</x:v>
      </x:c>
      <x:c r="AF21" s="50"/>
      <x:c r="AG21" t="n">
        <x:v>20</x:v>
      </x:c>
      <x:c r="AH21"/>
      <x:c r="AI21" t="str">
        <x:v>Não</x:v>
      </x:c>
      <x:c r="AJ21" t="str">
        <x:v>Não</x:v>
      </x:c>
      <x:c r="AK21" t="n">
        <x:v>180</x:v>
      </x:c>
      <x:c r="AL21" t="n">
        <x:v>0</x:v>
      </x:c>
      <x:c r="AM21" s="64" t="n">
        <x:v>0.1722</x:v>
      </x:c>
      <x:c r="AN21" t="n">
        <x:v>1</x:v>
      </x:c>
      <x:c r="AO21" t="str">
        <x:v>Verde</x:v>
      </x:c>
      <x:c r="AP21" t="str">
        <x:v>operação dentro do esperado</x:v>
      </x:c>
      <x:c r="AQ21" t="str">
        <x:v>Há ocorrência recente semelhante; comparar solução anterior de Sensor de Nível.</x:v>
      </x:c>
      <x:c r="AR21" s="62" t="n">
        <x:v>791</x:v>
      </x:c>
      <x:c r="AS21" t="str">
        <x:v>Médio</x:v>
      </x:c>
      <x:c r="AT21" s="50" t="n">
        <x:v>46273.354166666664</x:v>
      </x:c>
      <x:c r="AU21" t="str">
        <x:v>T01</x:v>
      </x:c>
      <x:c r="AV21" t="str">
        <x:v>Snapshot original T0/T1/T2; apenas ocultação de eventos futuros</x:v>
      </x:c>
    </x:row>
    <x:row r="22">
      <x:c r="A22" t="str">
        <x:v>CH-20260908-011</x:v>
      </x:c>
      <x:c r="B22" t="str">
        <x:v>Porta não fecha</x:v>
      </x:c>
      <x:c r="C22" t="str">
        <x:v>Falha no fechamento</x:v>
      </x:c>
      <x:c r="D22" t="str">
        <x:v>Porta permanece aberta e impede partida.</x:v>
      </x:c>
      <x:c r="E22" t="str">
        <x:v>Em atendimento</x:v>
      </x:c>
      <x:c r="F22" t="str">
        <x:v>Aplicativo Cliente</x:v>
      </x:c>
      <x:c r="G22" t="str">
        <x:v>E-111</x:v>
      </x:c>
      <x:c r="H22" t="str">
        <x:v>Elevador Social</x:v>
      </x:c>
      <x:c r="I22" t="str">
        <x:v>Microprocessado</x:v>
      </x:c>
      <x:c r="J22" t="str">
        <x:v>Gearless</x:v>
      </x:c>
      <x:c r="K22" t="str">
        <x:v>OTIS</x:v>
      </x:c>
      <x:c r="L22" t="str">
        <x:v>ROT-021</x:v>
      </x:c>
      <x:c r="M22" t="str">
        <x:v>Operador de Porta</x:v>
      </x:c>
      <x:c r="N22" t="str">
        <x:v>Sensor de porta</x:v>
      </x:c>
      <x:c r="O22" t="str">
        <x:v>Falha de leitura</x:v>
      </x:c>
      <x:c r="P22" t="str">
        <x:v>Porta aberta</x:v>
      </x:c>
      <x:c r="Q22"/>
      <x:c r="R22" t="str">
        <x:v>Aeroporto Terminal 3</x:v>
      </x:c>
      <x:c r="S22" t="str">
        <x:v>Sim</x:v>
      </x:c>
      <x:c r="T22" t="str">
        <x:v>Sim</x:v>
      </x:c>
      <x:c r="U22" t="str">
        <x:v>CT-2026-005</x:v>
      </x:c>
      <x:c r="V22" t="str">
        <x:v>GRU</x:v>
      </x:c>
      <x:c r="W22" t="str">
        <x:v>Renata Alves</x:v>
      </x:c>
      <x:c r="X22" t="str">
        <x:v>Supervisor C</x:v>
      </x:c>
      <x:c r="Y22" t="str">
        <x:v>Rota GRU 05</x:v>
      </x:c>
      <x:c r="Z22" t="str">
        <x:v>Rod. Hélio Smidt, s/n - Guarulhos/SP</x:v>
      </x:c>
      <x:c r="AA22" t="str">
        <x:v>São Paulo</x:v>
      </x:c>
      <x:c r="AB22" s="50" t="n">
        <x:v>46273.3354166667</x:v>
      </x:c>
      <x:c r="AC22" s="50" t="n">
        <x:v>46273.3375</x:v>
      </x:c>
      <x:c r="AD22" s="50" t="n">
        <x:v>46273.3416666667</x:v>
      </x:c>
      <x:c r="AE22" s="50" t="n">
        <x:v>46273.3534722222</x:v>
      </x:c>
      <x:c r="AF22" s="50"/>
      <x:c r="AG22" t="n">
        <x:v>26</x:v>
      </x:c>
      <x:c r="AH22"/>
      <x:c r="AI22" t="str">
        <x:v>Não</x:v>
      </x:c>
      <x:c r="AJ22" t="str">
        <x:v>Não</x:v>
      </x:c>
      <x:c r="AK22" t="n">
        <x:v>45</x:v>
      </x:c>
      <x:c r="AL22" t="n">
        <x:v>0</x:v>
      </x:c>
      <x:c r="AM22" s="64" t="n">
        <x:v>0.6</x:v>
      </x:c>
      <x:c r="AN22" t="n">
        <x:v>2</x:v>
      </x:c>
      <x:c r="AO22" t="str">
        <x:v>Amarelo</x:v>
      </x:c>
      <x:c r="AP22" t="str">
        <x:v>2 recorrências/30d; SLA acima de 55%</x:v>
      </x:c>
      <x:c r="AQ22" t="str">
        <x:v>Há ocorrência recente semelhante; comparar solução anterior de Operador de Porta.</x:v>
      </x:c>
      <x:c r="AR22" s="62" t="n">
        <x:v>880</x:v>
      </x:c>
      <x:c r="AS22" t="str">
        <x:v>Médio</x:v>
      </x:c>
      <x:c r="AT22" s="50" t="n">
        <x:v>46273.354166666664</x:v>
      </x:c>
      <x:c r="AU22" t="str">
        <x:v>T01</x:v>
      </x:c>
      <x:c r="AV22" t="str">
        <x:v>Snapshot original T0/T1/T2; apenas ocultação de eventos futuros</x:v>
      </x:c>
    </x:row>
    <x:row r="23">
      <x:c r="A23" t="str">
        <x:v>CH-20260908-012</x:v>
      </x:c>
      <x:c r="B23" t="str">
        <x:v>Painel sem comunicação</x:v>
      </x:c>
      <x:c r="C23" t="str">
        <x:v>Falha de comunicação</x:v>
      </x:c>
      <x:c r="D23" t="str">
        <x:v>Painel não responde aos comandos.</x:v>
      </x:c>
      <x:c r="E23" t="str">
        <x:v>Técnico a caminho</x:v>
      </x:c>
      <x:c r="F23" t="str">
        <x:v>Monitoramento Remoto</x:v>
      </x:c>
      <x:c r="G23" t="str">
        <x:v>E-112</x:v>
      </x:c>
      <x:c r="H23" t="str">
        <x:v>Elevador Social</x:v>
      </x:c>
      <x:c r="I23" t="str">
        <x:v>Microprocessado</x:v>
      </x:c>
      <x:c r="J23" t="str">
        <x:v>Gearless</x:v>
      </x:c>
      <x:c r="K23" t="str">
        <x:v>OTIS</x:v>
      </x:c>
      <x:c r="L23" t="str">
        <x:v>ROT-033</x:v>
      </x:c>
      <x:c r="M23" t="str">
        <x:v>Painel/Comando</x:v>
      </x:c>
      <x:c r="N23" t="str">
        <x:v>Interface</x:v>
      </x:c>
      <x:c r="O23" t="str">
        <x:v>Sem comunicação</x:v>
      </x:c>
      <x:c r="P23" t="str">
        <x:v>Falha lógica</x:v>
      </x:c>
      <x:c r="Q23"/>
      <x:c r="R23" t="str">
        <x:v>Universidade Central</x:v>
      </x:c>
      <x:c r="S23" t="str">
        <x:v>Não</x:v>
      </x:c>
      <x:c r="T23" t="str">
        <x:v>Sim</x:v>
      </x:c>
      <x:c r="U23" t="str">
        <x:v>CT-2026-006</x:v>
      </x:c>
      <x:c r="V23" t="str">
        <x:v>SP-Leste</x:v>
      </x:c>
      <x:c r="W23" t="str">
        <x:v>Paulo Mendes</x:v>
      </x:c>
      <x:c r="X23" t="str">
        <x:v>Supervisor D</x:v>
      </x:c>
      <x:c r="Y23" t="str">
        <x:v>Rota Leste 06</x:v>
      </x:c>
      <x:c r="Z23" t="str">
        <x:v>Av. Central, 850 - São Paulo/SP</x:v>
      </x:c>
      <x:c r="AA23" t="str">
        <x:v>São Paulo</x:v>
      </x:c>
      <x:c r="AB23" s="50" t="n">
        <x:v>46273.3381944444</x:v>
      </x:c>
      <x:c r="AC23" s="50" t="n">
        <x:v>46273.3409722222</x:v>
      </x:c>
      <x:c r="AD23" s="50" t="n">
        <x:v>46273.3423611111</x:v>
      </x:c>
      <x:c r="AE23" s="50"/>
      <x:c r="AF23" s="50"/>
      <x:c r="AG23"/>
      <x:c r="AH23"/>
      <x:c r="AI23" t="str">
        <x:v>Não</x:v>
      </x:c>
      <x:c r="AJ23" t="str">
        <x:v>Não</x:v>
      </x:c>
      <x:c r="AK23" t="n">
        <x:v>120</x:v>
      </x:c>
      <x:c r="AL23" t="n">
        <x:v>11</x:v>
      </x:c>
      <x:c r="AM23" s="64" t="n">
        <x:v>0.1917</x:v>
      </x:c>
      <x:c r="AN23" t="n">
        <x:v>3</x:v>
      </x:c>
      <x:c r="AO23" t="str">
        <x:v>Amarelo</x:v>
      </x:c>
      <x:c r="AP23" t="str">
        <x:v>3 recorrências/30d</x:v>
      </x:c>
      <x:c r="AQ23" t="str">
        <x:v>Recorrência elevada: verificar padrão histórico em Painel/Comando/Interface.</x:v>
      </x:c>
      <x:c r="AR23" s="62" t="n">
        <x:v>1280</x:v>
      </x:c>
      <x:c r="AS23" t="str">
        <x:v>Alto</x:v>
      </x:c>
      <x:c r="AT23" s="50" t="n">
        <x:v>46273.354166666664</x:v>
      </x:c>
      <x:c r="AU23" t="str">
        <x:v>T01</x:v>
      </x:c>
      <x:c r="AV23" t="str">
        <x:v>Snapshot original T0/T1/T2; apenas ocultação de eventos futuros</x:v>
      </x:c>
    </x:row>
    <x:row r="24">
      <x:c r="A24" t="str">
        <x:v>CH-20260908-013</x:v>
      </x:c>
      <x:c r="B24" t="str">
        <x:v>Falha de Tração</x:v>
      </x:c>
      <x:c r="C24" t="str">
        <x:v>Movimento irregular</x:v>
      </x:c>
      <x:c r="D24" t="str">
        <x:v>Equipamento apresenta perda de tração.</x:v>
      </x:c>
      <x:c r="E24" t="str">
        <x:v>Técnico a caminho</x:v>
      </x:c>
      <x:c r="F24" t="str">
        <x:v>Central de Atendimento</x:v>
      </x:c>
      <x:c r="G24" t="str">
        <x:v>E-113</x:v>
      </x:c>
      <x:c r="H24" t="str">
        <x:v>Elevador Social</x:v>
      </x:c>
      <x:c r="I24" t="str">
        <x:v>Microprocessado</x:v>
      </x:c>
      <x:c r="J24" t="str">
        <x:v>Gearless</x:v>
      </x:c>
      <x:c r="K24" t="str">
        <x:v>OTIS</x:v>
      </x:c>
      <x:c r="L24" t="str">
        <x:v>ROT-041</x:v>
      </x:c>
      <x:c r="M24" t="str">
        <x:v>Máquina de Tração</x:v>
      </x:c>
      <x:c r="N24" t="str">
        <x:v>Inversor</x:v>
      </x:c>
      <x:c r="O24" t="str">
        <x:v>Oscilação</x:v>
      </x:c>
      <x:c r="P24" t="str">
        <x:v>Falha de movimento</x:v>
      </x:c>
      <x:c r="Q24"/>
      <x:c r="R24" t="str">
        <x:v>Hospital São Paulo</x:v>
      </x:c>
      <x:c r="S24" t="str">
        <x:v>Sim</x:v>
      </x:c>
      <x:c r="T24" t="str">
        <x:v>Sim</x:v>
      </x:c>
      <x:c r="U24" t="str">
        <x:v>CT-2026-001</x:v>
      </x:c>
      <x:c r="V24" t="str">
        <x:v>SP-Centro</x:v>
      </x:c>
      <x:c r="W24" t="str">
        <x:v>João Silva</x:v>
      </x:c>
      <x:c r="X24" t="str">
        <x:v>Supervisor A</x:v>
      </x:c>
      <x:c r="Y24" t="str">
        <x:v>Rota Centro 01</x:v>
      </x:c>
      <x:c r="Z24" t="str">
        <x:v>Av. Paulista, 1000 - São Paulo/SP</x:v>
      </x:c>
      <x:c r="AA24" t="str">
        <x:v>São Paulo</x:v>
      </x:c>
      <x:c r="AB24" s="50" t="n">
        <x:v>46273.3416666667</x:v>
      </x:c>
      <x:c r="AC24" s="50" t="n">
        <x:v>46273.3451388889</x:v>
      </x:c>
      <x:c r="AD24" s="50" t="n">
        <x:v>46273.3479166667</x:v>
      </x:c>
      <x:c r="AE24" s="50"/>
      <x:c r="AF24" s="50"/>
      <x:c r="AG24"/>
      <x:c r="AH24"/>
      <x:c r="AI24" t="str">
        <x:v>Não</x:v>
      </x:c>
      <x:c r="AJ24" t="str">
        <x:v>Sim</x:v>
      </x:c>
      <x:c r="AK24" t="n">
        <x:v>60</x:v>
      </x:c>
      <x:c r="AL24" t="n">
        <x:v>26</x:v>
      </x:c>
      <x:c r="AM24" s="64" t="n">
        <x:v>0.3</x:v>
      </x:c>
      <x:c r="AN24" t="n">
        <x:v>1</x:v>
      </x:c>
      <x:c r="AO24" t="str">
        <x:v>Amarelo</x:v>
      </x:c>
      <x:c r="AP24" t="str">
        <x:v>carro parado</x:v>
      </x:c>
      <x:c r="AQ24" t="str">
        <x:v>Há ocorrência recente semelhante; comparar solução anterior de Máquina de Tração.</x:v>
      </x:c>
      <x:c r="AR24" s="62" t="n">
        <x:v>1085</x:v>
      </x:c>
      <x:c r="AS24" t="str">
        <x:v>Médio</x:v>
      </x:c>
      <x:c r="AT24" s="50" t="n">
        <x:v>46273.354166666664</x:v>
      </x:c>
      <x:c r="AU24" t="str">
        <x:v>T01</x:v>
      </x:c>
      <x:c r="AV24" t="str">
        <x:v>Snapshot original T0/T1/T2; apenas ocultação de eventos futuros</x:v>
      </x:c>
    </x:row>
    <x:row r="25">
      <x:c r="A25" t="str">
        <x:v>CH-20260908-014</x:v>
      </x:c>
      <x:c r="B25" t="str">
        <x:v>Iluminação de Cabine</x:v>
      </x:c>
      <x:c r="C25" t="str">
        <x:v>Iluminação inoperante</x:v>
      </x:c>
      <x:c r="D25" t="str">
        <x:v>Cabine com iluminação parcial ou total indisponível.</x:v>
      </x:c>
      <x:c r="E25" t="str">
        <x:v>Técnico a caminho</x:v>
      </x:c>
      <x:c r="F25" t="str">
        <x:v>IoT</x:v>
      </x:c>
      <x:c r="G25" t="str">
        <x:v>E-114</x:v>
      </x:c>
      <x:c r="H25" t="str">
        <x:v>Elevador Social</x:v>
      </x:c>
      <x:c r="I25" t="str">
        <x:v>Microprocessado</x:v>
      </x:c>
      <x:c r="J25" t="str">
        <x:v>Gearless</x:v>
      </x:c>
      <x:c r="K25" t="str">
        <x:v>OTIS</x:v>
      </x:c>
      <x:c r="L25" t="str">
        <x:v>ROT-052</x:v>
      </x:c>
      <x:c r="M25" t="str">
        <x:v>Elétrica</x:v>
      </x:c>
      <x:c r="N25" t="str">
        <x:v>Fonte</x:v>
      </x:c>
      <x:c r="O25" t="str">
        <x:v>Sem alimentação</x:v>
      </x:c>
      <x:c r="P25" t="str">
        <x:v>Falha elétrica</x:v>
      </x:c>
      <x:c r="Q25"/>
      <x:c r="R25" t="str">
        <x:v>Shopping Center Norte</x:v>
      </x:c>
      <x:c r="S25" t="str">
        <x:v>Não</x:v>
      </x:c>
      <x:c r="T25" t="str">
        <x:v>Sim</x:v>
      </x:c>
      <x:c r="U25" t="str">
        <x:v>CT-2026-002</x:v>
      </x:c>
      <x:c r="V25" t="str">
        <x:v>SP-Norte</x:v>
      </x:c>
      <x:c r="W25" t="str">
        <x:v>Marcos Lima</x:v>
      </x:c>
      <x:c r="X25" t="str">
        <x:v>Supervisor B</x:v>
      </x:c>
      <x:c r="Y25" t="str">
        <x:v>Rota Norte 02</x:v>
      </x:c>
      <x:c r="Z25" t="str">
        <x:v>Av. Otto Baumgart, 245 - São Paulo/SP</x:v>
      </x:c>
      <x:c r="AA25" t="str">
        <x:v>São Paulo</x:v>
      </x:c>
      <x:c r="AB25" s="50" t="n">
        <x:v>46273.3451388889</x:v>
      </x:c>
      <x:c r="AC25" s="50" t="n">
        <x:v>46273.3493055556</x:v>
      </x:c>
      <x:c r="AD25" s="50" t="n">
        <x:v>46273.3534722222</x:v>
      </x:c>
      <x:c r="AE25" s="50"/>
      <x:c r="AF25" s="50"/>
      <x:c r="AG25"/>
      <x:c r="AH25"/>
      <x:c r="AI25" t="str">
        <x:v>Não</x:v>
      </x:c>
      <x:c r="AJ25" t="str">
        <x:v>Não</x:v>
      </x:c>
      <x:c r="AK25" t="n">
        <x:v>90</x:v>
      </x:c>
      <x:c r="AL25" t="n">
        <x:v>41</x:v>
      </x:c>
      <x:c r="AM25" s="64" t="n">
        <x:v>0.1444</x:v>
      </x:c>
      <x:c r="AN25" t="n">
        <x:v>0</x:v>
      </x:c>
      <x:c r="AO25" t="str">
        <x:v>Verde</x:v>
      </x:c>
      <x:c r="AP25" t="str">
        <x:v>operação dentro do esperado</x:v>
      </x:c>
      <x:c r="AQ25" t="str">
        <x:v>Sem recorrência relevante; acompanhar evolução de Elétrica.</x:v>
      </x:c>
      <x:c r="AR25" s="62" t="n">
        <x:v>770</x:v>
      </x:c>
      <x:c r="AS25" t="str">
        <x:v>Médio</x:v>
      </x:c>
      <x:c r="AT25" s="50" t="n">
        <x:v>46273.354166666664</x:v>
      </x:c>
      <x:c r="AU25" t="str">
        <x:v>T01</x:v>
      </x:c>
      <x:c r="AV25" t="str">
        <x:v>Snapshot original T0/T1/T2; apenas ocultação de eventos futuros</x:v>
      </x:c>
    </x:row>
    <x:row r="26">
      <x:c r="A26" t="str">
        <x:v>CH-20260908-015</x:v>
      </x:c>
      <x:c r="B26" t="str">
        <x:v>Botão de Chamada</x:v>
      </x:c>
      <x:c r="C26" t="str">
        <x:v>Botão não responde</x:v>
      </x:c>
      <x:c r="D26" t="str">
        <x:v>Botão de chamada não registra comando.</x:v>
      </x:c>
      <x:c r="E26" t="str">
        <x:v>Técnico a caminho</x:v>
      </x:c>
      <x:c r="F26" t="str">
        <x:v>Aplicativo Cliente</x:v>
      </x:c>
      <x:c r="G26" t="str">
        <x:v>E-115</x:v>
      </x:c>
      <x:c r="H26" t="str">
        <x:v>Elevador Social</x:v>
      </x:c>
      <x:c r="I26" t="str">
        <x:v>Microprocessado</x:v>
      </x:c>
      <x:c r="J26" t="str">
        <x:v>Gearless</x:v>
      </x:c>
      <x:c r="K26" t="str">
        <x:v>OTIS</x:v>
      </x:c>
      <x:c r="L26" t="str">
        <x:v>ROT-063</x:v>
      </x:c>
      <x:c r="M26" t="str">
        <x:v>Botoeira</x:v>
      </x:c>
      <x:c r="N26" t="str">
        <x:v>Contato</x:v>
      </x:c>
      <x:c r="O26" t="str">
        <x:v>Mau contato</x:v>
      </x:c>
      <x:c r="P26" t="str">
        <x:v>Falha de comando</x:v>
      </x:c>
      <x:c r="Q26"/>
      <x:c r="R26" t="str">
        <x:v>Edifício Corporate</x:v>
      </x:c>
      <x:c r="S26" t="str">
        <x:v>Não</x:v>
      </x:c>
      <x:c r="T26" t="str">
        <x:v>Sim</x:v>
      </x:c>
      <x:c r="U26" t="str">
        <x:v>CT-2026-003</x:v>
      </x:c>
      <x:c r="V26" t="str">
        <x:v>SP-Oeste</x:v>
      </x:c>
      <x:c r="W26" t="str">
        <x:v>Ana Costa</x:v>
      </x:c>
      <x:c r="X26" t="str">
        <x:v>Supervisor C</x:v>
      </x:c>
      <x:c r="Y26" t="str">
        <x:v>Rota Oeste 03</x:v>
      </x:c>
      <x:c r="Z26" t="str">
        <x:v>Av. Faria Lima, 3500 - São Paulo/SP</x:v>
      </x:c>
      <x:c r="AA26" t="str">
        <x:v>São Paulo</x:v>
      </x:c>
      <x:c r="AB26" s="50" t="n">
        <x:v>46273.3486111111</x:v>
      </x:c>
      <x:c r="AC26" s="50" t="n">
        <x:v>46273.35</x:v>
      </x:c>
      <x:c r="AD26" s="50" t="n">
        <x:v>46273.3513888889</x:v>
      </x:c>
      <x:c r="AE26" s="50"/>
      <x:c r="AF26" s="50"/>
      <x:c r="AG26"/>
      <x:c r="AH26"/>
      <x:c r="AI26" t="str">
        <x:v>Não</x:v>
      </x:c>
      <x:c r="AJ26" t="str">
        <x:v>Não</x:v>
      </x:c>
      <x:c r="AK26" t="n">
        <x:v>120</x:v>
      </x:c>
      <x:c r="AL26" t="n">
        <x:v>11</x:v>
      </x:c>
      <x:c r="AM26" s="64" t="n">
        <x:v>0.0667</x:v>
      </x:c>
      <x:c r="AN26" t="n">
        <x:v>2</x:v>
      </x:c>
      <x:c r="AO26" t="str">
        <x:v>Amarelo</x:v>
      </x:c>
      <x:c r="AP26" t="str">
        <x:v>2 recorrências/30d</x:v>
      </x:c>
      <x:c r="AQ26" t="str">
        <x:v>Há ocorrência recente semelhante; comparar solução anterior de Botoeira.</x:v>
      </x:c>
      <x:c r="AR26" s="62" t="n">
        <x:v>739</x:v>
      </x:c>
      <x:c r="AS26" t="str">
        <x:v>Baixo</x:v>
      </x:c>
      <x:c r="AT26" s="50" t="n">
        <x:v>46273.354166666664</x:v>
      </x:c>
      <x:c r="AU26" t="str">
        <x:v>T01</x:v>
      </x:c>
      <x:c r="AV26" t="str">
        <x:v>Snapshot original T0/T1/T2; apenas ocultação de eventos futuros</x:v>
      </x:c>
    </x:row>
    <x:row r="27">
      <x:c r="A27" t="str">
        <x:v>CH-20260908-016</x:v>
      </x:c>
      <x:c r="B27" t="str">
        <x:v>Parada Intermitente</x:v>
      </x:c>
      <x:c r="C27" t="str">
        <x:v>Paradas aleatórias</x:v>
      </x:c>
      <x:c r="D27" t="str">
        <x:v>Equipamento interrompe operação de forma intermitente.</x:v>
      </x:c>
      <x:c r="E27" t="str">
        <x:v>Contactado</x:v>
      </x:c>
      <x:c r="F27" t="str">
        <x:v>Monitoramento Remoto</x:v>
      </x:c>
      <x:c r="G27" t="str">
        <x:v>E-116</x:v>
      </x:c>
      <x:c r="H27" t="str">
        <x:v>Elevador Social</x:v>
      </x:c>
      <x:c r="I27" t="str">
        <x:v>Microprocessado</x:v>
      </x:c>
      <x:c r="J27" t="str">
        <x:v>Gearless</x:v>
      </x:c>
      <x:c r="K27" t="str">
        <x:v>OTIS</x:v>
      </x:c>
      <x:c r="L27" t="str">
        <x:v>ROT-074</x:v>
      </x:c>
      <x:c r="M27" t="str">
        <x:v>Painel/Comando</x:v>
      </x:c>
      <x:c r="N27" t="str">
        <x:v>Placa</x:v>
      </x:c>
      <x:c r="O27" t="str">
        <x:v>Intermitência</x:v>
      </x:c>
      <x:c r="P27" t="str">
        <x:v>Falha intermitente</x:v>
      </x:c>
      <x:c r="Q27"/>
      <x:c r="R27" t="str">
        <x:v>Condomínio Alameda</x:v>
      </x:c>
      <x:c r="S27" t="str">
        <x:v>Não</x:v>
      </x:c>
      <x:c r="T27" t="str">
        <x:v>Não</x:v>
      </x:c>
      <x:c r="U27" t="str">
        <x:v>CT-2026-004</x:v>
      </x:c>
      <x:c r="V27" t="str">
        <x:v>SP-Sul</x:v>
      </x:c>
      <x:c r="W27" t="str">
        <x:v>Carlos Souza</x:v>
      </x:c>
      <x:c r="X27" t="str">
        <x:v>Supervisor D</x:v>
      </x:c>
      <x:c r="Y27" t="str">
        <x:v>Rota Sul 04</x:v>
      </x:c>
      <x:c r="Z27" t="str">
        <x:v>R. das Acácias, 420 - São Paulo/SP</x:v>
      </x:c>
      <x:c r="AA27" t="str">
        <x:v>São Paulo</x:v>
      </x:c>
      <x:c r="AB27" s="50" t="n">
        <x:v>46273.3520833333</x:v>
      </x:c>
      <x:c r="AC27" s="50" t="n">
        <x:v>46273.3541666667</x:v>
      </x:c>
      <x:c r="AD27" s="50"/>
      <x:c r="AE27" s="50"/>
      <x:c r="AF27" s="50"/>
      <x:c r="AG27"/>
      <x:c r="AH27"/>
      <x:c r="AI27" t="str">
        <x:v>Não</x:v>
      </x:c>
      <x:c r="AJ27" t="str">
        <x:v>Sim</x:v>
      </x:c>
      <x:c r="AK27" t="n">
        <x:v>180</x:v>
      </x:c>
      <x:c r="AL27" t="n">
        <x:v>22</x:v>
      </x:c>
      <x:c r="AM27" s="64" t="n">
        <x:v>0.0167</x:v>
      </x:c>
      <x:c r="AN27" t="n">
        <x:v>4</x:v>
      </x:c>
      <x:c r="AO27" t="str">
        <x:v>Amarelo</x:v>
      </x:c>
      <x:c r="AP27" t="str">
        <x:v>4 recorrências/30d; carro parado</x:v>
      </x:c>
      <x:c r="AQ27" t="str">
        <x:v>Recorrência elevada: verificar padrão histórico em Painel/Comando/Placa.</x:v>
      </x:c>
      <x:c r="AR27" s="62" t="n">
        <x:v>1564</x:v>
      </x:c>
      <x:c r="AS27" t="str">
        <x:v>Alto</x:v>
      </x:c>
      <x:c r="AT27" s="50" t="n">
        <x:v>46273.354166666664</x:v>
      </x:c>
      <x:c r="AU27" t="str">
        <x:v>T01</x:v>
      </x:c>
      <x:c r="AV27" t="str">
        <x:v>Snapshot original T0/T1/T2; apenas ocultação de eventos futuros</x:v>
      </x:c>
    </x:row>
    <x:row r="28">
      <x:c r="A28" t="str">
        <x:v>CH-20260908-001</x:v>
      </x:c>
      <x:c r="B28" t="str">
        <x:v>Passageiro Preso</x:v>
      </x:c>
      <x:c r="C28" t="str">
        <x:v>Elevador parado entre andares</x:v>
      </x:c>
      <x:c r="D28" t="str">
        <x:v>Cabine imobilizada com passageiro no interior.</x:v>
      </x:c>
      <x:c r="E28" t="str">
        <x:v>Concluído</x:v>
      </x:c>
      <x:c r="F28" t="str">
        <x:v>Central de Atendimento</x:v>
      </x:c>
      <x:c r="G28" t="str">
        <x:v>E-101</x:v>
      </x:c>
      <x:c r="H28" t="str">
        <x:v>Elevador Social</x:v>
      </x:c>
      <x:c r="I28" t="str">
        <x:v>Microprocessado</x:v>
      </x:c>
      <x:c r="J28" t="str">
        <x:v>Gearless</x:v>
      </x:c>
      <x:c r="K28" t="str">
        <x:v>OTIS</x:v>
      </x:c>
      <x:c r="L28" t="str">
        <x:v>ROT-001</x:v>
      </x:c>
      <x:c r="M28" t="str">
        <x:v>Tração</x:v>
      </x:c>
      <x:c r="N28" t="str">
        <x:v>Freio</x:v>
      </x:c>
      <x:c r="O28" t="str">
        <x:v>Travamento</x:v>
      </x:c>
      <x:c r="P28" t="str">
        <x:v>Parada total</x:v>
      </x:c>
      <x:c r="Q28" t="str">
        <x:v>Resgate concluído e equipamento normalizado</x:v>
      </x:c>
      <x:c r="R28" t="str">
        <x:v>Hospital São Paulo</x:v>
      </x:c>
      <x:c r="S28" t="str">
        <x:v>Sim</x:v>
      </x:c>
      <x:c r="T28" t="str">
        <x:v>Sim</x:v>
      </x:c>
      <x:c r="U28" t="str">
        <x:v>CT-2026-001</x:v>
      </x:c>
      <x:c r="V28" t="str">
        <x:v>SP-Centro</x:v>
      </x:c>
      <x:c r="W28" t="str">
        <x:v>João Silva</x:v>
      </x:c>
      <x:c r="X28" t="str">
        <x:v>Supervisor A</x:v>
      </x:c>
      <x:c r="Y28" t="str">
        <x:v>Rota Centro 01</x:v>
      </x:c>
      <x:c r="Z28" t="str">
        <x:v>Av. Paulista, 1000 - São Paulo/SP</x:v>
      </x:c>
      <x:c r="AA28" t="str">
        <x:v>São Paulo</x:v>
      </x:c>
      <x:c r="AB28" s="50" t="n">
        <x:v>46273.3055555556</x:v>
      </x:c>
      <x:c r="AC28" s="50" t="n">
        <x:v>46273.3076388889</x:v>
      </x:c>
      <x:c r="AD28" s="50" t="n">
        <x:v>46273.3104166667</x:v>
      </x:c>
      <x:c r="AE28" s="50" t="n">
        <x:v>46273.3201388889</x:v>
      </x:c>
      <x:c r="AF28" s="50" t="n">
        <x:v>46273.3430555556</x:v>
      </x:c>
      <x:c r="AG28" t="n">
        <x:v>21</x:v>
      </x:c>
      <x:c r="AH28" t="n">
        <x:v>28</x:v>
      </x:c>
      <x:c r="AI28" t="str">
        <x:v>Sim</x:v>
      </x:c>
      <x:c r="AJ28" t="str">
        <x:v>Sim</x:v>
      </x:c>
      <x:c r="AK28" t="n">
        <x:v>60</x:v>
      </x:c>
      <x:c r="AL28" t="n">
        <x:v>0</x:v>
      </x:c>
      <x:c r="AM28" s="64" t="n">
        <x:v>0.8167</x:v>
      </x:c>
      <x:c r="AN28" t="n">
        <x:v>0</x:v>
      </x:c>
      <x:c r="AO28" t="str">
        <x:v>Amarelo</x:v>
      </x:c>
      <x:c r="AP28" t="str">
        <x:v>passageiro preso; SLA acima de 80%; carro parado</x:v>
      </x:c>
      <x:c r="AQ28" t="str">
        <x:v>Sem recorrência relevante; acompanhar evolução de Tração.</x:v>
      </x:c>
      <x:c r="AR28" s="62" t="n">
        <x:v>882</x:v>
      </x:c>
      <x:c r="AS28" t="str">
        <x:v>Médio</x:v>
      </x:c>
      <x:c r="AT28" s="50" t="n">
        <x:v>46273.395833333336</x:v>
      </x:c>
      <x:c r="AU28" t="str">
        <x:v>T02</x:v>
      </x:c>
      <x:c r="AV28" t="str">
        <x:v>Snapshot original T0/T1/T2; apenas ocultação de eventos futuros</x:v>
      </x:c>
    </x:row>
    <x:row r="29">
      <x:c r="A29" t="str">
        <x:v>CH-20260908-002</x:v>
      </x:c>
      <x:c r="B29" t="str">
        <x:v>Falha de Nivelamento</x:v>
      </x:c>
      <x:c r="C29" t="str">
        <x:v>Cabine desnivelada</x:v>
      </x:c>
      <x:c r="D29" t="str">
        <x:v>Cabine parou fora do nível do pavimento.</x:v>
      </x:c>
      <x:c r="E29" t="str">
        <x:v>Concluído</x:v>
      </x:c>
      <x:c r="F29" t="str">
        <x:v>IoT</x:v>
      </x:c>
      <x:c r="G29" t="str">
        <x:v>E-102</x:v>
      </x:c>
      <x:c r="H29" t="str">
        <x:v>Elevador Social</x:v>
      </x:c>
      <x:c r="I29" t="str">
        <x:v>Microprocessado</x:v>
      </x:c>
      <x:c r="J29" t="str">
        <x:v>Gearless</x:v>
      </x:c>
      <x:c r="K29" t="str">
        <x:v>OTIS</x:v>
      </x:c>
      <x:c r="L29" t="str">
        <x:v>ROT-014</x:v>
      </x:c>
      <x:c r="M29" t="str">
        <x:v>Sensor de Nível</x:v>
      </x:c>
      <x:c r="N29" t="str">
        <x:v>Sensor</x:v>
      </x:c>
      <x:c r="O29" t="str">
        <x:v>Leitura inconsistente</x:v>
      </x:c>
      <x:c r="P29" t="str">
        <x:v>Falha de nivelamento</x:v>
      </x:c>
      <x:c r="Q29" t="str">
        <x:v>Sensor ajustado/substituído</x:v>
      </x:c>
      <x:c r="R29" t="str">
        <x:v>Shopping Center Norte</x:v>
      </x:c>
      <x:c r="S29" t="str">
        <x:v>Não</x:v>
      </x:c>
      <x:c r="T29" t="str">
        <x:v>Sim</x:v>
      </x:c>
      <x:c r="U29" t="str">
        <x:v>CT-2026-002</x:v>
      </x:c>
      <x:c r="V29" t="str">
        <x:v>SP-Norte</x:v>
      </x:c>
      <x:c r="W29" t="str">
        <x:v>Marcos Lima</x:v>
      </x:c>
      <x:c r="X29" t="str">
        <x:v>Supervisor B</x:v>
      </x:c>
      <x:c r="Y29" t="str">
        <x:v>Rota Norte 02</x:v>
      </x:c>
      <x:c r="Z29" t="str">
        <x:v>Av. Otto Baumgart, 245 - São Paulo/SP</x:v>
      </x:c>
      <x:c r="AA29" t="str">
        <x:v>São Paulo</x:v>
      </x:c>
      <x:c r="AB29" s="50" t="n">
        <x:v>46273.3090277778</x:v>
      </x:c>
      <x:c r="AC29" s="50" t="n">
        <x:v>46273.3118055556</x:v>
      </x:c>
      <x:c r="AD29" s="50" t="n">
        <x:v>46273.3159722222</x:v>
      </x:c>
      <x:c r="AE29" s="50" t="n">
        <x:v>46273.3340277778</x:v>
      </x:c>
      <x:c r="AF29" s="50" t="n">
        <x:v>46273.3652777778</x:v>
      </x:c>
      <x:c r="AG29" t="n">
        <x:v>36</x:v>
      </x:c>
      <x:c r="AH29" t="n">
        <x:v>40</x:v>
      </x:c>
      <x:c r="AI29" t="str">
        <x:v>Não</x:v>
      </x:c>
      <x:c r="AJ29" t="str">
        <x:v>Não</x:v>
      </x:c>
      <x:c r="AK29" t="n">
        <x:v>90</x:v>
      </x:c>
      <x:c r="AL29" t="n">
        <x:v>0</x:v>
      </x:c>
      <x:c r="AM29" s="64" t="n">
        <x:v>0.8444</x:v>
      </x:c>
      <x:c r="AN29" t="n">
        <x:v>1</x:v>
      </x:c>
      <x:c r="AO29" t="str">
        <x:v>Amarelo</x:v>
      </x:c>
      <x:c r="AP29" t="str">
        <x:v>SLA acima de 80%</x:v>
      </x:c>
      <x:c r="AQ29" t="str">
        <x:v>Há ocorrência recente semelhante; comparar solução anterior de Sensor de Nível.</x:v>
      </x:c>
      <x:c r="AR29" s="62" t="n">
        <x:v>664</x:v>
      </x:c>
      <x:c r="AS29" t="str">
        <x:v>Baixo</x:v>
      </x:c>
      <x:c r="AT29" s="50" t="n">
        <x:v>46273.395833333336</x:v>
      </x:c>
      <x:c r="AU29" t="str">
        <x:v>T02</x:v>
      </x:c>
      <x:c r="AV29" t="str">
        <x:v>Snapshot original T0/T1/T2; apenas ocultação de eventos futuros</x:v>
      </x:c>
    </x:row>
    <x:row r="30">
      <x:c r="A30" t="str">
        <x:v>CH-20260908-003</x:v>
      </x:c>
      <x:c r="B30" t="str">
        <x:v>Porta não fecha</x:v>
      </x:c>
      <x:c r="C30" t="str">
        <x:v>Falha no fechamento</x:v>
      </x:c>
      <x:c r="D30" t="str">
        <x:v>Porta permanece aberta e impede partida.</x:v>
      </x:c>
      <x:c r="E30" t="str">
        <x:v>Concluído</x:v>
      </x:c>
      <x:c r="F30" t="str">
        <x:v>Aplicativo Cliente</x:v>
      </x:c>
      <x:c r="G30" t="str">
        <x:v>E-103</x:v>
      </x:c>
      <x:c r="H30" t="str">
        <x:v>Elevador Social</x:v>
      </x:c>
      <x:c r="I30" t="str">
        <x:v>Microprocessado</x:v>
      </x:c>
      <x:c r="J30" t="str">
        <x:v>Gearless</x:v>
      </x:c>
      <x:c r="K30" t="str">
        <x:v>OTIS</x:v>
      </x:c>
      <x:c r="L30" t="str">
        <x:v>ROT-021</x:v>
      </x:c>
      <x:c r="M30" t="str">
        <x:v>Operador de Porta</x:v>
      </x:c>
      <x:c r="N30" t="str">
        <x:v>Sensor de porta</x:v>
      </x:c>
      <x:c r="O30" t="str">
        <x:v>Falha de leitura</x:v>
      </x:c>
      <x:c r="P30" t="str">
        <x:v>Porta aberta</x:v>
      </x:c>
      <x:c r="Q30" t="str">
        <x:v>Sensor de porta ajustado</x:v>
      </x:c>
      <x:c r="R30" t="str">
        <x:v>Edifício Corporate</x:v>
      </x:c>
      <x:c r="S30" t="str">
        <x:v>Não</x:v>
      </x:c>
      <x:c r="T30" t="str">
        <x:v>Sim</x:v>
      </x:c>
      <x:c r="U30" t="str">
        <x:v>CT-2026-003</x:v>
      </x:c>
      <x:c r="V30" t="str">
        <x:v>SP-Oeste</x:v>
      </x:c>
      <x:c r="W30" t="str">
        <x:v>Ana Costa</x:v>
      </x:c>
      <x:c r="X30" t="str">
        <x:v>Supervisor C</x:v>
      </x:c>
      <x:c r="Y30" t="str">
        <x:v>Rota Oeste 03</x:v>
      </x:c>
      <x:c r="Z30" t="str">
        <x:v>Av. Faria Lima, 3500 - São Paulo/SP</x:v>
      </x:c>
      <x:c r="AA30" t="str">
        <x:v>São Paulo</x:v>
      </x:c>
      <x:c r="AB30" s="50" t="n">
        <x:v>46273.3118055556</x:v>
      </x:c>
      <x:c r="AC30" s="50" t="n">
        <x:v>46273.3152777778</x:v>
      </x:c>
      <x:c r="AD30" s="50" t="n">
        <x:v>46273.3166666667</x:v>
      </x:c>
      <x:c r="AE30" s="50" t="n">
        <x:v>46273.3395833333</x:v>
      </x:c>
      <x:c r="AF30" s="50" t="n">
        <x:v>46273.3784722222</x:v>
      </x:c>
      <x:c r="AG30" t="n">
        <x:v>40</x:v>
      </x:c>
      <x:c r="AH30" t="n">
        <x:v>51</x:v>
      </x:c>
      <x:c r="AI30" t="str">
        <x:v>Não</x:v>
      </x:c>
      <x:c r="AJ30" t="str">
        <x:v>Não</x:v>
      </x:c>
      <x:c r="AK30" t="n">
        <x:v>120</x:v>
      </x:c>
      <x:c r="AL30" t="n">
        <x:v>0</x:v>
      </x:c>
      <x:c r="AM30" s="64" t="n">
        <x:v>0.7583</x:v>
      </x:c>
      <x:c r="AN30" t="n">
        <x:v>2</x:v>
      </x:c>
      <x:c r="AO30" t="str">
        <x:v>Amarelo</x:v>
      </x:c>
      <x:c r="AP30" t="str">
        <x:v>2 recorrências/30d; SLA acima de 55%</x:v>
      </x:c>
      <x:c r="AQ30" t="str">
        <x:v>Há ocorrência recente semelhante; comparar solução anterior de Operador de Porta.</x:v>
      </x:c>
      <x:c r="AR30" s="62" t="n">
        <x:v>769</x:v>
      </x:c>
      <x:c r="AS30" t="str">
        <x:v>Médio</x:v>
      </x:c>
      <x:c r="AT30" s="50" t="n">
        <x:v>46273.395833333336</x:v>
      </x:c>
      <x:c r="AU30" t="str">
        <x:v>T02</x:v>
      </x:c>
      <x:c r="AV30" t="str">
        <x:v>Snapshot original T0/T1/T2; apenas ocultação de eventos futuros</x:v>
      </x:c>
    </x:row>
    <x:row r="31">
      <x:c r="A31" t="str">
        <x:v>CH-20260908-004</x:v>
      </x:c>
      <x:c r="B31" t="str">
        <x:v>Painel sem comunicação</x:v>
      </x:c>
      <x:c r="C31" t="str">
        <x:v>Falha de comunicação</x:v>
      </x:c>
      <x:c r="D31" t="str">
        <x:v>Painel não responde aos comandos.</x:v>
      </x:c>
      <x:c r="E31" t="str">
        <x:v>Concluído</x:v>
      </x:c>
      <x:c r="F31" t="str">
        <x:v>Monitoramento Remoto</x:v>
      </x:c>
      <x:c r="G31" t="str">
        <x:v>E-104</x:v>
      </x:c>
      <x:c r="H31" t="str">
        <x:v>Elevador Social</x:v>
      </x:c>
      <x:c r="I31" t="str">
        <x:v>Microprocessado</x:v>
      </x:c>
      <x:c r="J31" t="str">
        <x:v>Gearless</x:v>
      </x:c>
      <x:c r="K31" t="str">
        <x:v>OTIS</x:v>
      </x:c>
      <x:c r="L31" t="str">
        <x:v>ROT-033</x:v>
      </x:c>
      <x:c r="M31" t="str">
        <x:v>Painel/Comando</x:v>
      </x:c>
      <x:c r="N31" t="str">
        <x:v>Interface</x:v>
      </x:c>
      <x:c r="O31" t="str">
        <x:v>Sem comunicação</x:v>
      </x:c>
      <x:c r="P31" t="str">
        <x:v>Falha lógica</x:v>
      </x:c>
      <x:c r="Q31" t="str">
        <x:v>Interface reinicializada/substituída</x:v>
      </x:c>
      <x:c r="R31" t="str">
        <x:v>Condomínio Alameda</x:v>
      </x:c>
      <x:c r="S31" t="str">
        <x:v>Não</x:v>
      </x:c>
      <x:c r="T31" t="str">
        <x:v>Não</x:v>
      </x:c>
      <x:c r="U31" t="str">
        <x:v>CT-2026-004</x:v>
      </x:c>
      <x:c r="V31" t="str">
        <x:v>SP-Sul</x:v>
      </x:c>
      <x:c r="W31" t="str">
        <x:v>Carlos Souza</x:v>
      </x:c>
      <x:c r="X31" t="str">
        <x:v>Supervisor D</x:v>
      </x:c>
      <x:c r="Y31" t="str">
        <x:v>Rota Sul 04</x:v>
      </x:c>
      <x:c r="Z31" t="str">
        <x:v>R. das Acácias, 420 - São Paulo/SP</x:v>
      </x:c>
      <x:c r="AA31" t="str">
        <x:v>São Paulo</x:v>
      </x:c>
      <x:c r="AB31" s="50" t="n">
        <x:v>46273.3145833333</x:v>
      </x:c>
      <x:c r="AC31" s="50" t="n">
        <x:v>46273.31875</x:v>
      </x:c>
      <x:c r="AD31" s="50" t="n">
        <x:v>46273.3215277778</x:v>
      </x:c>
      <x:c r="AE31" s="50" t="n">
        <x:v>46273.3493055556</x:v>
      </x:c>
      <x:c r="AF31" s="50" t="n">
        <x:v>46273.3958333333</x:v>
      </x:c>
      <x:c r="AG31" t="n">
        <x:v>50</x:v>
      </x:c>
      <x:c r="AH31" t="n">
        <x:v>62</x:v>
      </x:c>
      <x:c r="AI31" t="str">
        <x:v>Não</x:v>
      </x:c>
      <x:c r="AJ31" t="str">
        <x:v>Não</x:v>
      </x:c>
      <x:c r="AK31" t="n">
        <x:v>180</x:v>
      </x:c>
      <x:c r="AL31" t="n">
        <x:v>0</x:v>
      </x:c>
      <x:c r="AM31" s="64" t="n">
        <x:v>0.6222</x:v>
      </x:c>
      <x:c r="AN31" t="n">
        <x:v>3</x:v>
      </x:c>
      <x:c r="AO31" t="str">
        <x:v>Verde</x:v>
      </x:c>
      <x:c r="AP31" t="str">
        <x:v>3 recorrências/30d; SLA acima de 55%</x:v>
      </x:c>
      <x:c r="AQ31" t="str">
        <x:v>Recorrência elevada: verificar padrão histórico em Painel/Comando/Interface.</x:v>
      </x:c>
      <x:c r="AR31" s="62" t="n">
        <x:v>1594</x:v>
      </x:c>
      <x:c r="AS31" t="str">
        <x:v>Alto</x:v>
      </x:c>
      <x:c r="AT31" s="50" t="n">
        <x:v>46273.395833333336</x:v>
      </x:c>
      <x:c r="AU31" t="str">
        <x:v>T02</x:v>
      </x:c>
      <x:c r="AV31" t="str">
        <x:v>Snapshot original T0/T1/T2; apenas ocultação de eventos futuros</x:v>
      </x:c>
    </x:row>
    <x:row r="32">
      <x:c r="A32" t="str">
        <x:v>CH-20260908-005</x:v>
      </x:c>
      <x:c r="B32" t="str">
        <x:v>Falha de Tração</x:v>
      </x:c>
      <x:c r="C32" t="str">
        <x:v>Movimento irregular</x:v>
      </x:c>
      <x:c r="D32" t="str">
        <x:v>Equipamento apresenta perda de tração.</x:v>
      </x:c>
      <x:c r="E32" t="str">
        <x:v>Concluído</x:v>
      </x:c>
      <x:c r="F32" t="str">
        <x:v>Central de Atendimento</x:v>
      </x:c>
      <x:c r="G32" t="str">
        <x:v>E-105</x:v>
      </x:c>
      <x:c r="H32" t="str">
        <x:v>Elevador Social</x:v>
      </x:c>
      <x:c r="I32" t="str">
        <x:v>Microprocessado</x:v>
      </x:c>
      <x:c r="J32" t="str">
        <x:v>Gearless</x:v>
      </x:c>
      <x:c r="K32" t="str">
        <x:v>OTIS</x:v>
      </x:c>
      <x:c r="L32" t="str">
        <x:v>ROT-041</x:v>
      </x:c>
      <x:c r="M32" t="str">
        <x:v>Máquina de Tração</x:v>
      </x:c>
      <x:c r="N32" t="str">
        <x:v>Inversor</x:v>
      </x:c>
      <x:c r="O32" t="str">
        <x:v>Oscilação</x:v>
      </x:c>
      <x:c r="P32" t="str">
        <x:v>Falha de movimento</x:v>
      </x:c>
      <x:c r="Q32" t="str">
        <x:v>Parâmetros do inversor corrigidos</x:v>
      </x:c>
      <x:c r="R32" t="str">
        <x:v>Aeroporto Terminal 3</x:v>
      </x:c>
      <x:c r="S32" t="str">
        <x:v>Sim</x:v>
      </x:c>
      <x:c r="T32" t="str">
        <x:v>Sim</x:v>
      </x:c>
      <x:c r="U32" t="str">
        <x:v>CT-2026-005</x:v>
      </x:c>
      <x:c r="V32" t="str">
        <x:v>GRU</x:v>
      </x:c>
      <x:c r="W32" t="str">
        <x:v>Renata Alves</x:v>
      </x:c>
      <x:c r="X32" t="str">
        <x:v>Supervisor A</x:v>
      </x:c>
      <x:c r="Y32" t="str">
        <x:v>Rota GRU 05</x:v>
      </x:c>
      <x:c r="Z32" t="str">
        <x:v>Rod. Hélio Smidt, s/n - Guarulhos/SP</x:v>
      </x:c>
      <x:c r="AA32" t="str">
        <x:v>São Paulo</x:v>
      </x:c>
      <x:c r="AB32" s="50" t="n">
        <x:v>46273.3180555556</x:v>
      </x:c>
      <x:c r="AC32" s="50" t="n">
        <x:v>46273.3194444444</x:v>
      </x:c>
      <x:c r="AD32" s="50" t="n">
        <x:v>46273.3236111111</x:v>
      </x:c>
      <x:c r="AE32" s="50" t="n">
        <x:v>46273.3319444444</x:v>
      </x:c>
      <x:c r="AF32" s="50" t="n">
        <x:v>46273.3861111111</x:v>
      </x:c>
      <x:c r="AG32" t="n">
        <x:v>20</x:v>
      </x:c>
      <x:c r="AH32" t="n">
        <x:v>73</x:v>
      </x:c>
      <x:c r="AI32" t="str">
        <x:v>Não</x:v>
      </x:c>
      <x:c r="AJ32" t="str">
        <x:v>Sim</x:v>
      </x:c>
      <x:c r="AK32" t="n">
        <x:v>45</x:v>
      </x:c>
      <x:c r="AL32" t="n">
        <x:v>0</x:v>
      </x:c>
      <x:c r="AM32" s="64" t="n">
        <x:v>2.0667</x:v>
      </x:c>
      <x:c r="AN32" t="n">
        <x:v>1</x:v>
      </x:c>
      <x:c r="AO32" t="str">
        <x:v>Vermelho</x:v>
      </x:c>
      <x:c r="AP32" t="str">
        <x:v>SLA estourado; carro parado</x:v>
      </x:c>
      <x:c r="AQ32" t="str">
        <x:v>Há ocorrência recente semelhante; comparar solução anterior de Máquina de Tração.</x:v>
      </x:c>
      <x:c r="AR32" s="62" t="n">
        <x:v>1259</x:v>
      </x:c>
      <x:c r="AS32" t="str">
        <x:v>Alto</x:v>
      </x:c>
      <x:c r="AT32" s="50" t="n">
        <x:v>46273.395833333336</x:v>
      </x:c>
      <x:c r="AU32" t="str">
        <x:v>T02</x:v>
      </x:c>
      <x:c r="AV32" t="str">
        <x:v>Snapshot original T0/T1/T2; apenas ocultação de eventos futuros</x:v>
      </x:c>
    </x:row>
    <x:row r="33">
      <x:c r="A33" t="str">
        <x:v>CH-20260908-006</x:v>
      </x:c>
      <x:c r="B33" t="str">
        <x:v>Iluminação de Cabine</x:v>
      </x:c>
      <x:c r="C33" t="str">
        <x:v>Iluminação inoperante</x:v>
      </x:c>
      <x:c r="D33" t="str">
        <x:v>Cabine com iluminação parcial ou total indisponível.</x:v>
      </x:c>
      <x:c r="E33" t="str">
        <x:v>Concluído</x:v>
      </x:c>
      <x:c r="F33" t="str">
        <x:v>IoT</x:v>
      </x:c>
      <x:c r="G33" t="str">
        <x:v>E-106</x:v>
      </x:c>
      <x:c r="H33" t="str">
        <x:v>Elevador Social</x:v>
      </x:c>
      <x:c r="I33" t="str">
        <x:v>Microprocessado</x:v>
      </x:c>
      <x:c r="J33" t="str">
        <x:v>Gearless</x:v>
      </x:c>
      <x:c r="K33" t="str">
        <x:v>OTIS</x:v>
      </x:c>
      <x:c r="L33" t="str">
        <x:v>ROT-052</x:v>
      </x:c>
      <x:c r="M33" t="str">
        <x:v>Elétrica</x:v>
      </x:c>
      <x:c r="N33" t="str">
        <x:v>Fonte</x:v>
      </x:c>
      <x:c r="O33" t="str">
        <x:v>Sem alimentação</x:v>
      </x:c>
      <x:c r="P33" t="str">
        <x:v>Falha elétrica</x:v>
      </x:c>
      <x:c r="Q33" t="str">
        <x:v>Fonte substituída</x:v>
      </x:c>
      <x:c r="R33" t="str">
        <x:v>Universidade Central</x:v>
      </x:c>
      <x:c r="S33" t="str">
        <x:v>Não</x:v>
      </x:c>
      <x:c r="T33" t="str">
        <x:v>Sim</x:v>
      </x:c>
      <x:c r="U33" t="str">
        <x:v>CT-2026-006</x:v>
      </x:c>
      <x:c r="V33" t="str">
        <x:v>SP-Leste</x:v>
      </x:c>
      <x:c r="W33" t="str">
        <x:v>Paulo Mendes</x:v>
      </x:c>
      <x:c r="X33" t="str">
        <x:v>Supervisor B</x:v>
      </x:c>
      <x:c r="Y33" t="str">
        <x:v>Rota Leste 06</x:v>
      </x:c>
      <x:c r="Z33" t="str">
        <x:v>Av. Central, 850 - São Paulo/SP</x:v>
      </x:c>
      <x:c r="AA33" t="str">
        <x:v>São Paulo</x:v>
      </x:c>
      <x:c r="AB33" s="50" t="n">
        <x:v>46273.3215277778</x:v>
      </x:c>
      <x:c r="AC33" s="50" t="n">
        <x:v>46273.3236111111</x:v>
      </x:c>
      <x:c r="AD33" s="50" t="n">
        <x:v>46273.325</x:v>
      </x:c>
      <x:c r="AE33" s="50" t="n">
        <x:v>46273.3388888889</x:v>
      </x:c>
      <x:c r="AF33" s="50" t="n">
        <x:v>46273.3569444444</x:v>
      </x:c>
      <x:c r="AG33" t="n">
        <x:v>25</x:v>
      </x:c>
      <x:c r="AH33" t="n">
        <x:v>21</x:v>
      </x:c>
      <x:c r="AI33" t="str">
        <x:v>Não</x:v>
      </x:c>
      <x:c r="AJ33" t="str">
        <x:v>Não</x:v>
      </x:c>
      <x:c r="AK33" t="n">
        <x:v>120</x:v>
      </x:c>
      <x:c r="AL33" t="n">
        <x:v>0</x:v>
      </x:c>
      <x:c r="AM33" s="64" t="n">
        <x:v>0.3833</x:v>
      </x:c>
      <x:c r="AN33" t="n">
        <x:v>0</x:v>
      </x:c>
      <x:c r="AO33" t="str">
        <x:v>Verde</x:v>
      </x:c>
      <x:c r="AP33" t="str">
        <x:v>operação dentro do esperado</x:v>
      </x:c>
      <x:c r="AQ33" t="str">
        <x:v>Sem recorrência relevante; acompanhar evolução de Elétrica.</x:v>
      </x:c>
      <x:c r="AR33" s="62" t="n">
        <x:v>507</x:v>
      </x:c>
      <x:c r="AS33" t="str">
        <x:v>Baixo</x:v>
      </x:c>
      <x:c r="AT33" s="50" t="n">
        <x:v>46273.395833333336</x:v>
      </x:c>
      <x:c r="AU33" t="str">
        <x:v>T02</x:v>
      </x:c>
      <x:c r="AV33" t="str">
        <x:v>Snapshot original T0/T1/T2; apenas ocultação de eventos futuros</x:v>
      </x:c>
    </x:row>
    <x:row r="34">
      <x:c r="A34" t="str">
        <x:v>CH-20260908-007</x:v>
      </x:c>
      <x:c r="B34" t="str">
        <x:v>Botão de Chamada</x:v>
      </x:c>
      <x:c r="C34" t="str">
        <x:v>Botão não responde</x:v>
      </x:c>
      <x:c r="D34" t="str">
        <x:v>Botão de chamada não registra comando.</x:v>
      </x:c>
      <x:c r="E34" t="str">
        <x:v>Concluído</x:v>
      </x:c>
      <x:c r="F34" t="str">
        <x:v>Aplicativo Cliente</x:v>
      </x:c>
      <x:c r="G34" t="str">
        <x:v>E-107</x:v>
      </x:c>
      <x:c r="H34" t="str">
        <x:v>Elevador Social</x:v>
      </x:c>
      <x:c r="I34" t="str">
        <x:v>Microprocessado</x:v>
      </x:c>
      <x:c r="J34" t="str">
        <x:v>Gearless</x:v>
      </x:c>
      <x:c r="K34" t="str">
        <x:v>OTIS</x:v>
      </x:c>
      <x:c r="L34" t="str">
        <x:v>ROT-063</x:v>
      </x:c>
      <x:c r="M34" t="str">
        <x:v>Botoeira</x:v>
      </x:c>
      <x:c r="N34" t="str">
        <x:v>Contato</x:v>
      </x:c>
      <x:c r="O34" t="str">
        <x:v>Mau contato</x:v>
      </x:c>
      <x:c r="P34" t="str">
        <x:v>Falha de comando</x:v>
      </x:c>
      <x:c r="Q34" t="str">
        <x:v>Contato reparado</x:v>
      </x:c>
      <x:c r="R34" t="str">
        <x:v>Hospital São Paulo</x:v>
      </x:c>
      <x:c r="S34" t="str">
        <x:v>Sim</x:v>
      </x:c>
      <x:c r="T34" t="str">
        <x:v>Sim</x:v>
      </x:c>
      <x:c r="U34" t="str">
        <x:v>CT-2026-001</x:v>
      </x:c>
      <x:c r="V34" t="str">
        <x:v>SP-Centro</x:v>
      </x:c>
      <x:c r="W34" t="str">
        <x:v>João Silva</x:v>
      </x:c>
      <x:c r="X34" t="str">
        <x:v>Supervisor C</x:v>
      </x:c>
      <x:c r="Y34" t="str">
        <x:v>Rota Centro 01</x:v>
      </x:c>
      <x:c r="Z34" t="str">
        <x:v>Av. Paulista, 1000 - São Paulo/SP</x:v>
      </x:c>
      <x:c r="AA34" t="str">
        <x:v>São Paulo</x:v>
      </x:c>
      <x:c r="AB34" s="50" t="n">
        <x:v>46273.3243055556</x:v>
      </x:c>
      <x:c r="AC34" s="50" t="n">
        <x:v>46273.3270833333</x:v>
      </x:c>
      <x:c r="AD34" s="50" t="n">
        <x:v>46273.3298611111</x:v>
      </x:c>
      <x:c r="AE34" s="50" t="n">
        <x:v>46273.3486111111</x:v>
      </x:c>
      <x:c r="AF34" s="50" t="n">
        <x:v>46273.3743055556</x:v>
      </x:c>
      <x:c r="AG34" t="n">
        <x:v>35</x:v>
      </x:c>
      <x:c r="AH34" t="n">
        <x:v>32</x:v>
      </x:c>
      <x:c r="AI34" t="str">
        <x:v>Não</x:v>
      </x:c>
      <x:c r="AJ34" t="str">
        <x:v>Não</x:v>
      </x:c>
      <x:c r="AK34" t="n">
        <x:v>60</x:v>
      </x:c>
      <x:c r="AL34" t="n">
        <x:v>0</x:v>
      </x:c>
      <x:c r="AM34" s="64" t="n">
        <x:v>1.1167</x:v>
      </x:c>
      <x:c r="AN34" t="n">
        <x:v>2</x:v>
      </x:c>
      <x:c r="AO34" t="str">
        <x:v>Vermelho</x:v>
      </x:c>
      <x:c r="AP34" t="str">
        <x:v>2 recorrências/30d; SLA estourado</x:v>
      </x:c>
      <x:c r="AQ34" t="str">
        <x:v>Há ocorrência recente semelhante; comparar solução anterior de Botoeira.</x:v>
      </x:c>
      <x:c r="AR34" s="62" t="n">
        <x:v>612</x:v>
      </x:c>
      <x:c r="AS34" t="str">
        <x:v>Baixo</x:v>
      </x:c>
      <x:c r="AT34" s="50" t="n">
        <x:v>46273.395833333336</x:v>
      </x:c>
      <x:c r="AU34" t="str">
        <x:v>T02</x:v>
      </x:c>
      <x:c r="AV34" t="str">
        <x:v>Snapshot original T0/T1/T2; apenas ocultação de eventos futuros</x:v>
      </x:c>
    </x:row>
    <x:row r="35">
      <x:c r="A35" t="str">
        <x:v>CH-20260908-008</x:v>
      </x:c>
      <x:c r="B35" t="str">
        <x:v>Parada Intermitente</x:v>
      </x:c>
      <x:c r="C35" t="str">
        <x:v>Paradas aleatórias</x:v>
      </x:c>
      <x:c r="D35" t="str">
        <x:v>Equipamento interrompe operação de forma intermitente.</x:v>
      </x:c>
      <x:c r="E35" t="str">
        <x:v>Concluído</x:v>
      </x:c>
      <x:c r="F35" t="str">
        <x:v>Monitoramento Remoto</x:v>
      </x:c>
      <x:c r="G35" t="str">
        <x:v>E-108</x:v>
      </x:c>
      <x:c r="H35" t="str">
        <x:v>Elevador Social</x:v>
      </x:c>
      <x:c r="I35" t="str">
        <x:v>Microprocessado</x:v>
      </x:c>
      <x:c r="J35" t="str">
        <x:v>Gearless</x:v>
      </x:c>
      <x:c r="K35" t="str">
        <x:v>OTIS</x:v>
      </x:c>
      <x:c r="L35" t="str">
        <x:v>ROT-074</x:v>
      </x:c>
      <x:c r="M35" t="str">
        <x:v>Painel/Comando</x:v>
      </x:c>
      <x:c r="N35" t="str">
        <x:v>Placa</x:v>
      </x:c>
      <x:c r="O35" t="str">
        <x:v>Intermitência</x:v>
      </x:c>
      <x:c r="P35" t="str">
        <x:v>Falha intermitente</x:v>
      </x:c>
      <x:c r="Q35" t="str">
        <x:v>Placa revisada e teste funcional</x:v>
      </x:c>
      <x:c r="R35" t="str">
        <x:v>Shopping Center Norte</x:v>
      </x:c>
      <x:c r="S35" t="str">
        <x:v>Não</x:v>
      </x:c>
      <x:c r="T35" t="str">
        <x:v>Sim</x:v>
      </x:c>
      <x:c r="U35" t="str">
        <x:v>CT-2026-002</x:v>
      </x:c>
      <x:c r="V35" t="str">
        <x:v>SP-Norte</x:v>
      </x:c>
      <x:c r="W35" t="str">
        <x:v>Marcos Lima</x:v>
      </x:c>
      <x:c r="X35" t="str">
        <x:v>Supervisor D</x:v>
      </x:c>
      <x:c r="Y35" t="str">
        <x:v>Rota Norte 02</x:v>
      </x:c>
      <x:c r="Z35" t="str">
        <x:v>Av. Otto Baumgart, 245 - São Paulo/SP</x:v>
      </x:c>
      <x:c r="AA35" t="str">
        <x:v>São Paulo</x:v>
      </x:c>
      <x:c r="AB35" s="50" t="n">
        <x:v>46273.3270833333</x:v>
      </x:c>
      <x:c r="AC35" s="50" t="n">
        <x:v>46273.3305555556</x:v>
      </x:c>
      <x:c r="AD35" s="50" t="n">
        <x:v>46273.3347222222</x:v>
      </x:c>
      <x:c r="AE35" s="50" t="n">
        <x:v>46273.3583333333</x:v>
      </x:c>
      <x:c r="AF35" s="50" t="n">
        <x:v>46273.3916666667</x:v>
      </x:c>
      <x:c r="AG35" t="n">
        <x:v>45</x:v>
      </x:c>
      <x:c r="AH35" t="n">
        <x:v>43</x:v>
      </x:c>
      <x:c r="AI35" t="str">
        <x:v>Não</x:v>
      </x:c>
      <x:c r="AJ35" t="str">
        <x:v>Sim</x:v>
      </x:c>
      <x:c r="AK35" t="n">
        <x:v>90</x:v>
      </x:c>
      <x:c r="AL35" t="n">
        <x:v>0</x:v>
      </x:c>
      <x:c r="AM35" s="64" t="n">
        <x:v>0.9778</x:v>
      </x:c>
      <x:c r="AN35" t="n">
        <x:v>4</x:v>
      </x:c>
      <x:c r="AO35" t="str">
        <x:v>Laranja</x:v>
      </x:c>
      <x:c r="AP35" t="str">
        <x:v>4 recorrências/30d; SLA acima de 80%; carro parado</x:v>
      </x:c>
      <x:c r="AQ35" t="str">
        <x:v>Recorrência elevada: verificar padrão histórico em Painel/Comando/Placa.</x:v>
      </x:c>
      <x:c r="AR35" s="62" t="n">
        <x:v>1437</x:v>
      </x:c>
      <x:c r="AS35" t="str">
        <x:v>Alto</x:v>
      </x:c>
      <x:c r="AT35" s="50" t="n">
        <x:v>46273.395833333336</x:v>
      </x:c>
      <x:c r="AU35" t="str">
        <x:v>T02</x:v>
      </x:c>
      <x:c r="AV35" t="str">
        <x:v>Snapshot original T0/T1/T2; apenas ocultação de eventos futuros</x:v>
      </x:c>
    </x:row>
    <x:row r="36">
      <x:c r="A36" t="str">
        <x:v>CH-20260908-009</x:v>
      </x:c>
      <x:c r="B36" t="str">
        <x:v>Passageiro Preso</x:v>
      </x:c>
      <x:c r="C36" t="str">
        <x:v>Elevador parado entre andares</x:v>
      </x:c>
      <x:c r="D36" t="str">
        <x:v>Cabine imobilizada com passageiro no interior.</x:v>
      </x:c>
      <x:c r="E36" t="str">
        <x:v>Concluído</x:v>
      </x:c>
      <x:c r="F36" t="str">
        <x:v>Central de Atendimento</x:v>
      </x:c>
      <x:c r="G36" t="str">
        <x:v>E-109</x:v>
      </x:c>
      <x:c r="H36" t="str">
        <x:v>Elevador Social</x:v>
      </x:c>
      <x:c r="I36" t="str">
        <x:v>Microprocessado</x:v>
      </x:c>
      <x:c r="J36" t="str">
        <x:v>Gearless</x:v>
      </x:c>
      <x:c r="K36" t="str">
        <x:v>OTIS</x:v>
      </x:c>
      <x:c r="L36" t="str">
        <x:v>ROT-001</x:v>
      </x:c>
      <x:c r="M36" t="str">
        <x:v>Tração</x:v>
      </x:c>
      <x:c r="N36" t="str">
        <x:v>Freio</x:v>
      </x:c>
      <x:c r="O36" t="str">
        <x:v>Travamento</x:v>
      </x:c>
      <x:c r="P36" t="str">
        <x:v>Parada total</x:v>
      </x:c>
      <x:c r="Q36" t="str">
        <x:v>Resgate concluído e equipamento normalizado</x:v>
      </x:c>
      <x:c r="R36" t="str">
        <x:v>Edifício Corporate</x:v>
      </x:c>
      <x:c r="S36" t="str">
        <x:v>Não</x:v>
      </x:c>
      <x:c r="T36" t="str">
        <x:v>Sim</x:v>
      </x:c>
      <x:c r="U36" t="str">
        <x:v>CT-2026-003</x:v>
      </x:c>
      <x:c r="V36" t="str">
        <x:v>SP-Oeste</x:v>
      </x:c>
      <x:c r="W36" t="str">
        <x:v>Ana Costa</x:v>
      </x:c>
      <x:c r="X36" t="str">
        <x:v>Supervisor A</x:v>
      </x:c>
      <x:c r="Y36" t="str">
        <x:v>Rota Oeste 03</x:v>
      </x:c>
      <x:c r="Z36" t="str">
        <x:v>Av. Faria Lima, 3500 - São Paulo/SP</x:v>
      </x:c>
      <x:c r="AA36" t="str">
        <x:v>São Paulo</x:v>
      </x:c>
      <x:c r="AB36" s="50" t="n">
        <x:v>46273.3298611111</x:v>
      </x:c>
      <x:c r="AC36" s="50" t="n">
        <x:v>46273.3340277778</x:v>
      </x:c>
      <x:c r="AD36" s="50" t="n">
        <x:v>46273.3354166667</x:v>
      </x:c>
      <x:c r="AE36" s="50" t="n">
        <x:v>46273.3604166667</x:v>
      </x:c>
      <x:c r="AF36" s="50" t="n">
        <x:v>46273.3833333333</x:v>
      </x:c>
      <x:c r="AG36" t="n">
        <x:v>44</x:v>
      </x:c>
      <x:c r="AH36" t="n">
        <x:v>28</x:v>
      </x:c>
      <x:c r="AI36" t="str">
        <x:v>Sim</x:v>
      </x:c>
      <x:c r="AJ36" t="str">
        <x:v>Sim</x:v>
      </x:c>
      <x:c r="AK36" t="n">
        <x:v>120</x:v>
      </x:c>
      <x:c r="AL36" t="n">
        <x:v>0</x:v>
      </x:c>
      <x:c r="AM36" s="64" t="n">
        <x:v>0.6</x:v>
      </x:c>
      <x:c r="AN36" t="n">
        <x:v>0</x:v>
      </x:c>
      <x:c r="AO36" t="str">
        <x:v>Verde</x:v>
      </x:c>
      <x:c r="AP36" t="str">
        <x:v>passageiro preso; SLA acima de 55%; carro parado</x:v>
      </x:c>
      <x:c r="AQ36" t="str">
        <x:v>Sem recorrência relevante; acompanhar evolução de Tração.</x:v>
      </x:c>
      <x:c r="AR36" s="62" t="n">
        <x:v>970</x:v>
      </x:c>
      <x:c r="AS36" t="str">
        <x:v>Médio</x:v>
      </x:c>
      <x:c r="AT36" s="50" t="n">
        <x:v>46273.395833333336</x:v>
      </x:c>
      <x:c r="AU36" t="str">
        <x:v>T02</x:v>
      </x:c>
      <x:c r="AV36" t="str">
        <x:v>Snapshot original T0/T1/T2; apenas ocultação de eventos futuros</x:v>
      </x:c>
    </x:row>
    <x:row r="37">
      <x:c r="A37" t="str">
        <x:v>CH-20260908-010</x:v>
      </x:c>
      <x:c r="B37" t="str">
        <x:v>Falha de Nivelamento</x:v>
      </x:c>
      <x:c r="C37" t="str">
        <x:v>Cabine desnivelada</x:v>
      </x:c>
      <x:c r="D37" t="str">
        <x:v>Cabine parou fora do nível do pavimento.</x:v>
      </x:c>
      <x:c r="E37" t="str">
        <x:v>Concluído</x:v>
      </x:c>
      <x:c r="F37" t="str">
        <x:v>IoT</x:v>
      </x:c>
      <x:c r="G37" t="str">
        <x:v>E-110</x:v>
      </x:c>
      <x:c r="H37" t="str">
        <x:v>Elevador Social</x:v>
      </x:c>
      <x:c r="I37" t="str">
        <x:v>Microprocessado</x:v>
      </x:c>
      <x:c r="J37" t="str">
        <x:v>Gearless</x:v>
      </x:c>
      <x:c r="K37" t="str">
        <x:v>OTIS</x:v>
      </x:c>
      <x:c r="L37" t="str">
        <x:v>ROT-014</x:v>
      </x:c>
      <x:c r="M37" t="str">
        <x:v>Sensor de Nível</x:v>
      </x:c>
      <x:c r="N37" t="str">
        <x:v>Sensor</x:v>
      </x:c>
      <x:c r="O37" t="str">
        <x:v>Leitura inconsistente</x:v>
      </x:c>
      <x:c r="P37" t="str">
        <x:v>Falha de nivelamento</x:v>
      </x:c>
      <x:c r="Q37" t="str">
        <x:v>Sensor ajustado/substituído</x:v>
      </x:c>
      <x:c r="R37" t="str">
        <x:v>Condomínio Alameda</x:v>
      </x:c>
      <x:c r="S37" t="str">
        <x:v>Não</x:v>
      </x:c>
      <x:c r="T37" t="str">
        <x:v>Não</x:v>
      </x:c>
      <x:c r="U37" t="str">
        <x:v>CT-2026-004</x:v>
      </x:c>
      <x:c r="V37" t="str">
        <x:v>SP-Sul</x:v>
      </x:c>
      <x:c r="W37" t="str">
        <x:v>Carlos Souza</x:v>
      </x:c>
      <x:c r="X37" t="str">
        <x:v>Supervisor B</x:v>
      </x:c>
      <x:c r="Y37" t="str">
        <x:v>Rota Sul 04</x:v>
      </x:c>
      <x:c r="Z37" t="str">
        <x:v>R. das Acácias, 420 - São Paulo/SP</x:v>
      </x:c>
      <x:c r="AA37" t="str">
        <x:v>São Paulo</x:v>
      </x:c>
      <x:c r="AB37" s="50" t="n">
        <x:v>46273.3326388889</x:v>
      </x:c>
      <x:c r="AC37" s="50" t="n">
        <x:v>46273.3340277778</x:v>
      </x:c>
      <x:c r="AD37" s="50" t="n">
        <x:v>46273.3368055556</x:v>
      </x:c>
      <x:c r="AE37" s="50" t="n">
        <x:v>46273.3465277778</x:v>
      </x:c>
      <x:c r="AF37" s="50" t="n">
        <x:v>46273.3951388889</x:v>
      </x:c>
      <x:c r="AG37" t="n">
        <x:v>20</x:v>
      </x:c>
      <x:c r="AH37" t="n">
        <x:v>65</x:v>
      </x:c>
      <x:c r="AI37" t="str">
        <x:v>Não</x:v>
      </x:c>
      <x:c r="AJ37" t="str">
        <x:v>Não</x:v>
      </x:c>
      <x:c r="AK37" t="n">
        <x:v>180</x:v>
      </x:c>
      <x:c r="AL37" t="n">
        <x:v>0</x:v>
      </x:c>
      <x:c r="AM37" s="64" t="n">
        <x:v>0.4722</x:v>
      </x:c>
      <x:c r="AN37" t="n">
        <x:v>1</x:v>
      </x:c>
      <x:c r="AO37" t="str">
        <x:v>Verde</x:v>
      </x:c>
      <x:c r="AP37" t="str">
        <x:v>operação dentro do esperado</x:v>
      </x:c>
      <x:c r="AQ37" t="str">
        <x:v>Há ocorrência recente semelhante; comparar solução anterior de Sensor de Nível.</x:v>
      </x:c>
      <x:c r="AR37" s="62" t="n">
        <x:v>791</x:v>
      </x:c>
      <x:c r="AS37" t="str">
        <x:v>Médio</x:v>
      </x:c>
      <x:c r="AT37" s="50" t="n">
        <x:v>46273.395833333336</x:v>
      </x:c>
      <x:c r="AU37" t="str">
        <x:v>T02</x:v>
      </x:c>
      <x:c r="AV37" t="str">
        <x:v>Snapshot original T0/T1/T2; apenas ocultação de eventos futuros</x:v>
      </x:c>
    </x:row>
    <x:row r="38">
      <x:c r="A38" t="str">
        <x:v>CH-20260908-011</x:v>
      </x:c>
      <x:c r="B38" t="str">
        <x:v>Porta não fecha</x:v>
      </x:c>
      <x:c r="C38" t="str">
        <x:v>Falha no fechamento</x:v>
      </x:c>
      <x:c r="D38" t="str">
        <x:v>Porta permanece aberta e impede partida.</x:v>
      </x:c>
      <x:c r="E38" t="str">
        <x:v>Em atendimento</x:v>
      </x:c>
      <x:c r="F38" t="str">
        <x:v>Aplicativo Cliente</x:v>
      </x:c>
      <x:c r="G38" t="str">
        <x:v>E-111</x:v>
      </x:c>
      <x:c r="H38" t="str">
        <x:v>Elevador Social</x:v>
      </x:c>
      <x:c r="I38" t="str">
        <x:v>Microprocessado</x:v>
      </x:c>
      <x:c r="J38" t="str">
        <x:v>Gearless</x:v>
      </x:c>
      <x:c r="K38" t="str">
        <x:v>OTIS</x:v>
      </x:c>
      <x:c r="L38" t="str">
        <x:v>ROT-021</x:v>
      </x:c>
      <x:c r="M38" t="str">
        <x:v>Operador de Porta</x:v>
      </x:c>
      <x:c r="N38" t="str">
        <x:v>Sensor de porta</x:v>
      </x:c>
      <x:c r="O38" t="str">
        <x:v>Falha de leitura</x:v>
      </x:c>
      <x:c r="P38" t="str">
        <x:v>Porta aberta</x:v>
      </x:c>
      <x:c r="Q38"/>
      <x:c r="R38" t="str">
        <x:v>Aeroporto Terminal 3</x:v>
      </x:c>
      <x:c r="S38" t="str">
        <x:v>Sim</x:v>
      </x:c>
      <x:c r="T38" t="str">
        <x:v>Sim</x:v>
      </x:c>
      <x:c r="U38" t="str">
        <x:v>CT-2026-005</x:v>
      </x:c>
      <x:c r="V38" t="str">
        <x:v>GRU</x:v>
      </x:c>
      <x:c r="W38" t="str">
        <x:v>Renata Alves</x:v>
      </x:c>
      <x:c r="X38" t="str">
        <x:v>Supervisor C</x:v>
      </x:c>
      <x:c r="Y38" t="str">
        <x:v>Rota GRU 05</x:v>
      </x:c>
      <x:c r="Z38" t="str">
        <x:v>Rod. Hélio Smidt, s/n - Guarulhos/SP</x:v>
      </x:c>
      <x:c r="AA38" t="str">
        <x:v>São Paulo</x:v>
      </x:c>
      <x:c r="AB38" s="50" t="n">
        <x:v>46273.3354166667</x:v>
      </x:c>
      <x:c r="AC38" s="50" t="n">
        <x:v>46273.3375</x:v>
      </x:c>
      <x:c r="AD38" s="50" t="n">
        <x:v>46273.3416666667</x:v>
      </x:c>
      <x:c r="AE38" s="50" t="n">
        <x:v>46273.3534722222</x:v>
      </x:c>
      <x:c r="AF38" s="50"/>
      <x:c r="AG38" t="n">
        <x:v>26</x:v>
      </x:c>
      <x:c r="AH38"/>
      <x:c r="AI38" t="str">
        <x:v>Não</x:v>
      </x:c>
      <x:c r="AJ38" t="str">
        <x:v>Não</x:v>
      </x:c>
      <x:c r="AK38" t="n">
        <x:v>45</x:v>
      </x:c>
      <x:c r="AL38" t="n">
        <x:v>0</x:v>
      </x:c>
      <x:c r="AM38" s="64" t="n">
        <x:v>1.9333</x:v>
      </x:c>
      <x:c r="AN38" t="n">
        <x:v>2</x:v>
      </x:c>
      <x:c r="AO38" t="str">
        <x:v>Vermelho</x:v>
      </x:c>
      <x:c r="AP38" t="str">
        <x:v>2 recorrências/30d; SLA estourado</x:v>
      </x:c>
      <x:c r="AQ38" t="str">
        <x:v>Há ocorrência recente semelhante; comparar solução anterior de Operador de Porta.</x:v>
      </x:c>
      <x:c r="AR38" s="62" t="n">
        <x:v>880</x:v>
      </x:c>
      <x:c r="AS38" t="str">
        <x:v>Médio</x:v>
      </x:c>
      <x:c r="AT38" s="50" t="n">
        <x:v>46273.395833333336</x:v>
      </x:c>
      <x:c r="AU38" t="str">
        <x:v>T02</x:v>
      </x:c>
      <x:c r="AV38" t="str">
        <x:v>Snapshot original T0/T1/T2; apenas ocultação de eventos futuros</x:v>
      </x:c>
    </x:row>
    <x:row r="39">
      <x:c r="A39" t="str">
        <x:v>CH-20260908-012</x:v>
      </x:c>
      <x:c r="B39" t="str">
        <x:v>Painel sem comunicação</x:v>
      </x:c>
      <x:c r="C39" t="str">
        <x:v>Falha de comunicação</x:v>
      </x:c>
      <x:c r="D39" t="str">
        <x:v>Painel não responde aos comandos.</x:v>
      </x:c>
      <x:c r="E39" t="str">
        <x:v>Concluído</x:v>
      </x:c>
      <x:c r="F39" t="str">
        <x:v>Monitoramento Remoto</x:v>
      </x:c>
      <x:c r="G39" t="str">
        <x:v>E-112</x:v>
      </x:c>
      <x:c r="H39" t="str">
        <x:v>Elevador Social</x:v>
      </x:c>
      <x:c r="I39" t="str">
        <x:v>Microprocessado</x:v>
      </x:c>
      <x:c r="J39" t="str">
        <x:v>Gearless</x:v>
      </x:c>
      <x:c r="K39" t="str">
        <x:v>OTIS</x:v>
      </x:c>
      <x:c r="L39" t="str">
        <x:v>ROT-033</x:v>
      </x:c>
      <x:c r="M39" t="str">
        <x:v>Painel/Comando</x:v>
      </x:c>
      <x:c r="N39" t="str">
        <x:v>Interface</x:v>
      </x:c>
      <x:c r="O39" t="str">
        <x:v>Sem comunicação</x:v>
      </x:c>
      <x:c r="P39" t="str">
        <x:v>Falha lógica</x:v>
      </x:c>
      <x:c r="Q39" t="str">
        <x:v>Interface reinicializada/substituída</x:v>
      </x:c>
      <x:c r="R39" t="str">
        <x:v>Universidade Central</x:v>
      </x:c>
      <x:c r="S39" t="str">
        <x:v>Não</x:v>
      </x:c>
      <x:c r="T39" t="str">
        <x:v>Sim</x:v>
      </x:c>
      <x:c r="U39" t="str">
        <x:v>CT-2026-006</x:v>
      </x:c>
      <x:c r="V39" t="str">
        <x:v>SP-Leste</x:v>
      </x:c>
      <x:c r="W39" t="str">
        <x:v>Paulo Mendes</x:v>
      </x:c>
      <x:c r="X39" t="str">
        <x:v>Supervisor D</x:v>
      </x:c>
      <x:c r="Y39" t="str">
        <x:v>Rota Leste 06</x:v>
      </x:c>
      <x:c r="Z39" t="str">
        <x:v>Av. Central, 850 - São Paulo/SP</x:v>
      </x:c>
      <x:c r="AA39" t="str">
        <x:v>São Paulo</x:v>
      </x:c>
      <x:c r="AB39" s="50" t="n">
        <x:v>46273.3381944444</x:v>
      </x:c>
      <x:c r="AC39" s="50" t="n">
        <x:v>46273.3409722222</x:v>
      </x:c>
      <x:c r="AD39" s="50" t="n">
        <x:v>46273.3423611111</x:v>
      </x:c>
      <x:c r="AE39" s="50" t="n">
        <x:v>46273.3618055556</x:v>
      </x:c>
      <x:c r="AF39" s="50" t="n">
        <x:v>46273.3819444444</x:v>
      </x:c>
      <x:c r="AG39" t="n">
        <x:v>34</x:v>
      </x:c>
      <x:c r="AH39" t="n">
        <x:v>24</x:v>
      </x:c>
      <x:c r="AI39" t="str">
        <x:v>Não</x:v>
      </x:c>
      <x:c r="AJ39" t="str">
        <x:v>Não</x:v>
      </x:c>
      <x:c r="AK39" t="n">
        <x:v>120</x:v>
      </x:c>
      <x:c r="AL39" t="n">
        <x:v>0</x:v>
      </x:c>
      <x:c r="AM39" s="64" t="n">
        <x:v>0.4833</x:v>
      </x:c>
      <x:c r="AN39" t="n">
        <x:v>3</x:v>
      </x:c>
      <x:c r="AO39" t="str">
        <x:v>Verde</x:v>
      </x:c>
      <x:c r="AP39" t="str">
        <x:v>3 recorrências/30d</x:v>
      </x:c>
      <x:c r="AQ39" t="str">
        <x:v>Recorrência elevada: verificar padrão histórico em Painel/Comando/Interface.</x:v>
      </x:c>
      <x:c r="AR39" s="62" t="n">
        <x:v>1280</x:v>
      </x:c>
      <x:c r="AS39" t="str">
        <x:v>Alto</x:v>
      </x:c>
      <x:c r="AT39" s="50" t="n">
        <x:v>46273.395833333336</x:v>
      </x:c>
      <x:c r="AU39" t="str">
        <x:v>T02</x:v>
      </x:c>
      <x:c r="AV39" t="str">
        <x:v>Snapshot original T0/T1/T2; apenas ocultação de eventos futuros</x:v>
      </x:c>
    </x:row>
    <x:row r="40">
      <x:c r="A40" t="str">
        <x:v>CH-20260908-013</x:v>
      </x:c>
      <x:c r="B40" t="str">
        <x:v>Falha de Tração</x:v>
      </x:c>
      <x:c r="C40" t="str">
        <x:v>Movimento irregular</x:v>
      </x:c>
      <x:c r="D40" t="str">
        <x:v>Equipamento apresenta perda de tração.</x:v>
      </x:c>
      <x:c r="E40" t="str">
        <x:v>Em atendimento</x:v>
      </x:c>
      <x:c r="F40" t="str">
        <x:v>Central de Atendimento</x:v>
      </x:c>
      <x:c r="G40" t="str">
        <x:v>E-113</x:v>
      </x:c>
      <x:c r="H40" t="str">
        <x:v>Elevador Social</x:v>
      </x:c>
      <x:c r="I40" t="str">
        <x:v>Microprocessado</x:v>
      </x:c>
      <x:c r="J40" t="str">
        <x:v>Gearless</x:v>
      </x:c>
      <x:c r="K40" t="str">
        <x:v>OTIS</x:v>
      </x:c>
      <x:c r="L40" t="str">
        <x:v>ROT-041</x:v>
      </x:c>
      <x:c r="M40" t="str">
        <x:v>Máquina de Tração</x:v>
      </x:c>
      <x:c r="N40" t="str">
        <x:v>Inversor</x:v>
      </x:c>
      <x:c r="O40" t="str">
        <x:v>Oscilação</x:v>
      </x:c>
      <x:c r="P40" t="str">
        <x:v>Falha de movimento</x:v>
      </x:c>
      <x:c r="Q40"/>
      <x:c r="R40" t="str">
        <x:v>Hospital São Paulo</x:v>
      </x:c>
      <x:c r="S40" t="str">
        <x:v>Sim</x:v>
      </x:c>
      <x:c r="T40" t="str">
        <x:v>Sim</x:v>
      </x:c>
      <x:c r="U40" t="str">
        <x:v>CT-2026-001</x:v>
      </x:c>
      <x:c r="V40" t="str">
        <x:v>SP-Centro</x:v>
      </x:c>
      <x:c r="W40" t="str">
        <x:v>João Silva</x:v>
      </x:c>
      <x:c r="X40" t="str">
        <x:v>Supervisor A</x:v>
      </x:c>
      <x:c r="Y40" t="str">
        <x:v>Rota Centro 01</x:v>
      </x:c>
      <x:c r="Z40" t="str">
        <x:v>Av. Paulista, 1000 - São Paulo/SP</x:v>
      </x:c>
      <x:c r="AA40" t="str">
        <x:v>São Paulo</x:v>
      </x:c>
      <x:c r="AB40" s="50" t="n">
        <x:v>46273.3416666667</x:v>
      </x:c>
      <x:c r="AC40" s="50" t="n">
        <x:v>46273.3451388889</x:v>
      </x:c>
      <x:c r="AD40" s="50" t="n">
        <x:v>46273.3479166667</x:v>
      </x:c>
      <x:c r="AE40" s="50" t="n">
        <x:v>46273.3722222222</x:v>
      </x:c>
      <x:c r="AF40" s="50"/>
      <x:c r="AG40" t="n">
        <x:v>44</x:v>
      </x:c>
      <x:c r="AH40"/>
      <x:c r="AI40" t="str">
        <x:v>Não</x:v>
      </x:c>
      <x:c r="AJ40" t="str">
        <x:v>Sim</x:v>
      </x:c>
      <x:c r="AK40" t="n">
        <x:v>60</x:v>
      </x:c>
      <x:c r="AL40" t="n">
        <x:v>0</x:v>
      </x:c>
      <x:c r="AM40" s="64" t="n">
        <x:v>1.3</x:v>
      </x:c>
      <x:c r="AN40" t="n">
        <x:v>1</x:v>
      </x:c>
      <x:c r="AO40" t="str">
        <x:v>Vermelho</x:v>
      </x:c>
      <x:c r="AP40" t="str">
        <x:v>SLA estourado; carro parado</x:v>
      </x:c>
      <x:c r="AQ40" t="str">
        <x:v>Há ocorrência recente semelhante; comparar solução anterior de Máquina de Tração.</x:v>
      </x:c>
      <x:c r="AR40" s="62" t="n">
        <x:v>1085</x:v>
      </x:c>
      <x:c r="AS40" t="str">
        <x:v>Médio</x:v>
      </x:c>
      <x:c r="AT40" s="50" t="n">
        <x:v>46273.395833333336</x:v>
      </x:c>
      <x:c r="AU40" t="str">
        <x:v>T02</x:v>
      </x:c>
      <x:c r="AV40" t="str">
        <x:v>Snapshot original T0/T1/T2; apenas ocultação de eventos futuros</x:v>
      </x:c>
    </x:row>
    <x:row r="41">
      <x:c r="A41" t="str">
        <x:v>CH-20260908-014</x:v>
      </x:c>
      <x:c r="B41" t="str">
        <x:v>Iluminação de Cabine</x:v>
      </x:c>
      <x:c r="C41" t="str">
        <x:v>Iluminação inoperante</x:v>
      </x:c>
      <x:c r="D41" t="str">
        <x:v>Cabine com iluminação parcial ou total indisponível.</x:v>
      </x:c>
      <x:c r="E41" t="str">
        <x:v>Em atendimento</x:v>
      </x:c>
      <x:c r="F41" t="str">
        <x:v>IoT</x:v>
      </x:c>
      <x:c r="G41" t="str">
        <x:v>E-114</x:v>
      </x:c>
      <x:c r="H41" t="str">
        <x:v>Elevador Social</x:v>
      </x:c>
      <x:c r="I41" t="str">
        <x:v>Microprocessado</x:v>
      </x:c>
      <x:c r="J41" t="str">
        <x:v>Gearless</x:v>
      </x:c>
      <x:c r="K41" t="str">
        <x:v>OTIS</x:v>
      </x:c>
      <x:c r="L41" t="str">
        <x:v>ROT-052</x:v>
      </x:c>
      <x:c r="M41" t="str">
        <x:v>Elétrica</x:v>
      </x:c>
      <x:c r="N41" t="str">
        <x:v>Fonte</x:v>
      </x:c>
      <x:c r="O41" t="str">
        <x:v>Sem alimentação</x:v>
      </x:c>
      <x:c r="P41" t="str">
        <x:v>Falha elétrica</x:v>
      </x:c>
      <x:c r="Q41"/>
      <x:c r="R41" t="str">
        <x:v>Shopping Center Norte</x:v>
      </x:c>
      <x:c r="S41" t="str">
        <x:v>Não</x:v>
      </x:c>
      <x:c r="T41" t="str">
        <x:v>Sim</x:v>
      </x:c>
      <x:c r="U41" t="str">
        <x:v>CT-2026-002</x:v>
      </x:c>
      <x:c r="V41" t="str">
        <x:v>SP-Norte</x:v>
      </x:c>
      <x:c r="W41" t="str">
        <x:v>Marcos Lima</x:v>
      </x:c>
      <x:c r="X41" t="str">
        <x:v>Supervisor B</x:v>
      </x:c>
      <x:c r="Y41" t="str">
        <x:v>Rota Norte 02</x:v>
      </x:c>
      <x:c r="Z41" t="str">
        <x:v>Av. Otto Baumgart, 245 - São Paulo/SP</x:v>
      </x:c>
      <x:c r="AA41" t="str">
        <x:v>São Paulo</x:v>
      </x:c>
      <x:c r="AB41" s="50" t="n">
        <x:v>46273.3451388889</x:v>
      </x:c>
      <x:c r="AC41" s="50" t="n">
        <x:v>46273.3493055556</x:v>
      </x:c>
      <x:c r="AD41" s="50" t="n">
        <x:v>46273.3534722222</x:v>
      </x:c>
      <x:c r="AE41" s="50" t="n">
        <x:v>46273.3826388889</x:v>
      </x:c>
      <x:c r="AF41" s="50"/>
      <x:c r="AG41" t="n">
        <x:v>54</x:v>
      </x:c>
      <x:c r="AH41"/>
      <x:c r="AI41" t="str">
        <x:v>Não</x:v>
      </x:c>
      <x:c r="AJ41" t="str">
        <x:v>Não</x:v>
      </x:c>
      <x:c r="AK41" t="n">
        <x:v>90</x:v>
      </x:c>
      <x:c r="AL41" t="n">
        <x:v>0</x:v>
      </x:c>
      <x:c r="AM41" s="64" t="n">
        <x:v>0.8111</x:v>
      </x:c>
      <x:c r="AN41" t="n">
        <x:v>0</x:v>
      </x:c>
      <x:c r="AO41" t="str">
        <x:v>Laranja</x:v>
      </x:c>
      <x:c r="AP41" t="str">
        <x:v>SLA acima de 80%</x:v>
      </x:c>
      <x:c r="AQ41" t="str">
        <x:v>Sem recorrência relevante; acompanhar evolução de Elétrica.</x:v>
      </x:c>
      <x:c r="AR41" s="62" t="n">
        <x:v>770</x:v>
      </x:c>
      <x:c r="AS41" t="str">
        <x:v>Médio</x:v>
      </x:c>
      <x:c r="AT41" s="50" t="n">
        <x:v>46273.395833333336</x:v>
      </x:c>
      <x:c r="AU41" t="str">
        <x:v>T02</x:v>
      </x:c>
      <x:c r="AV41" t="str">
        <x:v>Snapshot original T0/T1/T2; apenas ocultação de eventos futuros</x:v>
      </x:c>
    </x:row>
    <x:row r="42">
      <x:c r="A42" t="str">
        <x:v>CH-20260908-015</x:v>
      </x:c>
      <x:c r="B42" t="str">
        <x:v>Botão de Chamada</x:v>
      </x:c>
      <x:c r="C42" t="str">
        <x:v>Botão não responde</x:v>
      </x:c>
      <x:c r="D42" t="str">
        <x:v>Botão de chamada não registra comando.</x:v>
      </x:c>
      <x:c r="E42" t="str">
        <x:v>Em atendimento</x:v>
      </x:c>
      <x:c r="F42" t="str">
        <x:v>Aplicativo Cliente</x:v>
      </x:c>
      <x:c r="G42" t="str">
        <x:v>E-115</x:v>
      </x:c>
      <x:c r="H42" t="str">
        <x:v>Elevador Social</x:v>
      </x:c>
      <x:c r="I42" t="str">
        <x:v>Microprocessado</x:v>
      </x:c>
      <x:c r="J42" t="str">
        <x:v>Gearless</x:v>
      </x:c>
      <x:c r="K42" t="str">
        <x:v>OTIS</x:v>
      </x:c>
      <x:c r="L42" t="str">
        <x:v>ROT-063</x:v>
      </x:c>
      <x:c r="M42" t="str">
        <x:v>Botoeira</x:v>
      </x:c>
      <x:c r="N42" t="str">
        <x:v>Contato</x:v>
      </x:c>
      <x:c r="O42" t="str">
        <x:v>Mau contato</x:v>
      </x:c>
      <x:c r="P42" t="str">
        <x:v>Falha de comando</x:v>
      </x:c>
      <x:c r="Q42"/>
      <x:c r="R42" t="str">
        <x:v>Edifício Corporate</x:v>
      </x:c>
      <x:c r="S42" t="str">
        <x:v>Não</x:v>
      </x:c>
      <x:c r="T42" t="str">
        <x:v>Sim</x:v>
      </x:c>
      <x:c r="U42" t="str">
        <x:v>CT-2026-003</x:v>
      </x:c>
      <x:c r="V42" t="str">
        <x:v>SP-Oeste</x:v>
      </x:c>
      <x:c r="W42" t="str">
        <x:v>Ana Costa</x:v>
      </x:c>
      <x:c r="X42" t="str">
        <x:v>Supervisor C</x:v>
      </x:c>
      <x:c r="Y42" t="str">
        <x:v>Rota Oeste 03</x:v>
      </x:c>
      <x:c r="Z42" t="str">
        <x:v>Av. Faria Lima, 3500 - São Paulo/SP</x:v>
      </x:c>
      <x:c r="AA42" t="str">
        <x:v>São Paulo</x:v>
      </x:c>
      <x:c r="AB42" s="50" t="n">
        <x:v>46273.3486111111</x:v>
      </x:c>
      <x:c r="AC42" s="50" t="n">
        <x:v>46273.35</x:v>
      </x:c>
      <x:c r="AD42" s="50" t="n">
        <x:v>46273.3513888889</x:v>
      </x:c>
      <x:c r="AE42" s="50" t="n">
        <x:v>46273.3618055556</x:v>
      </x:c>
      <x:c r="AF42" s="50"/>
      <x:c r="AG42" t="n">
        <x:v>19</x:v>
      </x:c>
      <x:c r="AH42"/>
      <x:c r="AI42" t="str">
        <x:v>Não</x:v>
      </x:c>
      <x:c r="AJ42" t="str">
        <x:v>Não</x:v>
      </x:c>
      <x:c r="AK42" t="n">
        <x:v>120</x:v>
      </x:c>
      <x:c r="AL42" t="n">
        <x:v>0</x:v>
      </x:c>
      <x:c r="AM42" s="64" t="n">
        <x:v>0.5667</x:v>
      </x:c>
      <x:c r="AN42" t="n">
        <x:v>2</x:v>
      </x:c>
      <x:c r="AO42" t="str">
        <x:v>Amarelo</x:v>
      </x:c>
      <x:c r="AP42" t="str">
        <x:v>2 recorrências/30d; SLA acima de 55%</x:v>
      </x:c>
      <x:c r="AQ42" t="str">
        <x:v>Há ocorrência recente semelhante; comparar solução anterior de Botoeira.</x:v>
      </x:c>
      <x:c r="AR42" s="62" t="n">
        <x:v>739</x:v>
      </x:c>
      <x:c r="AS42" t="str">
        <x:v>Baixo</x:v>
      </x:c>
      <x:c r="AT42" s="50" t="n">
        <x:v>46273.395833333336</x:v>
      </x:c>
      <x:c r="AU42" t="str">
        <x:v>T02</x:v>
      </x:c>
      <x:c r="AV42" t="str">
        <x:v>Snapshot original T0/T1/T2; apenas ocultação de eventos futuros</x:v>
      </x:c>
    </x:row>
    <x:row r="43">
      <x:c r="A43" t="str">
        <x:v>CH-20260908-016</x:v>
      </x:c>
      <x:c r="B43" t="str">
        <x:v>Parada Intermitente</x:v>
      </x:c>
      <x:c r="C43" t="str">
        <x:v>Paradas aleatórias</x:v>
      </x:c>
      <x:c r="D43" t="str">
        <x:v>Equipamento interrompe operação de forma intermitente.</x:v>
      </x:c>
      <x:c r="E43" t="str">
        <x:v>Em atendimento</x:v>
      </x:c>
      <x:c r="F43" t="str">
        <x:v>Monitoramento Remoto</x:v>
      </x:c>
      <x:c r="G43" t="str">
        <x:v>E-116</x:v>
      </x:c>
      <x:c r="H43" t="str">
        <x:v>Elevador Social</x:v>
      </x:c>
      <x:c r="I43" t="str">
        <x:v>Microprocessado</x:v>
      </x:c>
      <x:c r="J43" t="str">
        <x:v>Gearless</x:v>
      </x:c>
      <x:c r="K43" t="str">
        <x:v>OTIS</x:v>
      </x:c>
      <x:c r="L43" t="str">
        <x:v>ROT-074</x:v>
      </x:c>
      <x:c r="M43" t="str">
        <x:v>Painel/Comando</x:v>
      </x:c>
      <x:c r="N43" t="str">
        <x:v>Placa</x:v>
      </x:c>
      <x:c r="O43" t="str">
        <x:v>Intermitência</x:v>
      </x:c>
      <x:c r="P43" t="str">
        <x:v>Falha intermitente</x:v>
      </x:c>
      <x:c r="Q43"/>
      <x:c r="R43" t="str">
        <x:v>Condomínio Alameda</x:v>
      </x:c>
      <x:c r="S43" t="str">
        <x:v>Não</x:v>
      </x:c>
      <x:c r="T43" t="str">
        <x:v>Não</x:v>
      </x:c>
      <x:c r="U43" t="str">
        <x:v>CT-2026-004</x:v>
      </x:c>
      <x:c r="V43" t="str">
        <x:v>SP-Sul</x:v>
      </x:c>
      <x:c r="W43" t="str">
        <x:v>Carlos Souza</x:v>
      </x:c>
      <x:c r="X43" t="str">
        <x:v>Supervisor D</x:v>
      </x:c>
      <x:c r="Y43" t="str">
        <x:v>Rota Sul 04</x:v>
      </x:c>
      <x:c r="Z43" t="str">
        <x:v>R. das Acácias, 420 - São Paulo/SP</x:v>
      </x:c>
      <x:c r="AA43" t="str">
        <x:v>São Paulo</x:v>
      </x:c>
      <x:c r="AB43" s="50" t="n">
        <x:v>46273.3520833333</x:v>
      </x:c>
      <x:c r="AC43" s="50" t="n">
        <x:v>46273.3541666667</x:v>
      </x:c>
      <x:c r="AD43" s="50" t="n">
        <x:v>46273.3569444444</x:v>
      </x:c>
      <x:c r="AE43" s="50" t="n">
        <x:v>46273.3722222222</x:v>
      </x:c>
      <x:c r="AF43" s="50"/>
      <x:c r="AG43" t="n">
        <x:v>29</x:v>
      </x:c>
      <x:c r="AH43"/>
      <x:c r="AI43" t="str">
        <x:v>Não</x:v>
      </x:c>
      <x:c r="AJ43" t="str">
        <x:v>Sim</x:v>
      </x:c>
      <x:c r="AK43" t="n">
        <x:v>180</x:v>
      </x:c>
      <x:c r="AL43" t="n">
        <x:v>0</x:v>
      </x:c>
      <x:c r="AM43" s="64" t="n">
        <x:v>0.35</x:v>
      </x:c>
      <x:c r="AN43" t="n">
        <x:v>4</x:v>
      </x:c>
      <x:c r="AO43" t="str">
        <x:v>Amarelo</x:v>
      </x:c>
      <x:c r="AP43" t="str">
        <x:v>4 recorrências/30d; carro parado</x:v>
      </x:c>
      <x:c r="AQ43" t="str">
        <x:v>Recorrência elevada: verificar padrão histórico em Painel/Comando/Placa.</x:v>
      </x:c>
      <x:c r="AR43" s="62" t="n">
        <x:v>1564</x:v>
      </x:c>
      <x:c r="AS43" t="str">
        <x:v>Alto</x:v>
      </x:c>
      <x:c r="AT43" s="50" t="n">
        <x:v>46273.395833333336</x:v>
      </x:c>
      <x:c r="AU43" t="str">
        <x:v>T02</x:v>
      </x:c>
      <x:c r="AV43" t="str">
        <x:v>Snapshot original T0/T1/T2; apenas ocultação de eventos futuros</x:v>
      </x:c>
    </x:row>
    <x:row r="44">
      <x:c r="A44" t="str">
        <x:v>CH-20260908-017</x:v>
      </x:c>
      <x:c r="B44" t="str">
        <x:v>Passageiro Preso</x:v>
      </x:c>
      <x:c r="C44" t="str">
        <x:v>Elevador parado entre andares</x:v>
      </x:c>
      <x:c r="D44" t="str">
        <x:v>Cabine imobilizada com passageiro no interior.</x:v>
      </x:c>
      <x:c r="E44" t="str">
        <x:v>Concluído</x:v>
      </x:c>
      <x:c r="F44" t="str">
        <x:v>Central de Atendimento</x:v>
      </x:c>
      <x:c r="G44" t="str">
        <x:v>E-117</x:v>
      </x:c>
      <x:c r="H44" t="str">
        <x:v>Elevador Social</x:v>
      </x:c>
      <x:c r="I44" t="str">
        <x:v>Microprocessado</x:v>
      </x:c>
      <x:c r="J44" t="str">
        <x:v>Gearless</x:v>
      </x:c>
      <x:c r="K44" t="str">
        <x:v>OTIS</x:v>
      </x:c>
      <x:c r="L44" t="str">
        <x:v>ROT-001</x:v>
      </x:c>
      <x:c r="M44" t="str">
        <x:v>Tração</x:v>
      </x:c>
      <x:c r="N44" t="str">
        <x:v>Freio</x:v>
      </x:c>
      <x:c r="O44" t="str">
        <x:v>Travamento</x:v>
      </x:c>
      <x:c r="P44" t="str">
        <x:v>Parada total</x:v>
      </x:c>
      <x:c r="Q44" t="str">
        <x:v>Resgate concluído e equipamento normalizado</x:v>
      </x:c>
      <x:c r="R44" t="str">
        <x:v>Aeroporto Terminal 3</x:v>
      </x:c>
      <x:c r="S44" t="str">
        <x:v>Sim</x:v>
      </x:c>
      <x:c r="T44" t="str">
        <x:v>Sim</x:v>
      </x:c>
      <x:c r="U44" t="str">
        <x:v>CT-2026-005</x:v>
      </x:c>
      <x:c r="V44" t="str">
        <x:v>GRU</x:v>
      </x:c>
      <x:c r="W44" t="str">
        <x:v>Renata Alves</x:v>
      </x:c>
      <x:c r="X44" t="str">
        <x:v>Supervisor A</x:v>
      </x:c>
      <x:c r="Y44" t="str">
        <x:v>Rota GRU 05</x:v>
      </x:c>
      <x:c r="Z44" t="str">
        <x:v>Rod. Hélio Smidt, s/n - Guarulhos/SP</x:v>
      </x:c>
      <x:c r="AA44" t="str">
        <x:v>São Paulo</x:v>
      </x:c>
      <x:c r="AB44" s="50" t="n">
        <x:v>46273.3555555556</x:v>
      </x:c>
      <x:c r="AC44" s="50" t="n">
        <x:v>46273.3583333333</x:v>
      </x:c>
      <x:c r="AD44" s="50" t="n">
        <x:v>46273.3625</x:v>
      </x:c>
      <x:c r="AE44" s="50" t="n">
        <x:v>46273.3763888889</x:v>
      </x:c>
      <x:c r="AF44" s="50"/>
      <x:c r="AG44" t="n">
        <x:v>30</x:v>
      </x:c>
      <x:c r="AH44" t="n">
        <x:v>28</x:v>
      </x:c>
      <x:c r="AI44" t="str">
        <x:v>Sim</x:v>
      </x:c>
      <x:c r="AJ44" t="str">
        <x:v>Sim</x:v>
      </x:c>
      <x:c r="AK44" t="n">
        <x:v>45</x:v>
      </x:c>
      <x:c r="AL44" t="n">
        <x:v>0</x:v>
      </x:c>
      <x:c r="AM44" s="64" t="n">
        <x:v>1.2889</x:v>
      </x:c>
      <x:c r="AN44" t="n">
        <x:v>0</x:v>
      </x:c>
      <x:c r="AO44" t="str">
        <x:v>Vermelho</x:v>
      </x:c>
      <x:c r="AP44" t="str">
        <x:v>passageiro preso; SLA estourado; carro parado</x:v>
      </x:c>
      <x:c r="AQ44" t="str">
        <x:v>Sem recorrência relevante; acompanhar evolução de Tração.</x:v>
      </x:c>
      <x:c r="AR44" s="62" t="n">
        <x:v>906</x:v>
      </x:c>
      <x:c r="AS44" t="str">
        <x:v>Médio</x:v>
      </x:c>
      <x:c r="AT44" s="50" t="n">
        <x:v>46273.395833333336</x:v>
      </x:c>
      <x:c r="AU44" t="str">
        <x:v>T02</x:v>
      </x:c>
      <x:c r="AV44" t="str">
        <x:v>Snapshot original T0/T1/T2; apenas ocultação de eventos futuros</x:v>
      </x:c>
    </x:row>
    <x:row r="45">
      <x:c r="A45" t="str">
        <x:v>CH-20260908-018</x:v>
      </x:c>
      <x:c r="B45" t="str">
        <x:v>Falha de Nivelamento</x:v>
      </x:c>
      <x:c r="C45" t="str">
        <x:v>Cabine desnivelada</x:v>
      </x:c>
      <x:c r="D45" t="str">
        <x:v>Cabine parou fora do nível do pavimento.</x:v>
      </x:c>
      <x:c r="E45" t="str">
        <x:v>Em atendimento</x:v>
      </x:c>
      <x:c r="F45" t="str">
        <x:v>IoT</x:v>
      </x:c>
      <x:c r="G45" t="str">
        <x:v>E-118</x:v>
      </x:c>
      <x:c r="H45" t="str">
        <x:v>Elevador Social</x:v>
      </x:c>
      <x:c r="I45" t="str">
        <x:v>Microprocessado</x:v>
      </x:c>
      <x:c r="J45" t="str">
        <x:v>Gearless</x:v>
      </x:c>
      <x:c r="K45" t="str">
        <x:v>OTIS</x:v>
      </x:c>
      <x:c r="L45" t="str">
        <x:v>ROT-014</x:v>
      </x:c>
      <x:c r="M45" t="str">
        <x:v>Sensor de Nível</x:v>
      </x:c>
      <x:c r="N45" t="str">
        <x:v>Sensor</x:v>
      </x:c>
      <x:c r="O45" t="str">
        <x:v>Leitura inconsistente</x:v>
      </x:c>
      <x:c r="P45" t="str">
        <x:v>Falha de nivelamento</x:v>
      </x:c>
      <x:c r="Q45"/>
      <x:c r="R45" t="str">
        <x:v>Universidade Central</x:v>
      </x:c>
      <x:c r="S45" t="str">
        <x:v>Não</x:v>
      </x:c>
      <x:c r="T45" t="str">
        <x:v>Sim</x:v>
      </x:c>
      <x:c r="U45" t="str">
        <x:v>CT-2026-006</x:v>
      </x:c>
      <x:c r="V45" t="str">
        <x:v>SP-Leste</x:v>
      </x:c>
      <x:c r="W45" t="str">
        <x:v>Paulo Mendes</x:v>
      </x:c>
      <x:c r="X45" t="str">
        <x:v>Supervisor B</x:v>
      </x:c>
      <x:c r="Y45" t="str">
        <x:v>Rota Leste 06</x:v>
      </x:c>
      <x:c r="Z45" t="str">
        <x:v>Av. Central, 850 - São Paulo/SP</x:v>
      </x:c>
      <x:c r="AA45" t="str">
        <x:v>São Paulo</x:v>
      </x:c>
      <x:c r="AB45" s="50" t="n">
        <x:v>46273.3590277778</x:v>
      </x:c>
      <x:c r="AC45" s="50" t="n">
        <x:v>46273.3625</x:v>
      </x:c>
      <x:c r="AD45" s="50" t="n">
        <x:v>46273.3638888889</x:v>
      </x:c>
      <x:c r="AE45" s="50" t="n">
        <x:v>46273.3888888889</x:v>
      </x:c>
      <x:c r="AF45" s="50"/>
      <x:c r="AG45" t="n">
        <x:v>43</x:v>
      </x:c>
      <x:c r="AH45"/>
      <x:c r="AI45" t="str">
        <x:v>Não</x:v>
      </x:c>
      <x:c r="AJ45" t="str">
        <x:v>Não</x:v>
      </x:c>
      <x:c r="AK45" t="n">
        <x:v>120</x:v>
      </x:c>
      <x:c r="AL45" t="n">
        <x:v>0</x:v>
      </x:c>
      <x:c r="AM45" s="64" t="n">
        <x:v>0.4417</x:v>
      </x:c>
      <x:c r="AN45" t="n">
        <x:v>1</x:v>
      </x:c>
      <x:c r="AO45" t="str">
        <x:v>Verde</x:v>
      </x:c>
      <x:c r="AP45" t="str">
        <x:v>operação dentro do esperado</x:v>
      </x:c>
      <x:c r="AQ45" t="str">
        <x:v>Há ocorrência recente semelhante; comparar solução anterior de Sensor de Nível.</x:v>
      </x:c>
      <x:c r="AR45" s="62" t="n">
        <x:v>613</x:v>
      </x:c>
      <x:c r="AS45" t="str">
        <x:v>Baixo</x:v>
      </x:c>
      <x:c r="AT45" s="50" t="n">
        <x:v>46273.395833333336</x:v>
      </x:c>
      <x:c r="AU45" t="str">
        <x:v>T02</x:v>
      </x:c>
      <x:c r="AV45" t="str">
        <x:v>Snapshot original T0/T1/T2; apenas ocultação de eventos futuros</x:v>
      </x:c>
    </x:row>
    <x:row r="46">
      <x:c r="A46" t="str">
        <x:v>CH-20260908-019</x:v>
      </x:c>
      <x:c r="B46" t="str">
        <x:v>Porta não fecha</x:v>
      </x:c>
      <x:c r="C46" t="str">
        <x:v>Falha no fechamento</x:v>
      </x:c>
      <x:c r="D46" t="str">
        <x:v>Porta permanece aberta e impede partida.</x:v>
      </x:c>
      <x:c r="E46" t="str">
        <x:v>Técnico a caminho</x:v>
      </x:c>
      <x:c r="F46" t="str">
        <x:v>Aplicativo Cliente</x:v>
      </x:c>
      <x:c r="G46" t="str">
        <x:v>E-119</x:v>
      </x:c>
      <x:c r="H46" t="str">
        <x:v>Elevador Social</x:v>
      </x:c>
      <x:c r="I46" t="str">
        <x:v>Microprocessado</x:v>
      </x:c>
      <x:c r="J46" t="str">
        <x:v>Gearless</x:v>
      </x:c>
      <x:c r="K46" t="str">
        <x:v>OTIS</x:v>
      </x:c>
      <x:c r="L46" t="str">
        <x:v>ROT-021</x:v>
      </x:c>
      <x:c r="M46" t="str">
        <x:v>Operador de Porta</x:v>
      </x:c>
      <x:c r="N46" t="str">
        <x:v>Sensor de porta</x:v>
      </x:c>
      <x:c r="O46" t="str">
        <x:v>Falha de leitura</x:v>
      </x:c>
      <x:c r="P46" t="str">
        <x:v>Porta aberta</x:v>
      </x:c>
      <x:c r="Q46"/>
      <x:c r="R46" t="str">
        <x:v>Hospital São Paulo</x:v>
      </x:c>
      <x:c r="S46" t="str">
        <x:v>Sim</x:v>
      </x:c>
      <x:c r="T46" t="str">
        <x:v>Sim</x:v>
      </x:c>
      <x:c r="U46" t="str">
        <x:v>CT-2026-001</x:v>
      </x:c>
      <x:c r="V46" t="str">
        <x:v>SP-Centro</x:v>
      </x:c>
      <x:c r="W46" t="str">
        <x:v>João Silva</x:v>
      </x:c>
      <x:c r="X46" t="str">
        <x:v>Supervisor C</x:v>
      </x:c>
      <x:c r="Y46" t="str">
        <x:v>Rota Centro 01</x:v>
      </x:c>
      <x:c r="Z46" t="str">
        <x:v>Av. Paulista, 1000 - São Paulo/SP</x:v>
      </x:c>
      <x:c r="AA46" t="str">
        <x:v>São Paulo</x:v>
      </x:c>
      <x:c r="AB46" s="50" t="n">
        <x:v>46273.3625</x:v>
      </x:c>
      <x:c r="AC46" s="50" t="n">
        <x:v>46273.3666666667</x:v>
      </x:c>
      <x:c r="AD46" s="50" t="n">
        <x:v>46273.3694444444</x:v>
      </x:c>
      <x:c r="AE46" s="50"/>
      <x:c r="AF46" s="50"/>
      <x:c r="AG46"/>
      <x:c r="AH46"/>
      <x:c r="AI46" t="str">
        <x:v>Não</x:v>
      </x:c>
      <x:c r="AJ46" t="str">
        <x:v>Não</x:v>
      </x:c>
      <x:c r="AK46" t="n">
        <x:v>60</x:v>
      </x:c>
      <x:c r="AL46" t="n">
        <x:v>5</x:v>
      </x:c>
      <x:c r="AM46" s="64" t="n">
        <x:v>0.8</x:v>
      </x:c>
      <x:c r="AN46" t="n">
        <x:v>2</x:v>
      </x:c>
      <x:c r="AO46" t="str">
        <x:v>Laranja</x:v>
      </x:c>
      <x:c r="AP46" t="str">
        <x:v>2 recorrências/30d; SLA acima de 80%</x:v>
      </x:c>
      <x:c r="AQ46" t="str">
        <x:v>Há ocorrência recente semelhante; comparar solução anterior de Operador de Porta.</x:v>
      </x:c>
      <x:c r="AR46" s="62" t="n">
        <x:v>718</x:v>
      </x:c>
      <x:c r="AS46" t="str">
        <x:v>Baixo</x:v>
      </x:c>
      <x:c r="AT46" s="50" t="n">
        <x:v>46273.395833333336</x:v>
      </x:c>
      <x:c r="AU46" t="str">
        <x:v>T02</x:v>
      </x:c>
      <x:c r="AV46" t="str">
        <x:v>Snapshot original T0/T1/T2; apenas ocultação de eventos futuros</x:v>
      </x:c>
    </x:row>
    <x:row r="47">
      <x:c r="A47" t="str">
        <x:v>CH-20260908-020</x:v>
      </x:c>
      <x:c r="B47" t="str">
        <x:v>Painel sem comunicação</x:v>
      </x:c>
      <x:c r="C47" t="str">
        <x:v>Falha de comunicação</x:v>
      </x:c>
      <x:c r="D47" t="str">
        <x:v>Painel não responde aos comandos.</x:v>
      </x:c>
      <x:c r="E47" t="str">
        <x:v>Em atendimento</x:v>
      </x:c>
      <x:c r="F47" t="str">
        <x:v>Monitoramento Remoto</x:v>
      </x:c>
      <x:c r="G47" t="str">
        <x:v>E-120</x:v>
      </x:c>
      <x:c r="H47" t="str">
        <x:v>Elevador Social</x:v>
      </x:c>
      <x:c r="I47" t="str">
        <x:v>Microprocessado</x:v>
      </x:c>
      <x:c r="J47" t="str">
        <x:v>Gearless</x:v>
      </x:c>
      <x:c r="K47" t="str">
        <x:v>OTIS</x:v>
      </x:c>
      <x:c r="L47" t="str">
        <x:v>ROT-033</x:v>
      </x:c>
      <x:c r="M47" t="str">
        <x:v>Painel/Comando</x:v>
      </x:c>
      <x:c r="N47" t="str">
        <x:v>Interface</x:v>
      </x:c>
      <x:c r="O47" t="str">
        <x:v>Sem comunicação</x:v>
      </x:c>
      <x:c r="P47" t="str">
        <x:v>Falha lógica</x:v>
      </x:c>
      <x:c r="Q47"/>
      <x:c r="R47" t="str">
        <x:v>Shopping Center Norte</x:v>
      </x:c>
      <x:c r="S47" t="str">
        <x:v>Não</x:v>
      </x:c>
      <x:c r="T47" t="str">
        <x:v>Sim</x:v>
      </x:c>
      <x:c r="U47" t="str">
        <x:v>CT-2026-002</x:v>
      </x:c>
      <x:c r="V47" t="str">
        <x:v>SP-Norte</x:v>
      </x:c>
      <x:c r="W47" t="str">
        <x:v>Marcos Lima</x:v>
      </x:c>
      <x:c r="X47" t="str">
        <x:v>Supervisor D</x:v>
      </x:c>
      <x:c r="Y47" t="str">
        <x:v>Rota Norte 02</x:v>
      </x:c>
      <x:c r="Z47" t="str">
        <x:v>Av. Otto Baumgart, 245 - São Paulo/SP</x:v>
      </x:c>
      <x:c r="AA47" t="str">
        <x:v>São Paulo</x:v>
      </x:c>
      <x:c r="AB47" s="50" t="n">
        <x:v>46273.3659722222</x:v>
      </x:c>
      <x:c r="AC47" s="50" t="n">
        <x:v>46273.3673611111</x:v>
      </x:c>
      <x:c r="AD47" s="50" t="n">
        <x:v>46273.3715277778</x:v>
      </x:c>
      <x:c r="AE47" s="50" t="n">
        <x:v>46273.3826388889</x:v>
      </x:c>
      <x:c r="AF47" s="50"/>
      <x:c r="AG47" t="n">
        <x:v>24</x:v>
      </x:c>
      <x:c r="AH47"/>
      <x:c r="AI47" t="str">
        <x:v>Não</x:v>
      </x:c>
      <x:c r="AJ47" t="str">
        <x:v>Não</x:v>
      </x:c>
      <x:c r="AK47" t="n">
        <x:v>90</x:v>
      </x:c>
      <x:c r="AL47" t="n">
        <x:v>0</x:v>
      </x:c>
      <x:c r="AM47" s="64" t="n">
        <x:v>0.4778</x:v>
      </x:c>
      <x:c r="AN47" t="n">
        <x:v>3</x:v>
      </x:c>
      <x:c r="AO47" t="str">
        <x:v>Amarelo</x:v>
      </x:c>
      <x:c r="AP47" t="str">
        <x:v>3 recorrências/30d</x:v>
      </x:c>
      <x:c r="AQ47" t="str">
        <x:v>Recorrência elevada: verificar padrão histórico em Painel/Comando/Interface.</x:v>
      </x:c>
      <x:c r="AR47" s="62" t="n">
        <x:v>1407</x:v>
      </x:c>
      <x:c r="AS47" t="str">
        <x:v>Alto</x:v>
      </x:c>
      <x:c r="AT47" s="50" t="n">
        <x:v>46273.395833333336</x:v>
      </x:c>
      <x:c r="AU47" t="str">
        <x:v>T02</x:v>
      </x:c>
      <x:c r="AV47" t="str">
        <x:v>Snapshot original T0/T1/T2; apenas ocultação de eventos futuros</x:v>
      </x:c>
    </x:row>
    <x:row r="48">
      <x:c r="A48" t="str">
        <x:v>CH-20260908-021</x:v>
      </x:c>
      <x:c r="B48" t="str">
        <x:v>Falha de Tração</x:v>
      </x:c>
      <x:c r="C48" t="str">
        <x:v>Movimento irregular</x:v>
      </x:c>
      <x:c r="D48" t="str">
        <x:v>Equipamento apresenta perda de tração.</x:v>
      </x:c>
      <x:c r="E48" t="str">
        <x:v>Em atendimento</x:v>
      </x:c>
      <x:c r="F48" t="str">
        <x:v>Central de Atendimento</x:v>
      </x:c>
      <x:c r="G48" t="str">
        <x:v>E-121</x:v>
      </x:c>
      <x:c r="H48" t="str">
        <x:v>Elevador Social</x:v>
      </x:c>
      <x:c r="I48" t="str">
        <x:v>Microprocessado</x:v>
      </x:c>
      <x:c r="J48" t="str">
        <x:v>Gearless</x:v>
      </x:c>
      <x:c r="K48" t="str">
        <x:v>OTIS</x:v>
      </x:c>
      <x:c r="L48" t="str">
        <x:v>ROT-041</x:v>
      </x:c>
      <x:c r="M48" t="str">
        <x:v>Máquina de Tração</x:v>
      </x:c>
      <x:c r="N48" t="str">
        <x:v>Inversor</x:v>
      </x:c>
      <x:c r="O48" t="str">
        <x:v>Oscilação</x:v>
      </x:c>
      <x:c r="P48" t="str">
        <x:v>Falha de movimento</x:v>
      </x:c>
      <x:c r="Q48"/>
      <x:c r="R48" t="str">
        <x:v>Edifício Corporate</x:v>
      </x:c>
      <x:c r="S48" t="str">
        <x:v>Não</x:v>
      </x:c>
      <x:c r="T48" t="str">
        <x:v>Sim</x:v>
      </x:c>
      <x:c r="U48" t="str">
        <x:v>CT-2026-003</x:v>
      </x:c>
      <x:c r="V48" t="str">
        <x:v>SP-Oeste</x:v>
      </x:c>
      <x:c r="W48" t="str">
        <x:v>Ana Costa</x:v>
      </x:c>
      <x:c r="X48" t="str">
        <x:v>Supervisor A</x:v>
      </x:c>
      <x:c r="Y48" t="str">
        <x:v>Rota Oeste 03</x:v>
      </x:c>
      <x:c r="Z48" t="str">
        <x:v>Av. Faria Lima, 3500 - São Paulo/SP</x:v>
      </x:c>
      <x:c r="AA48" t="str">
        <x:v>São Paulo</x:v>
      </x:c>
      <x:c r="AB48" s="50" t="n">
        <x:v>46273.3694444444</x:v>
      </x:c>
      <x:c r="AC48" s="50" t="n">
        <x:v>46273.3715277778</x:v>
      </x:c>
      <x:c r="AD48" s="50" t="n">
        <x:v>46273.3729166667</x:v>
      </x:c>
      <x:c r="AE48" s="50" t="n">
        <x:v>46273.3888888889</x:v>
      </x:c>
      <x:c r="AF48" s="50"/>
      <x:c r="AG48" t="n">
        <x:v>28</x:v>
      </x:c>
      <x:c r="AH48"/>
      <x:c r="AI48" t="str">
        <x:v>Não</x:v>
      </x:c>
      <x:c r="AJ48" t="str">
        <x:v>Sim</x:v>
      </x:c>
      <x:c r="AK48" t="n">
        <x:v>120</x:v>
      </x:c>
      <x:c r="AL48" t="n">
        <x:v>0</x:v>
      </x:c>
      <x:c r="AM48" s="64" t="n">
        <x:v>0.3167</x:v>
      </x:c>
      <x:c r="AN48" t="n">
        <x:v>1</x:v>
      </x:c>
      <x:c r="AO48" t="str">
        <x:v>Amarelo</x:v>
      </x:c>
      <x:c r="AP48" t="str">
        <x:v>carro parado</x:v>
      </x:c>
      <x:c r="AQ48" t="str">
        <x:v>Há ocorrência recente semelhante; comparar solução anterior de Máquina de Tração.</x:v>
      </x:c>
      <x:c r="AR48" s="62" t="n">
        <x:v>1212</x:v>
      </x:c>
      <x:c r="AS48" t="str">
        <x:v>Alto</x:v>
      </x:c>
      <x:c r="AT48" s="50" t="n">
        <x:v>46273.395833333336</x:v>
      </x:c>
      <x:c r="AU48" t="str">
        <x:v>T02</x:v>
      </x:c>
      <x:c r="AV48" t="str">
        <x:v>Snapshot original T0/T1/T2; apenas ocultação de eventos futuros</x:v>
      </x:c>
    </x:row>
    <x:row r="49">
      <x:c r="A49" t="str">
        <x:v>CH-20260908-022</x:v>
      </x:c>
      <x:c r="B49" t="str">
        <x:v>Iluminação de Cabine</x:v>
      </x:c>
      <x:c r="C49" t="str">
        <x:v>Iluminação inoperante</x:v>
      </x:c>
      <x:c r="D49" t="str">
        <x:v>Cabine com iluminação parcial ou total indisponível.</x:v>
      </x:c>
      <x:c r="E49" t="str">
        <x:v>Técnico a caminho</x:v>
      </x:c>
      <x:c r="F49" t="str">
        <x:v>IoT</x:v>
      </x:c>
      <x:c r="G49" t="str">
        <x:v>E-122</x:v>
      </x:c>
      <x:c r="H49" t="str">
        <x:v>Elevador Social</x:v>
      </x:c>
      <x:c r="I49" t="str">
        <x:v>Microprocessado</x:v>
      </x:c>
      <x:c r="J49" t="str">
        <x:v>Gearless</x:v>
      </x:c>
      <x:c r="K49" t="str">
        <x:v>OTIS</x:v>
      </x:c>
      <x:c r="L49" t="str">
        <x:v>ROT-052</x:v>
      </x:c>
      <x:c r="M49" t="str">
        <x:v>Elétrica</x:v>
      </x:c>
      <x:c r="N49" t="str">
        <x:v>Fonte</x:v>
      </x:c>
      <x:c r="O49" t="str">
        <x:v>Sem alimentação</x:v>
      </x:c>
      <x:c r="P49" t="str">
        <x:v>Falha elétrica</x:v>
      </x:c>
      <x:c r="Q49"/>
      <x:c r="R49" t="str">
        <x:v>Condomínio Alameda</x:v>
      </x:c>
      <x:c r="S49" t="str">
        <x:v>Não</x:v>
      </x:c>
      <x:c r="T49" t="str">
        <x:v>Não</x:v>
      </x:c>
      <x:c r="U49" t="str">
        <x:v>CT-2026-004</x:v>
      </x:c>
      <x:c r="V49" t="str">
        <x:v>SP-Sul</x:v>
      </x:c>
      <x:c r="W49" t="str">
        <x:v>Carlos Souza</x:v>
      </x:c>
      <x:c r="X49" t="str">
        <x:v>Supervisor B</x:v>
      </x:c>
      <x:c r="Y49" t="str">
        <x:v>Rota Sul 04</x:v>
      </x:c>
      <x:c r="Z49" t="str">
        <x:v>R. das Acácias, 420 - São Paulo/SP</x:v>
      </x:c>
      <x:c r="AA49" t="str">
        <x:v>São Paulo</x:v>
      </x:c>
      <x:c r="AB49" s="50" t="n">
        <x:v>46273.3729166667</x:v>
      </x:c>
      <x:c r="AC49" s="50" t="n">
        <x:v>46273.3756944445</x:v>
      </x:c>
      <x:c r="AD49" s="50" t="n">
        <x:v>46273.3784722222</x:v>
      </x:c>
      <x:c r="AE49" s="50"/>
      <x:c r="AF49" s="50"/>
      <x:c r="AG49"/>
      <x:c r="AH49"/>
      <x:c r="AI49" t="str">
        <x:v>Não</x:v>
      </x:c>
      <x:c r="AJ49" t="str">
        <x:v>Não</x:v>
      </x:c>
      <x:c r="AK49" t="n">
        <x:v>180</x:v>
      </x:c>
      <x:c r="AL49" t="n">
        <x:v>5</x:v>
      </x:c>
      <x:c r="AM49" s="64" t="n">
        <x:v>0.1833</x:v>
      </x:c>
      <x:c r="AN49" t="n">
        <x:v>0</x:v>
      </x:c>
      <x:c r="AO49" t="str">
        <x:v>Verde</x:v>
      </x:c>
      <x:c r="AP49" t="str">
        <x:v>operação dentro do esperado</x:v>
      </x:c>
      <x:c r="AQ49" t="str">
        <x:v>Sem recorrência relevante; acompanhar evolução de Elétrica.</x:v>
      </x:c>
      <x:c r="AR49" s="62" t="n">
        <x:v>897</x:v>
      </x:c>
      <x:c r="AS49" t="str">
        <x:v>Médio</x:v>
      </x:c>
      <x:c r="AT49" s="50" t="n">
        <x:v>46273.395833333336</x:v>
      </x:c>
      <x:c r="AU49" t="str">
        <x:v>T02</x:v>
      </x:c>
      <x:c r="AV49" t="str">
        <x:v>Snapshot original T0/T1/T2; apenas ocultação de eventos futuros</x:v>
      </x:c>
    </x:row>
    <x:row r="50">
      <x:c r="A50" t="str">
        <x:v>CH-20260908-023</x:v>
      </x:c>
      <x:c r="B50" t="str">
        <x:v>Botão de Chamada</x:v>
      </x:c>
      <x:c r="C50" t="str">
        <x:v>Botão não responde</x:v>
      </x:c>
      <x:c r="D50" t="str">
        <x:v>Botão de chamada não registra comando.</x:v>
      </x:c>
      <x:c r="E50" t="str">
        <x:v>Técnico a caminho</x:v>
      </x:c>
      <x:c r="F50" t="str">
        <x:v>Aplicativo Cliente</x:v>
      </x:c>
      <x:c r="G50" t="str">
        <x:v>E-123</x:v>
      </x:c>
      <x:c r="H50" t="str">
        <x:v>Elevador Social</x:v>
      </x:c>
      <x:c r="I50" t="str">
        <x:v>Microprocessado</x:v>
      </x:c>
      <x:c r="J50" t="str">
        <x:v>Gearless</x:v>
      </x:c>
      <x:c r="K50" t="str">
        <x:v>OTIS</x:v>
      </x:c>
      <x:c r="L50" t="str">
        <x:v>ROT-063</x:v>
      </x:c>
      <x:c r="M50" t="str">
        <x:v>Botoeira</x:v>
      </x:c>
      <x:c r="N50" t="str">
        <x:v>Contato</x:v>
      </x:c>
      <x:c r="O50" t="str">
        <x:v>Mau contato</x:v>
      </x:c>
      <x:c r="P50" t="str">
        <x:v>Falha de comando</x:v>
      </x:c>
      <x:c r="Q50"/>
      <x:c r="R50" t="str">
        <x:v>Aeroporto Terminal 3</x:v>
      </x:c>
      <x:c r="S50" t="str">
        <x:v>Sim</x:v>
      </x:c>
      <x:c r="T50" t="str">
        <x:v>Sim</x:v>
      </x:c>
      <x:c r="U50" t="str">
        <x:v>CT-2026-005</x:v>
      </x:c>
      <x:c r="V50" t="str">
        <x:v>GRU</x:v>
      </x:c>
      <x:c r="W50" t="str">
        <x:v>Renata Alves</x:v>
      </x:c>
      <x:c r="X50" t="str">
        <x:v>Supervisor C</x:v>
      </x:c>
      <x:c r="Y50" t="str">
        <x:v>Rota GRU 05</x:v>
      </x:c>
      <x:c r="Z50" t="str">
        <x:v>Rod. Hélio Smidt, s/n - Guarulhos/SP</x:v>
      </x:c>
      <x:c r="AA50" t="str">
        <x:v>São Paulo</x:v>
      </x:c>
      <x:c r="AB50" s="50" t="n">
        <x:v>46273.3784722222</x:v>
      </x:c>
      <x:c r="AC50" s="50" t="n">
        <x:v>46273.3819444444</x:v>
      </x:c>
      <x:c r="AD50" s="50" t="n">
        <x:v>46273.3861111111</x:v>
      </x:c>
      <x:c r="AE50" s="50"/>
      <x:c r="AF50" s="50"/>
      <x:c r="AG50"/>
      <x:c r="AH50"/>
      <x:c r="AI50" t="str">
        <x:v>Não</x:v>
      </x:c>
      <x:c r="AJ50" t="str">
        <x:v>Não</x:v>
      </x:c>
      <x:c r="AK50" t="n">
        <x:v>45</x:v>
      </x:c>
      <x:c r="AL50" t="n">
        <x:v>19</x:v>
      </x:c>
      <x:c r="AM50" s="64" t="n">
        <x:v>0.5556</x:v>
      </x:c>
      <x:c r="AN50" t="n">
        <x:v>2</x:v>
      </x:c>
      <x:c r="AO50" t="str">
        <x:v>Amarelo</x:v>
      </x:c>
      <x:c r="AP50" t="str">
        <x:v>2 recorrências/30d; SLA acima de 55%</x:v>
      </x:c>
      <x:c r="AQ50" t="str">
        <x:v>Há ocorrência recente semelhante; comparar solução anterior de Botoeira.</x:v>
      </x:c>
      <x:c r="AR50" s="62" t="n">
        <x:v>545</x:v>
      </x:c>
      <x:c r="AS50" t="str">
        <x:v>Baixo</x:v>
      </x:c>
      <x:c r="AT50" s="50" t="n">
        <x:v>46273.395833333336</x:v>
      </x:c>
      <x:c r="AU50" t="str">
        <x:v>T02</x:v>
      </x:c>
      <x:c r="AV50" t="str">
        <x:v>Snapshot original T0/T1/T2; apenas ocultação de eventos futuros</x:v>
      </x:c>
    </x:row>
    <x:row r="51">
      <x:c r="A51" t="str">
        <x:v>CH-20260908-024</x:v>
      </x:c>
      <x:c r="B51" t="str">
        <x:v>Parada Intermitente</x:v>
      </x:c>
      <x:c r="C51" t="str">
        <x:v>Paradas aleatórias</x:v>
      </x:c>
      <x:c r="D51" t="str">
        <x:v>Equipamento interrompe operação de forma intermitente.</x:v>
      </x:c>
      <x:c r="E51" t="str">
        <x:v>Técnico a caminho</x:v>
      </x:c>
      <x:c r="F51" t="str">
        <x:v>Monitoramento Remoto</x:v>
      </x:c>
      <x:c r="G51" t="str">
        <x:v>E-124</x:v>
      </x:c>
      <x:c r="H51" t="str">
        <x:v>Elevador Social</x:v>
      </x:c>
      <x:c r="I51" t="str">
        <x:v>Microprocessado</x:v>
      </x:c>
      <x:c r="J51" t="str">
        <x:v>Gearless</x:v>
      </x:c>
      <x:c r="K51" t="str">
        <x:v>OTIS</x:v>
      </x:c>
      <x:c r="L51" t="str">
        <x:v>ROT-074</x:v>
      </x:c>
      <x:c r="M51" t="str">
        <x:v>Painel/Comando</x:v>
      </x:c>
      <x:c r="N51" t="str">
        <x:v>Placa</x:v>
      </x:c>
      <x:c r="O51" t="str">
        <x:v>Intermitência</x:v>
      </x:c>
      <x:c r="P51" t="str">
        <x:v>Falha intermitente</x:v>
      </x:c>
      <x:c r="Q51"/>
      <x:c r="R51" t="str">
        <x:v>Universidade Central</x:v>
      </x:c>
      <x:c r="S51" t="str">
        <x:v>Não</x:v>
      </x:c>
      <x:c r="T51" t="str">
        <x:v>Sim</x:v>
      </x:c>
      <x:c r="U51" t="str">
        <x:v>CT-2026-006</x:v>
      </x:c>
      <x:c r="V51" t="str">
        <x:v>SP-Leste</x:v>
      </x:c>
      <x:c r="W51" t="str">
        <x:v>Paulo Mendes</x:v>
      </x:c>
      <x:c r="X51" t="str">
        <x:v>Supervisor D</x:v>
      </x:c>
      <x:c r="Y51" t="str">
        <x:v>Rota Leste 06</x:v>
      </x:c>
      <x:c r="Z51" t="str">
        <x:v>Av. Central, 850 - São Paulo/SP</x:v>
      </x:c>
      <x:c r="AA51" t="str">
        <x:v>São Paulo</x:v>
      </x:c>
      <x:c r="AB51" s="50" t="n">
        <x:v>46273.3854166667</x:v>
      </x:c>
      <x:c r="AC51" s="50" t="n">
        <x:v>46273.3895833333</x:v>
      </x:c>
      <x:c r="AD51" s="50" t="n">
        <x:v>46273.3909722222</x:v>
      </x:c>
      <x:c r="AE51" s="50"/>
      <x:c r="AF51" s="50"/>
      <x:c r="AG51"/>
      <x:c r="AH51"/>
      <x:c r="AI51" t="str">
        <x:v>Não</x:v>
      </x:c>
      <x:c r="AJ51" t="str">
        <x:v>Sim</x:v>
      </x:c>
      <x:c r="AK51" t="n">
        <x:v>120</x:v>
      </x:c>
      <x:c r="AL51" t="n">
        <x:v>37</x:v>
      </x:c>
      <x:c r="AM51" s="64" t="n">
        <x:v>0.125</x:v>
      </x:c>
      <x:c r="AN51" t="n">
        <x:v>4</x:v>
      </x:c>
      <x:c r="AO51" t="str">
        <x:v>Amarelo</x:v>
      </x:c>
      <x:c r="AP51" t="str">
        <x:v>4 recorrências/30d; carro parado</x:v>
      </x:c>
      <x:c r="AQ51" t="str">
        <x:v>Recorrência elevada: verificar padrão histórico em Painel/Comando/Placa.</x:v>
      </x:c>
      <x:c r="AR51" s="62" t="n">
        <x:v>1386</x:v>
      </x:c>
      <x:c r="AS51" t="str">
        <x:v>Alto</x:v>
      </x:c>
      <x:c r="AT51" s="50" t="n">
        <x:v>46273.395833333336</x:v>
      </x:c>
      <x:c r="AU51" t="str">
        <x:v>T02</x:v>
      </x:c>
      <x:c r="AV51" t="str">
        <x:v>Snapshot original T0/T1/T2; apenas ocultação de eventos futuros</x:v>
      </x:c>
    </x:row>
    <x:row r="52">
      <x:c r="A52" t="str">
        <x:v>CH-20260908-001</x:v>
      </x:c>
      <x:c r="B52" t="str">
        <x:v>Passageiro Preso</x:v>
      </x:c>
      <x:c r="C52" t="str">
        <x:v>Elevador parado entre andares</x:v>
      </x:c>
      <x:c r="D52" t="str">
        <x:v>Cabine imobilizada com passageiro no interior.</x:v>
      </x:c>
      <x:c r="E52" t="str">
        <x:v>Concluído</x:v>
      </x:c>
      <x:c r="F52" t="str">
        <x:v>Central de Atendimento</x:v>
      </x:c>
      <x:c r="G52" t="str">
        <x:v>E-101</x:v>
      </x:c>
      <x:c r="H52" t="str">
        <x:v>Elevador Social</x:v>
      </x:c>
      <x:c r="I52" t="str">
        <x:v>Microprocessado</x:v>
      </x:c>
      <x:c r="J52" t="str">
        <x:v>Gearless</x:v>
      </x:c>
      <x:c r="K52" t="str">
        <x:v>OTIS</x:v>
      </x:c>
      <x:c r="L52" t="str">
        <x:v>ROT-001</x:v>
      </x:c>
      <x:c r="M52" t="str">
        <x:v>Tração</x:v>
      </x:c>
      <x:c r="N52" t="str">
        <x:v>Freio</x:v>
      </x:c>
      <x:c r="O52" t="str">
        <x:v>Travamento</x:v>
      </x:c>
      <x:c r="P52" t="str">
        <x:v>Parada total</x:v>
      </x:c>
      <x:c r="Q52" t="str">
        <x:v>Resgate concluído e equipamento normalizado</x:v>
      </x:c>
      <x:c r="R52" t="str">
        <x:v>Hospital São Paulo</x:v>
      </x:c>
      <x:c r="S52" t="str">
        <x:v>Sim</x:v>
      </x:c>
      <x:c r="T52" t="str">
        <x:v>Sim</x:v>
      </x:c>
      <x:c r="U52" t="str">
        <x:v>CT-2026-001</x:v>
      </x:c>
      <x:c r="V52" t="str">
        <x:v>SP-Centro</x:v>
      </x:c>
      <x:c r="W52" t="str">
        <x:v>João Silva</x:v>
      </x:c>
      <x:c r="X52" t="str">
        <x:v>Supervisor A</x:v>
      </x:c>
      <x:c r="Y52" t="str">
        <x:v>Rota Centro 01</x:v>
      </x:c>
      <x:c r="Z52" t="str">
        <x:v>Av. Paulista, 1000 - São Paulo/SP</x:v>
      </x:c>
      <x:c r="AA52" t="str">
        <x:v>São Paulo</x:v>
      </x:c>
      <x:c r="AB52" s="50" t="n">
        <x:v>46273.3055555556</x:v>
      </x:c>
      <x:c r="AC52" s="50" t="n">
        <x:v>46273.3076388889</x:v>
      </x:c>
      <x:c r="AD52" s="50" t="n">
        <x:v>46273.3104166667</x:v>
      </x:c>
      <x:c r="AE52" s="50" t="n">
        <x:v>46273.3201388889</x:v>
      </x:c>
      <x:c r="AF52" s="50" t="n">
        <x:v>46273.3430555556</x:v>
      </x:c>
      <x:c r="AG52" t="n">
        <x:v>21</x:v>
      </x:c>
      <x:c r="AH52" t="n">
        <x:v>28</x:v>
      </x:c>
      <x:c r="AI52" t="str">
        <x:v>Sim</x:v>
      </x:c>
      <x:c r="AJ52" t="str">
        <x:v>Sim</x:v>
      </x:c>
      <x:c r="AK52" t="n">
        <x:v>60</x:v>
      </x:c>
      <x:c r="AL52" t="n">
        <x:v>0</x:v>
      </x:c>
      <x:c r="AM52" s="64" t="n">
        <x:v>0.8167</x:v>
      </x:c>
      <x:c r="AN52" t="n">
        <x:v>0</x:v>
      </x:c>
      <x:c r="AO52" t="str">
        <x:v>Amarelo</x:v>
      </x:c>
      <x:c r="AP52" t="str">
        <x:v>passageiro preso; SLA acima de 80%; carro parado</x:v>
      </x:c>
      <x:c r="AQ52" t="str">
        <x:v>Sem recorrência relevante; acompanhar evolução de Tração.</x:v>
      </x:c>
      <x:c r="AR52" s="62" t="n">
        <x:v>882</x:v>
      </x:c>
      <x:c r="AS52" t="str">
        <x:v>Médio</x:v>
      </x:c>
      <x:c r="AT52" s="50" t="n">
        <x:v>46273.427083333336</x:v>
      </x:c>
      <x:c r="AU52" t="str">
        <x:v>T03</x:v>
      </x:c>
      <x:c r="AV52" t="str">
        <x:v>T2 original + evolução sintética posterior</x:v>
      </x:c>
    </x:row>
    <x:row r="53">
      <x:c r="A53" t="str">
        <x:v>CH-20260908-002</x:v>
      </x:c>
      <x:c r="B53" t="str">
        <x:v>Falha de Nivelamento</x:v>
      </x:c>
      <x:c r="C53" t="str">
        <x:v>Cabine desnivelada</x:v>
      </x:c>
      <x:c r="D53" t="str">
        <x:v>Cabine parou fora do nível do pavimento.</x:v>
      </x:c>
      <x:c r="E53" t="str">
        <x:v>Concluído</x:v>
      </x:c>
      <x:c r="F53" t="str">
        <x:v>IoT</x:v>
      </x:c>
      <x:c r="G53" t="str">
        <x:v>E-102</x:v>
      </x:c>
      <x:c r="H53" t="str">
        <x:v>Elevador Social</x:v>
      </x:c>
      <x:c r="I53" t="str">
        <x:v>Microprocessado</x:v>
      </x:c>
      <x:c r="J53" t="str">
        <x:v>Gearless</x:v>
      </x:c>
      <x:c r="K53" t="str">
        <x:v>OTIS</x:v>
      </x:c>
      <x:c r="L53" t="str">
        <x:v>ROT-014</x:v>
      </x:c>
      <x:c r="M53" t="str">
        <x:v>Sensor de Nível</x:v>
      </x:c>
      <x:c r="N53" t="str">
        <x:v>Sensor</x:v>
      </x:c>
      <x:c r="O53" t="str">
        <x:v>Leitura inconsistente</x:v>
      </x:c>
      <x:c r="P53" t="str">
        <x:v>Falha de nivelamento</x:v>
      </x:c>
      <x:c r="Q53" t="str">
        <x:v>Sensor ajustado/substituído</x:v>
      </x:c>
      <x:c r="R53" t="str">
        <x:v>Shopping Center Norte</x:v>
      </x:c>
      <x:c r="S53" t="str">
        <x:v>Não</x:v>
      </x:c>
      <x:c r="T53" t="str">
        <x:v>Sim</x:v>
      </x:c>
      <x:c r="U53" t="str">
        <x:v>CT-2026-002</x:v>
      </x:c>
      <x:c r="V53" t="str">
        <x:v>SP-Norte</x:v>
      </x:c>
      <x:c r="W53" t="str">
        <x:v>Marcos Lima</x:v>
      </x:c>
      <x:c r="X53" t="str">
        <x:v>Supervisor B</x:v>
      </x:c>
      <x:c r="Y53" t="str">
        <x:v>Rota Norte 02</x:v>
      </x:c>
      <x:c r="Z53" t="str">
        <x:v>Av. Otto Baumgart, 245 - São Paulo/SP</x:v>
      </x:c>
      <x:c r="AA53" t="str">
        <x:v>São Paulo</x:v>
      </x:c>
      <x:c r="AB53" s="50" t="n">
        <x:v>46273.3090277778</x:v>
      </x:c>
      <x:c r="AC53" s="50" t="n">
        <x:v>46273.3118055556</x:v>
      </x:c>
      <x:c r="AD53" s="50" t="n">
        <x:v>46273.3159722222</x:v>
      </x:c>
      <x:c r="AE53" s="50" t="n">
        <x:v>46273.3340277778</x:v>
      </x:c>
      <x:c r="AF53" s="50" t="n">
        <x:v>46273.3652777778</x:v>
      </x:c>
      <x:c r="AG53" t="n">
        <x:v>36</x:v>
      </x:c>
      <x:c r="AH53" t="n">
        <x:v>40</x:v>
      </x:c>
      <x:c r="AI53" t="str">
        <x:v>Não</x:v>
      </x:c>
      <x:c r="AJ53" t="str">
        <x:v>Não</x:v>
      </x:c>
      <x:c r="AK53" t="n">
        <x:v>90</x:v>
      </x:c>
      <x:c r="AL53" t="n">
        <x:v>0</x:v>
      </x:c>
      <x:c r="AM53" s="64" t="n">
        <x:v>0.8444</x:v>
      </x:c>
      <x:c r="AN53" t="n">
        <x:v>1</x:v>
      </x:c>
      <x:c r="AO53" t="str">
        <x:v>Amarelo</x:v>
      </x:c>
      <x:c r="AP53" t="str">
        <x:v>SLA acima de 80%</x:v>
      </x:c>
      <x:c r="AQ53" t="str">
        <x:v>Há ocorrência recente semelhante; comparar solução anterior de Sensor de Nível.</x:v>
      </x:c>
      <x:c r="AR53" s="62" t="n">
        <x:v>664</x:v>
      </x:c>
      <x:c r="AS53" t="str">
        <x:v>Baixo</x:v>
      </x:c>
      <x:c r="AT53" s="50" t="n">
        <x:v>46273.427083333336</x:v>
      </x:c>
      <x:c r="AU53" t="str">
        <x:v>T03</x:v>
      </x:c>
      <x:c r="AV53" t="str">
        <x:v>T2 original + evolução sintética posterior</x:v>
      </x:c>
    </x:row>
    <x:row r="54">
      <x:c r="A54" t="str">
        <x:v>CH-20260908-003</x:v>
      </x:c>
      <x:c r="B54" t="str">
        <x:v>Porta não fecha</x:v>
      </x:c>
      <x:c r="C54" t="str">
        <x:v>Falha no fechamento</x:v>
      </x:c>
      <x:c r="D54" t="str">
        <x:v>Porta permanece aberta e impede partida.</x:v>
      </x:c>
      <x:c r="E54" t="str">
        <x:v>Concluído</x:v>
      </x:c>
      <x:c r="F54" t="str">
        <x:v>Aplicativo Cliente</x:v>
      </x:c>
      <x:c r="G54" t="str">
        <x:v>E-103</x:v>
      </x:c>
      <x:c r="H54" t="str">
        <x:v>Elevador Social</x:v>
      </x:c>
      <x:c r="I54" t="str">
        <x:v>Microprocessado</x:v>
      </x:c>
      <x:c r="J54" t="str">
        <x:v>Gearless</x:v>
      </x:c>
      <x:c r="K54" t="str">
        <x:v>OTIS</x:v>
      </x:c>
      <x:c r="L54" t="str">
        <x:v>ROT-021</x:v>
      </x:c>
      <x:c r="M54" t="str">
        <x:v>Operador de Porta</x:v>
      </x:c>
      <x:c r="N54" t="str">
        <x:v>Sensor de porta</x:v>
      </x:c>
      <x:c r="O54" t="str">
        <x:v>Falha de leitura</x:v>
      </x:c>
      <x:c r="P54" t="str">
        <x:v>Porta aberta</x:v>
      </x:c>
      <x:c r="Q54" t="str">
        <x:v>Sensor de porta ajustado</x:v>
      </x:c>
      <x:c r="R54" t="str">
        <x:v>Edifício Corporate</x:v>
      </x:c>
      <x:c r="S54" t="str">
        <x:v>Não</x:v>
      </x:c>
      <x:c r="T54" t="str">
        <x:v>Sim</x:v>
      </x:c>
      <x:c r="U54" t="str">
        <x:v>CT-2026-003</x:v>
      </x:c>
      <x:c r="V54" t="str">
        <x:v>SP-Oeste</x:v>
      </x:c>
      <x:c r="W54" t="str">
        <x:v>Ana Costa</x:v>
      </x:c>
      <x:c r="X54" t="str">
        <x:v>Supervisor C</x:v>
      </x:c>
      <x:c r="Y54" t="str">
        <x:v>Rota Oeste 03</x:v>
      </x:c>
      <x:c r="Z54" t="str">
        <x:v>Av. Faria Lima, 3500 - São Paulo/SP</x:v>
      </x:c>
      <x:c r="AA54" t="str">
        <x:v>São Paulo</x:v>
      </x:c>
      <x:c r="AB54" s="50" t="n">
        <x:v>46273.3118055556</x:v>
      </x:c>
      <x:c r="AC54" s="50" t="n">
        <x:v>46273.3152777778</x:v>
      </x:c>
      <x:c r="AD54" s="50" t="n">
        <x:v>46273.3166666667</x:v>
      </x:c>
      <x:c r="AE54" s="50" t="n">
        <x:v>46273.3395833333</x:v>
      </x:c>
      <x:c r="AF54" s="50" t="n">
        <x:v>46273.3784722222</x:v>
      </x:c>
      <x:c r="AG54" t="n">
        <x:v>40</x:v>
      </x:c>
      <x:c r="AH54" t="n">
        <x:v>51</x:v>
      </x:c>
      <x:c r="AI54" t="str">
        <x:v>Não</x:v>
      </x:c>
      <x:c r="AJ54" t="str">
        <x:v>Não</x:v>
      </x:c>
      <x:c r="AK54" t="n">
        <x:v>120</x:v>
      </x:c>
      <x:c r="AL54" t="n">
        <x:v>0</x:v>
      </x:c>
      <x:c r="AM54" s="64" t="n">
        <x:v>0.7583</x:v>
      </x:c>
      <x:c r="AN54" t="n">
        <x:v>2</x:v>
      </x:c>
      <x:c r="AO54" t="str">
        <x:v>Amarelo</x:v>
      </x:c>
      <x:c r="AP54" t="str">
        <x:v>2 recorrências/30d; SLA acima de 55%</x:v>
      </x:c>
      <x:c r="AQ54" t="str">
        <x:v>Há ocorrência recente semelhante; comparar solução anterior de Operador de Porta.</x:v>
      </x:c>
      <x:c r="AR54" s="62" t="n">
        <x:v>769</x:v>
      </x:c>
      <x:c r="AS54" t="str">
        <x:v>Médio</x:v>
      </x:c>
      <x:c r="AT54" s="50" t="n">
        <x:v>46273.427083333336</x:v>
      </x:c>
      <x:c r="AU54" t="str">
        <x:v>T03</x:v>
      </x:c>
      <x:c r="AV54" t="str">
        <x:v>T2 original + evolução sintética posterior</x:v>
      </x:c>
    </x:row>
    <x:row r="55">
      <x:c r="A55" t="str">
        <x:v>CH-20260908-004</x:v>
      </x:c>
      <x:c r="B55" t="str">
        <x:v>Painel sem comunicação</x:v>
      </x:c>
      <x:c r="C55" t="str">
        <x:v>Falha de comunicação</x:v>
      </x:c>
      <x:c r="D55" t="str">
        <x:v>Painel não responde aos comandos.</x:v>
      </x:c>
      <x:c r="E55" t="str">
        <x:v>Concluído</x:v>
      </x:c>
      <x:c r="F55" t="str">
        <x:v>Monitoramento Remoto</x:v>
      </x:c>
      <x:c r="G55" t="str">
        <x:v>E-104</x:v>
      </x:c>
      <x:c r="H55" t="str">
        <x:v>Elevador Social</x:v>
      </x:c>
      <x:c r="I55" t="str">
        <x:v>Microprocessado</x:v>
      </x:c>
      <x:c r="J55" t="str">
        <x:v>Gearless</x:v>
      </x:c>
      <x:c r="K55" t="str">
        <x:v>OTIS</x:v>
      </x:c>
      <x:c r="L55" t="str">
        <x:v>ROT-033</x:v>
      </x:c>
      <x:c r="M55" t="str">
        <x:v>Painel/Comando</x:v>
      </x:c>
      <x:c r="N55" t="str">
        <x:v>Interface</x:v>
      </x:c>
      <x:c r="O55" t="str">
        <x:v>Sem comunicação</x:v>
      </x:c>
      <x:c r="P55" t="str">
        <x:v>Falha lógica</x:v>
      </x:c>
      <x:c r="Q55" t="str">
        <x:v>Interface reinicializada/substituída</x:v>
      </x:c>
      <x:c r="R55" t="str">
        <x:v>Condomínio Alameda</x:v>
      </x:c>
      <x:c r="S55" t="str">
        <x:v>Não</x:v>
      </x:c>
      <x:c r="T55" t="str">
        <x:v>Não</x:v>
      </x:c>
      <x:c r="U55" t="str">
        <x:v>CT-2026-004</x:v>
      </x:c>
      <x:c r="V55" t="str">
        <x:v>SP-Sul</x:v>
      </x:c>
      <x:c r="W55" t="str">
        <x:v>Carlos Souza</x:v>
      </x:c>
      <x:c r="X55" t="str">
        <x:v>Supervisor D</x:v>
      </x:c>
      <x:c r="Y55" t="str">
        <x:v>Rota Sul 04</x:v>
      </x:c>
      <x:c r="Z55" t="str">
        <x:v>R. das Acácias, 420 - São Paulo/SP</x:v>
      </x:c>
      <x:c r="AA55" t="str">
        <x:v>São Paulo</x:v>
      </x:c>
      <x:c r="AB55" s="50" t="n">
        <x:v>46273.3145833333</x:v>
      </x:c>
      <x:c r="AC55" s="50" t="n">
        <x:v>46273.31875</x:v>
      </x:c>
      <x:c r="AD55" s="50" t="n">
        <x:v>46273.3215277778</x:v>
      </x:c>
      <x:c r="AE55" s="50" t="n">
        <x:v>46273.3493055556</x:v>
      </x:c>
      <x:c r="AF55" s="50" t="n">
        <x:v>46273.3958333333</x:v>
      </x:c>
      <x:c r="AG55" t="n">
        <x:v>50</x:v>
      </x:c>
      <x:c r="AH55" t="n">
        <x:v>62</x:v>
      </x:c>
      <x:c r="AI55" t="str">
        <x:v>Não</x:v>
      </x:c>
      <x:c r="AJ55" t="str">
        <x:v>Não</x:v>
      </x:c>
      <x:c r="AK55" t="n">
        <x:v>180</x:v>
      </x:c>
      <x:c r="AL55" t="n">
        <x:v>0</x:v>
      </x:c>
      <x:c r="AM55" s="64" t="n">
        <x:v>0.6222</x:v>
      </x:c>
      <x:c r="AN55" t="n">
        <x:v>3</x:v>
      </x:c>
      <x:c r="AO55" t="str">
        <x:v>Verde</x:v>
      </x:c>
      <x:c r="AP55" t="str">
        <x:v>3 recorrências/30d; SLA acima de 55%</x:v>
      </x:c>
      <x:c r="AQ55" t="str">
        <x:v>Recorrência elevada: verificar padrão histórico em Painel/Comando/Interface.</x:v>
      </x:c>
      <x:c r="AR55" s="62" t="n">
        <x:v>1594</x:v>
      </x:c>
      <x:c r="AS55" t="str">
        <x:v>Alto</x:v>
      </x:c>
      <x:c r="AT55" s="50" t="n">
        <x:v>46273.427083333336</x:v>
      </x:c>
      <x:c r="AU55" t="str">
        <x:v>T03</x:v>
      </x:c>
      <x:c r="AV55" t="str">
        <x:v>T2 original + evolução sintética posterior</x:v>
      </x:c>
    </x:row>
    <x:row r="56">
      <x:c r="A56" t="str">
        <x:v>CH-20260908-005</x:v>
      </x:c>
      <x:c r="B56" t="str">
        <x:v>Falha de Tração</x:v>
      </x:c>
      <x:c r="C56" t="str">
        <x:v>Movimento irregular</x:v>
      </x:c>
      <x:c r="D56" t="str">
        <x:v>Equipamento apresenta perda de tração.</x:v>
      </x:c>
      <x:c r="E56" t="str">
        <x:v>Concluído</x:v>
      </x:c>
      <x:c r="F56" t="str">
        <x:v>Central de Atendimento</x:v>
      </x:c>
      <x:c r="G56" t="str">
        <x:v>E-105</x:v>
      </x:c>
      <x:c r="H56" t="str">
        <x:v>Elevador Social</x:v>
      </x:c>
      <x:c r="I56" t="str">
        <x:v>Microprocessado</x:v>
      </x:c>
      <x:c r="J56" t="str">
        <x:v>Gearless</x:v>
      </x:c>
      <x:c r="K56" t="str">
        <x:v>OTIS</x:v>
      </x:c>
      <x:c r="L56" t="str">
        <x:v>ROT-041</x:v>
      </x:c>
      <x:c r="M56" t="str">
        <x:v>Máquina de Tração</x:v>
      </x:c>
      <x:c r="N56" t="str">
        <x:v>Inversor</x:v>
      </x:c>
      <x:c r="O56" t="str">
        <x:v>Oscilação</x:v>
      </x:c>
      <x:c r="P56" t="str">
        <x:v>Falha de movimento</x:v>
      </x:c>
      <x:c r="Q56" t="str">
        <x:v>Parâmetros do inversor corrigidos</x:v>
      </x:c>
      <x:c r="R56" t="str">
        <x:v>Aeroporto Terminal 3</x:v>
      </x:c>
      <x:c r="S56" t="str">
        <x:v>Sim</x:v>
      </x:c>
      <x:c r="T56" t="str">
        <x:v>Sim</x:v>
      </x:c>
      <x:c r="U56" t="str">
        <x:v>CT-2026-005</x:v>
      </x:c>
      <x:c r="V56" t="str">
        <x:v>GRU</x:v>
      </x:c>
      <x:c r="W56" t="str">
        <x:v>Renata Alves</x:v>
      </x:c>
      <x:c r="X56" t="str">
        <x:v>Supervisor A</x:v>
      </x:c>
      <x:c r="Y56" t="str">
        <x:v>Rota GRU 05</x:v>
      </x:c>
      <x:c r="Z56" t="str">
        <x:v>Rod. Hélio Smidt, s/n - Guarulhos/SP</x:v>
      </x:c>
      <x:c r="AA56" t="str">
        <x:v>São Paulo</x:v>
      </x:c>
      <x:c r="AB56" s="50" t="n">
        <x:v>46273.3180555556</x:v>
      </x:c>
      <x:c r="AC56" s="50" t="n">
        <x:v>46273.3194444444</x:v>
      </x:c>
      <x:c r="AD56" s="50" t="n">
        <x:v>46273.3236111111</x:v>
      </x:c>
      <x:c r="AE56" s="50" t="n">
        <x:v>46273.3319444444</x:v>
      </x:c>
      <x:c r="AF56" s="50" t="n">
        <x:v>46273.3861111111</x:v>
      </x:c>
      <x:c r="AG56" t="n">
        <x:v>20</x:v>
      </x:c>
      <x:c r="AH56" t="n">
        <x:v>73</x:v>
      </x:c>
      <x:c r="AI56" t="str">
        <x:v>Não</x:v>
      </x:c>
      <x:c r="AJ56" t="str">
        <x:v>Sim</x:v>
      </x:c>
      <x:c r="AK56" t="n">
        <x:v>45</x:v>
      </x:c>
      <x:c r="AL56" t="n">
        <x:v>0</x:v>
      </x:c>
      <x:c r="AM56" s="64" t="n">
        <x:v>2.0667</x:v>
      </x:c>
      <x:c r="AN56" t="n">
        <x:v>1</x:v>
      </x:c>
      <x:c r="AO56" t="str">
        <x:v>Vermelho</x:v>
      </x:c>
      <x:c r="AP56" t="str">
        <x:v>SLA estourado; carro parado</x:v>
      </x:c>
      <x:c r="AQ56" t="str">
        <x:v>Há ocorrência recente semelhante; comparar solução anterior de Máquina de Tração.</x:v>
      </x:c>
      <x:c r="AR56" s="62" t="n">
        <x:v>1259</x:v>
      </x:c>
      <x:c r="AS56" t="str">
        <x:v>Alto</x:v>
      </x:c>
      <x:c r="AT56" s="50" t="n">
        <x:v>46273.427083333336</x:v>
      </x:c>
      <x:c r="AU56" t="str">
        <x:v>T03</x:v>
      </x:c>
      <x:c r="AV56" t="str">
        <x:v>T2 original + evolução sintética posterior</x:v>
      </x:c>
    </x:row>
    <x:row r="57">
      <x:c r="A57" t="str">
        <x:v>CH-20260908-006</x:v>
      </x:c>
      <x:c r="B57" t="str">
        <x:v>Iluminação de Cabine</x:v>
      </x:c>
      <x:c r="C57" t="str">
        <x:v>Iluminação inoperante</x:v>
      </x:c>
      <x:c r="D57" t="str">
        <x:v>Cabine com iluminação parcial ou total indisponível.</x:v>
      </x:c>
      <x:c r="E57" t="str">
        <x:v>Concluído</x:v>
      </x:c>
      <x:c r="F57" t="str">
        <x:v>IoT</x:v>
      </x:c>
      <x:c r="G57" t="str">
        <x:v>E-106</x:v>
      </x:c>
      <x:c r="H57" t="str">
        <x:v>Elevador Social</x:v>
      </x:c>
      <x:c r="I57" t="str">
        <x:v>Microprocessado</x:v>
      </x:c>
      <x:c r="J57" t="str">
        <x:v>Gearless</x:v>
      </x:c>
      <x:c r="K57" t="str">
        <x:v>OTIS</x:v>
      </x:c>
      <x:c r="L57" t="str">
        <x:v>ROT-052</x:v>
      </x:c>
      <x:c r="M57" t="str">
        <x:v>Elétrica</x:v>
      </x:c>
      <x:c r="N57" t="str">
        <x:v>Fonte</x:v>
      </x:c>
      <x:c r="O57" t="str">
        <x:v>Sem alimentação</x:v>
      </x:c>
      <x:c r="P57" t="str">
        <x:v>Falha elétrica</x:v>
      </x:c>
      <x:c r="Q57" t="str">
        <x:v>Fonte substituída</x:v>
      </x:c>
      <x:c r="R57" t="str">
        <x:v>Universidade Central</x:v>
      </x:c>
      <x:c r="S57" t="str">
        <x:v>Não</x:v>
      </x:c>
      <x:c r="T57" t="str">
        <x:v>Sim</x:v>
      </x:c>
      <x:c r="U57" t="str">
        <x:v>CT-2026-006</x:v>
      </x:c>
      <x:c r="V57" t="str">
        <x:v>SP-Leste</x:v>
      </x:c>
      <x:c r="W57" t="str">
        <x:v>Paulo Mendes</x:v>
      </x:c>
      <x:c r="X57" t="str">
        <x:v>Supervisor B</x:v>
      </x:c>
      <x:c r="Y57" t="str">
        <x:v>Rota Leste 06</x:v>
      </x:c>
      <x:c r="Z57" t="str">
        <x:v>Av. Central, 850 - São Paulo/SP</x:v>
      </x:c>
      <x:c r="AA57" t="str">
        <x:v>São Paulo</x:v>
      </x:c>
      <x:c r="AB57" s="50" t="n">
        <x:v>46273.3215277778</x:v>
      </x:c>
      <x:c r="AC57" s="50" t="n">
        <x:v>46273.3236111111</x:v>
      </x:c>
      <x:c r="AD57" s="50" t="n">
        <x:v>46273.325</x:v>
      </x:c>
      <x:c r="AE57" s="50" t="n">
        <x:v>46273.3388888889</x:v>
      </x:c>
      <x:c r="AF57" s="50" t="n">
        <x:v>46273.3569444444</x:v>
      </x:c>
      <x:c r="AG57" t="n">
        <x:v>25</x:v>
      </x:c>
      <x:c r="AH57" t="n">
        <x:v>21</x:v>
      </x:c>
      <x:c r="AI57" t="str">
        <x:v>Não</x:v>
      </x:c>
      <x:c r="AJ57" t="str">
        <x:v>Não</x:v>
      </x:c>
      <x:c r="AK57" t="n">
        <x:v>120</x:v>
      </x:c>
      <x:c r="AL57" t="n">
        <x:v>0</x:v>
      </x:c>
      <x:c r="AM57" s="64" t="n">
        <x:v>0.3833</x:v>
      </x:c>
      <x:c r="AN57" t="n">
        <x:v>0</x:v>
      </x:c>
      <x:c r="AO57" t="str">
        <x:v>Verde</x:v>
      </x:c>
      <x:c r="AP57" t="str">
        <x:v>operação dentro do esperado</x:v>
      </x:c>
      <x:c r="AQ57" t="str">
        <x:v>Sem recorrência relevante; acompanhar evolução de Elétrica.</x:v>
      </x:c>
      <x:c r="AR57" s="62" t="n">
        <x:v>507</x:v>
      </x:c>
      <x:c r="AS57" t="str">
        <x:v>Baixo</x:v>
      </x:c>
      <x:c r="AT57" s="50" t="n">
        <x:v>46273.427083333336</x:v>
      </x:c>
      <x:c r="AU57" t="str">
        <x:v>T03</x:v>
      </x:c>
      <x:c r="AV57" t="str">
        <x:v>T2 original + evolução sintética posterior</x:v>
      </x:c>
    </x:row>
    <x:row r="58">
      <x:c r="A58" t="str">
        <x:v>CH-20260908-007</x:v>
      </x:c>
      <x:c r="B58" t="str">
        <x:v>Botão de Chamada</x:v>
      </x:c>
      <x:c r="C58" t="str">
        <x:v>Botão não responde</x:v>
      </x:c>
      <x:c r="D58" t="str">
        <x:v>Botão de chamada não registra comando.</x:v>
      </x:c>
      <x:c r="E58" t="str">
        <x:v>Concluído</x:v>
      </x:c>
      <x:c r="F58" t="str">
        <x:v>Aplicativo Cliente</x:v>
      </x:c>
      <x:c r="G58" t="str">
        <x:v>E-107</x:v>
      </x:c>
      <x:c r="H58" t="str">
        <x:v>Elevador Social</x:v>
      </x:c>
      <x:c r="I58" t="str">
        <x:v>Microprocessado</x:v>
      </x:c>
      <x:c r="J58" t="str">
        <x:v>Gearless</x:v>
      </x:c>
      <x:c r="K58" t="str">
        <x:v>OTIS</x:v>
      </x:c>
      <x:c r="L58" t="str">
        <x:v>ROT-063</x:v>
      </x:c>
      <x:c r="M58" t="str">
        <x:v>Botoeira</x:v>
      </x:c>
      <x:c r="N58" t="str">
        <x:v>Contato</x:v>
      </x:c>
      <x:c r="O58" t="str">
        <x:v>Mau contato</x:v>
      </x:c>
      <x:c r="P58" t="str">
        <x:v>Falha de comando</x:v>
      </x:c>
      <x:c r="Q58" t="str">
        <x:v>Contato reparado</x:v>
      </x:c>
      <x:c r="R58" t="str">
        <x:v>Hospital São Paulo</x:v>
      </x:c>
      <x:c r="S58" t="str">
        <x:v>Sim</x:v>
      </x:c>
      <x:c r="T58" t="str">
        <x:v>Sim</x:v>
      </x:c>
      <x:c r="U58" t="str">
        <x:v>CT-2026-001</x:v>
      </x:c>
      <x:c r="V58" t="str">
        <x:v>SP-Centro</x:v>
      </x:c>
      <x:c r="W58" t="str">
        <x:v>João Silva</x:v>
      </x:c>
      <x:c r="X58" t="str">
        <x:v>Supervisor C</x:v>
      </x:c>
      <x:c r="Y58" t="str">
        <x:v>Rota Centro 01</x:v>
      </x:c>
      <x:c r="Z58" t="str">
        <x:v>Av. Paulista, 1000 - São Paulo/SP</x:v>
      </x:c>
      <x:c r="AA58" t="str">
        <x:v>São Paulo</x:v>
      </x:c>
      <x:c r="AB58" s="50" t="n">
        <x:v>46273.3243055556</x:v>
      </x:c>
      <x:c r="AC58" s="50" t="n">
        <x:v>46273.3270833333</x:v>
      </x:c>
      <x:c r="AD58" s="50" t="n">
        <x:v>46273.3298611111</x:v>
      </x:c>
      <x:c r="AE58" s="50" t="n">
        <x:v>46273.3486111111</x:v>
      </x:c>
      <x:c r="AF58" s="50" t="n">
        <x:v>46273.3743055556</x:v>
      </x:c>
      <x:c r="AG58" t="n">
        <x:v>35</x:v>
      </x:c>
      <x:c r="AH58" t="n">
        <x:v>32</x:v>
      </x:c>
      <x:c r="AI58" t="str">
        <x:v>Não</x:v>
      </x:c>
      <x:c r="AJ58" t="str">
        <x:v>Não</x:v>
      </x:c>
      <x:c r="AK58" t="n">
        <x:v>60</x:v>
      </x:c>
      <x:c r="AL58" t="n">
        <x:v>0</x:v>
      </x:c>
      <x:c r="AM58" s="64" t="n">
        <x:v>1.1167</x:v>
      </x:c>
      <x:c r="AN58" t="n">
        <x:v>2</x:v>
      </x:c>
      <x:c r="AO58" t="str">
        <x:v>Vermelho</x:v>
      </x:c>
      <x:c r="AP58" t="str">
        <x:v>2 recorrências/30d; SLA estourado</x:v>
      </x:c>
      <x:c r="AQ58" t="str">
        <x:v>Há ocorrência recente semelhante; comparar solução anterior de Botoeira.</x:v>
      </x:c>
      <x:c r="AR58" s="62" t="n">
        <x:v>612</x:v>
      </x:c>
      <x:c r="AS58" t="str">
        <x:v>Baixo</x:v>
      </x:c>
      <x:c r="AT58" s="50" t="n">
        <x:v>46273.427083333336</x:v>
      </x:c>
      <x:c r="AU58" t="str">
        <x:v>T03</x:v>
      </x:c>
      <x:c r="AV58" t="str">
        <x:v>T2 original + evolução sintética posterior</x:v>
      </x:c>
    </x:row>
    <x:row r="59">
      <x:c r="A59" t="str">
        <x:v>CH-20260908-008</x:v>
      </x:c>
      <x:c r="B59" t="str">
        <x:v>Parada Intermitente</x:v>
      </x:c>
      <x:c r="C59" t="str">
        <x:v>Paradas aleatórias</x:v>
      </x:c>
      <x:c r="D59" t="str">
        <x:v>Equipamento interrompe operação de forma intermitente.</x:v>
      </x:c>
      <x:c r="E59" t="str">
        <x:v>Concluído</x:v>
      </x:c>
      <x:c r="F59" t="str">
        <x:v>Monitoramento Remoto</x:v>
      </x:c>
      <x:c r="G59" t="str">
        <x:v>E-108</x:v>
      </x:c>
      <x:c r="H59" t="str">
        <x:v>Elevador Social</x:v>
      </x:c>
      <x:c r="I59" t="str">
        <x:v>Microprocessado</x:v>
      </x:c>
      <x:c r="J59" t="str">
        <x:v>Gearless</x:v>
      </x:c>
      <x:c r="K59" t="str">
        <x:v>OTIS</x:v>
      </x:c>
      <x:c r="L59" t="str">
        <x:v>ROT-074</x:v>
      </x:c>
      <x:c r="M59" t="str">
        <x:v>Painel/Comando</x:v>
      </x:c>
      <x:c r="N59" t="str">
        <x:v>Placa</x:v>
      </x:c>
      <x:c r="O59" t="str">
        <x:v>Intermitência</x:v>
      </x:c>
      <x:c r="P59" t="str">
        <x:v>Falha intermitente</x:v>
      </x:c>
      <x:c r="Q59" t="str">
        <x:v>Placa revisada e teste funcional</x:v>
      </x:c>
      <x:c r="R59" t="str">
        <x:v>Shopping Center Norte</x:v>
      </x:c>
      <x:c r="S59" t="str">
        <x:v>Não</x:v>
      </x:c>
      <x:c r="T59" t="str">
        <x:v>Sim</x:v>
      </x:c>
      <x:c r="U59" t="str">
        <x:v>CT-2026-002</x:v>
      </x:c>
      <x:c r="V59" t="str">
        <x:v>SP-Norte</x:v>
      </x:c>
      <x:c r="W59" t="str">
        <x:v>Marcos Lima</x:v>
      </x:c>
      <x:c r="X59" t="str">
        <x:v>Supervisor D</x:v>
      </x:c>
      <x:c r="Y59" t="str">
        <x:v>Rota Norte 02</x:v>
      </x:c>
      <x:c r="Z59" t="str">
        <x:v>Av. Otto Baumgart, 245 - São Paulo/SP</x:v>
      </x:c>
      <x:c r="AA59" t="str">
        <x:v>São Paulo</x:v>
      </x:c>
      <x:c r="AB59" s="50" t="n">
        <x:v>46273.3270833333</x:v>
      </x:c>
      <x:c r="AC59" s="50" t="n">
        <x:v>46273.3305555556</x:v>
      </x:c>
      <x:c r="AD59" s="50" t="n">
        <x:v>46273.3347222222</x:v>
      </x:c>
      <x:c r="AE59" s="50" t="n">
        <x:v>46273.3583333333</x:v>
      </x:c>
      <x:c r="AF59" s="50" t="n">
        <x:v>46273.3916666667</x:v>
      </x:c>
      <x:c r="AG59" t="n">
        <x:v>45</x:v>
      </x:c>
      <x:c r="AH59" t="n">
        <x:v>43</x:v>
      </x:c>
      <x:c r="AI59" t="str">
        <x:v>Não</x:v>
      </x:c>
      <x:c r="AJ59" t="str">
        <x:v>Sim</x:v>
      </x:c>
      <x:c r="AK59" t="n">
        <x:v>90</x:v>
      </x:c>
      <x:c r="AL59" t="n">
        <x:v>0</x:v>
      </x:c>
      <x:c r="AM59" s="64" t="n">
        <x:v>0.9778</x:v>
      </x:c>
      <x:c r="AN59" t="n">
        <x:v>4</x:v>
      </x:c>
      <x:c r="AO59" t="str">
        <x:v>Laranja</x:v>
      </x:c>
      <x:c r="AP59" t="str">
        <x:v>4 recorrências/30d; SLA acima de 80%; carro parado</x:v>
      </x:c>
      <x:c r="AQ59" t="str">
        <x:v>Recorrência elevada: verificar padrão histórico em Painel/Comando/Placa.</x:v>
      </x:c>
      <x:c r="AR59" s="62" t="n">
        <x:v>1437</x:v>
      </x:c>
      <x:c r="AS59" t="str">
        <x:v>Alto</x:v>
      </x:c>
      <x:c r="AT59" s="50" t="n">
        <x:v>46273.427083333336</x:v>
      </x:c>
      <x:c r="AU59" t="str">
        <x:v>T03</x:v>
      </x:c>
      <x:c r="AV59" t="str">
        <x:v>T2 original + evolução sintética posterior</x:v>
      </x:c>
    </x:row>
    <x:row r="60">
      <x:c r="A60" t="str">
        <x:v>CH-20260908-009</x:v>
      </x:c>
      <x:c r="B60" t="str">
        <x:v>Passageiro Preso</x:v>
      </x:c>
      <x:c r="C60" t="str">
        <x:v>Elevador parado entre andares</x:v>
      </x:c>
      <x:c r="D60" t="str">
        <x:v>Cabine imobilizada com passageiro no interior.</x:v>
      </x:c>
      <x:c r="E60" t="str">
        <x:v>Concluído</x:v>
      </x:c>
      <x:c r="F60" t="str">
        <x:v>Central de Atendimento</x:v>
      </x:c>
      <x:c r="G60" t="str">
        <x:v>E-109</x:v>
      </x:c>
      <x:c r="H60" t="str">
        <x:v>Elevador Social</x:v>
      </x:c>
      <x:c r="I60" t="str">
        <x:v>Microprocessado</x:v>
      </x:c>
      <x:c r="J60" t="str">
        <x:v>Gearless</x:v>
      </x:c>
      <x:c r="K60" t="str">
        <x:v>OTIS</x:v>
      </x:c>
      <x:c r="L60" t="str">
        <x:v>ROT-001</x:v>
      </x:c>
      <x:c r="M60" t="str">
        <x:v>Tração</x:v>
      </x:c>
      <x:c r="N60" t="str">
        <x:v>Freio</x:v>
      </x:c>
      <x:c r="O60" t="str">
        <x:v>Travamento</x:v>
      </x:c>
      <x:c r="P60" t="str">
        <x:v>Parada total</x:v>
      </x:c>
      <x:c r="Q60" t="str">
        <x:v>Resgate concluído e equipamento normalizado</x:v>
      </x:c>
      <x:c r="R60" t="str">
        <x:v>Edifício Corporate</x:v>
      </x:c>
      <x:c r="S60" t="str">
        <x:v>Não</x:v>
      </x:c>
      <x:c r="T60" t="str">
        <x:v>Sim</x:v>
      </x:c>
      <x:c r="U60" t="str">
        <x:v>CT-2026-003</x:v>
      </x:c>
      <x:c r="V60" t="str">
        <x:v>SP-Oeste</x:v>
      </x:c>
      <x:c r="W60" t="str">
        <x:v>Ana Costa</x:v>
      </x:c>
      <x:c r="X60" t="str">
        <x:v>Supervisor A</x:v>
      </x:c>
      <x:c r="Y60" t="str">
        <x:v>Rota Oeste 03</x:v>
      </x:c>
      <x:c r="Z60" t="str">
        <x:v>Av. Faria Lima, 3500 - São Paulo/SP</x:v>
      </x:c>
      <x:c r="AA60" t="str">
        <x:v>São Paulo</x:v>
      </x:c>
      <x:c r="AB60" s="50" t="n">
        <x:v>46273.3298611111</x:v>
      </x:c>
      <x:c r="AC60" s="50" t="n">
        <x:v>46273.3340277778</x:v>
      </x:c>
      <x:c r="AD60" s="50" t="n">
        <x:v>46273.3354166667</x:v>
      </x:c>
      <x:c r="AE60" s="50" t="n">
        <x:v>46273.3604166667</x:v>
      </x:c>
      <x:c r="AF60" s="50" t="n">
        <x:v>46273.3833333333</x:v>
      </x:c>
      <x:c r="AG60" t="n">
        <x:v>44</x:v>
      </x:c>
      <x:c r="AH60" t="n">
        <x:v>28</x:v>
      </x:c>
      <x:c r="AI60" t="str">
        <x:v>Sim</x:v>
      </x:c>
      <x:c r="AJ60" t="str">
        <x:v>Sim</x:v>
      </x:c>
      <x:c r="AK60" t="n">
        <x:v>120</x:v>
      </x:c>
      <x:c r="AL60" t="n">
        <x:v>0</x:v>
      </x:c>
      <x:c r="AM60" s="64" t="n">
        <x:v>0.6</x:v>
      </x:c>
      <x:c r="AN60" t="n">
        <x:v>0</x:v>
      </x:c>
      <x:c r="AO60" t="str">
        <x:v>Verde</x:v>
      </x:c>
      <x:c r="AP60" t="str">
        <x:v>passageiro preso; SLA acima de 55%; carro parado</x:v>
      </x:c>
      <x:c r="AQ60" t="str">
        <x:v>Sem recorrência relevante; acompanhar evolução de Tração.</x:v>
      </x:c>
      <x:c r="AR60" s="62" t="n">
        <x:v>970</x:v>
      </x:c>
      <x:c r="AS60" t="str">
        <x:v>Médio</x:v>
      </x:c>
      <x:c r="AT60" s="50" t="n">
        <x:v>46273.427083333336</x:v>
      </x:c>
      <x:c r="AU60" t="str">
        <x:v>T03</x:v>
      </x:c>
      <x:c r="AV60" t="str">
        <x:v>T2 original + evolução sintética posterior</x:v>
      </x:c>
    </x:row>
    <x:row r="61">
      <x:c r="A61" t="str">
        <x:v>CH-20260908-010</x:v>
      </x:c>
      <x:c r="B61" t="str">
        <x:v>Falha de Nivelamento</x:v>
      </x:c>
      <x:c r="C61" t="str">
        <x:v>Cabine desnivelada</x:v>
      </x:c>
      <x:c r="D61" t="str">
        <x:v>Cabine parou fora do nível do pavimento.</x:v>
      </x:c>
      <x:c r="E61" t="str">
        <x:v>Concluído</x:v>
      </x:c>
      <x:c r="F61" t="str">
        <x:v>IoT</x:v>
      </x:c>
      <x:c r="G61" t="str">
        <x:v>E-110</x:v>
      </x:c>
      <x:c r="H61" t="str">
        <x:v>Elevador Social</x:v>
      </x:c>
      <x:c r="I61" t="str">
        <x:v>Microprocessado</x:v>
      </x:c>
      <x:c r="J61" t="str">
        <x:v>Gearless</x:v>
      </x:c>
      <x:c r="K61" t="str">
        <x:v>OTIS</x:v>
      </x:c>
      <x:c r="L61" t="str">
        <x:v>ROT-014</x:v>
      </x:c>
      <x:c r="M61" t="str">
        <x:v>Sensor de Nível</x:v>
      </x:c>
      <x:c r="N61" t="str">
        <x:v>Sensor</x:v>
      </x:c>
      <x:c r="O61" t="str">
        <x:v>Leitura inconsistente</x:v>
      </x:c>
      <x:c r="P61" t="str">
        <x:v>Falha de nivelamento</x:v>
      </x:c>
      <x:c r="Q61" t="str">
        <x:v>Sensor ajustado/substituído</x:v>
      </x:c>
      <x:c r="R61" t="str">
        <x:v>Condomínio Alameda</x:v>
      </x:c>
      <x:c r="S61" t="str">
        <x:v>Não</x:v>
      </x:c>
      <x:c r="T61" t="str">
        <x:v>Não</x:v>
      </x:c>
      <x:c r="U61" t="str">
        <x:v>CT-2026-004</x:v>
      </x:c>
      <x:c r="V61" t="str">
        <x:v>SP-Sul</x:v>
      </x:c>
      <x:c r="W61" t="str">
        <x:v>Carlos Souza</x:v>
      </x:c>
      <x:c r="X61" t="str">
        <x:v>Supervisor B</x:v>
      </x:c>
      <x:c r="Y61" t="str">
        <x:v>Rota Sul 04</x:v>
      </x:c>
      <x:c r="Z61" t="str">
        <x:v>R. das Acácias, 420 - São Paulo/SP</x:v>
      </x:c>
      <x:c r="AA61" t="str">
        <x:v>São Paulo</x:v>
      </x:c>
      <x:c r="AB61" s="50" t="n">
        <x:v>46273.3326388889</x:v>
      </x:c>
      <x:c r="AC61" s="50" t="n">
        <x:v>46273.3340277778</x:v>
      </x:c>
      <x:c r="AD61" s="50" t="n">
        <x:v>46273.3368055556</x:v>
      </x:c>
      <x:c r="AE61" s="50" t="n">
        <x:v>46273.3465277778</x:v>
      </x:c>
      <x:c r="AF61" s="50" t="n">
        <x:v>46273.3951388889</x:v>
      </x:c>
      <x:c r="AG61" t="n">
        <x:v>20</x:v>
      </x:c>
      <x:c r="AH61" t="n">
        <x:v>65</x:v>
      </x:c>
      <x:c r="AI61" t="str">
        <x:v>Não</x:v>
      </x:c>
      <x:c r="AJ61" t="str">
        <x:v>Não</x:v>
      </x:c>
      <x:c r="AK61" t="n">
        <x:v>180</x:v>
      </x:c>
      <x:c r="AL61" t="n">
        <x:v>0</x:v>
      </x:c>
      <x:c r="AM61" s="64" t="n">
        <x:v>0.4722</x:v>
      </x:c>
      <x:c r="AN61" t="n">
        <x:v>1</x:v>
      </x:c>
      <x:c r="AO61" t="str">
        <x:v>Verde</x:v>
      </x:c>
      <x:c r="AP61" t="str">
        <x:v>operação dentro do esperado</x:v>
      </x:c>
      <x:c r="AQ61" t="str">
        <x:v>Há ocorrência recente semelhante; comparar solução anterior de Sensor de Nível.</x:v>
      </x:c>
      <x:c r="AR61" s="62" t="n">
        <x:v>791</x:v>
      </x:c>
      <x:c r="AS61" t="str">
        <x:v>Médio</x:v>
      </x:c>
      <x:c r="AT61" s="50" t="n">
        <x:v>46273.427083333336</x:v>
      </x:c>
      <x:c r="AU61" t="str">
        <x:v>T03</x:v>
      </x:c>
      <x:c r="AV61" t="str">
        <x:v>T2 original + evolução sintética posterior</x:v>
      </x:c>
    </x:row>
    <x:row r="62">
      <x:c r="A62" t="str">
        <x:v>CH-20260908-011</x:v>
      </x:c>
      <x:c r="B62" t="str">
        <x:v>Porta não fecha</x:v>
      </x:c>
      <x:c r="C62" t="str">
        <x:v>Falha no fechamento</x:v>
      </x:c>
      <x:c r="D62" t="str">
        <x:v>Porta permanece aberta e impede partida.</x:v>
      </x:c>
      <x:c r="E62" t="str">
        <x:v>Concluído</x:v>
      </x:c>
      <x:c r="F62" t="str">
        <x:v>Aplicativo Cliente</x:v>
      </x:c>
      <x:c r="G62" t="str">
        <x:v>E-111</x:v>
      </x:c>
      <x:c r="H62" t="str">
        <x:v>Elevador Social</x:v>
      </x:c>
      <x:c r="I62" t="str">
        <x:v>Microprocessado</x:v>
      </x:c>
      <x:c r="J62" t="str">
        <x:v>Gearless</x:v>
      </x:c>
      <x:c r="K62" t="str">
        <x:v>OTIS</x:v>
      </x:c>
      <x:c r="L62" t="str">
        <x:v>ROT-021</x:v>
      </x:c>
      <x:c r="M62" t="str">
        <x:v>Operador de Porta</x:v>
      </x:c>
      <x:c r="N62" t="str">
        <x:v>Sensor de porta</x:v>
      </x:c>
      <x:c r="O62" t="str">
        <x:v>Falha de leitura</x:v>
      </x:c>
      <x:c r="P62" t="str">
        <x:v>Porta aberta</x:v>
      </x:c>
      <x:c r="Q62" t="str">
        <x:v>Inspeção técnica e normalização demonstrativas de Operador de Porta; resolução sintética, sem confirmação de consumo de peças.</x:v>
      </x:c>
      <x:c r="R62" t="str">
        <x:v>Aeroporto Terminal 3</x:v>
      </x:c>
      <x:c r="S62" t="str">
        <x:v>Sim</x:v>
      </x:c>
      <x:c r="T62" t="str">
        <x:v>Sim</x:v>
      </x:c>
      <x:c r="U62" t="str">
        <x:v>CT-2026-005</x:v>
      </x:c>
      <x:c r="V62" t="str">
        <x:v>GRU</x:v>
      </x:c>
      <x:c r="W62" t="str">
        <x:v>Renata Alves</x:v>
      </x:c>
      <x:c r="X62" t="str">
        <x:v>Supervisor C</x:v>
      </x:c>
      <x:c r="Y62" t="str">
        <x:v>Rota GRU 05</x:v>
      </x:c>
      <x:c r="Z62" t="str">
        <x:v>Rod. Hélio Smidt, s/n - Guarulhos/SP</x:v>
      </x:c>
      <x:c r="AA62" t="str">
        <x:v>São Paulo</x:v>
      </x:c>
      <x:c r="AB62" s="50" t="n">
        <x:v>46273.3354166667</x:v>
      </x:c>
      <x:c r="AC62" s="50" t="n">
        <x:v>46273.3375</x:v>
      </x:c>
      <x:c r="AD62" s="50" t="n">
        <x:v>46273.341666666696</x:v>
      </x:c>
      <x:c r="AE62" s="50" t="n">
        <x:v>46273.3534722222</x:v>
      </x:c>
      <x:c r="AF62" s="50" t="n">
        <x:v>46273.41875</x:v>
      </x:c>
      <x:c r="AG62" t="n">
        <x:v>26</x:v>
      </x:c>
      <x:c r="AH62" t="n">
        <x:v>89</x:v>
      </x:c>
      <x:c r="AI62" t="str">
        <x:v>Não</x:v>
      </x:c>
      <x:c r="AJ62" t="str">
        <x:v>Não</x:v>
      </x:c>
      <x:c r="AK62" t="n">
        <x:v>45</x:v>
      </x:c>
      <x:c r="AL62" t="n">
        <x:v>0</x:v>
      </x:c>
      <x:c r="AM62" s="64" t="n">
        <x:v>2.5556</x:v>
      </x:c>
      <x:c r="AN62" t="n">
        <x:v>2</x:v>
      </x:c>
      <x:c r="AO62" t="str">
        <x:v>Vermelho</x:v>
      </x:c>
      <x:c r="AP62" t="str">
        <x:v>SLA sintético excedido (tempo acumulado ≥ 100% do SLA)</x:v>
      </x:c>
      <x:c r="AQ62" t="str">
        <x:v>Encerramento demonstrativo de Operador de Porta; verificar fechamento e histórico para aprendizado. Sem despacho automático.</x:v>
      </x:c>
      <x:c r="AR62" s="62" t="n">
        <x:v>880</x:v>
      </x:c>
      <x:c r="AS62" t="str">
        <x:v>Médio</x:v>
      </x:c>
      <x:c r="AT62" s="50" t="n">
        <x:v>46273.427083333336</x:v>
      </x:c>
      <x:c r="AU62" t="str">
        <x:v>T03</x:v>
      </x:c>
      <x:c r="AV62" t="str">
        <x:v>T2 original + evolução sintética posterior</x:v>
      </x:c>
    </x:row>
    <x:row r="63">
      <x:c r="A63" t="str">
        <x:v>CH-20260908-012</x:v>
      </x:c>
      <x:c r="B63" t="str">
        <x:v>Painel sem comunicação</x:v>
      </x:c>
      <x:c r="C63" t="str">
        <x:v>Falha de comunicação</x:v>
      </x:c>
      <x:c r="D63" t="str">
        <x:v>Painel não responde aos comandos.</x:v>
      </x:c>
      <x:c r="E63" t="str">
        <x:v>Concluído</x:v>
      </x:c>
      <x:c r="F63" t="str">
        <x:v>Monitoramento Remoto</x:v>
      </x:c>
      <x:c r="G63" t="str">
        <x:v>E-112</x:v>
      </x:c>
      <x:c r="H63" t="str">
        <x:v>Elevador Social</x:v>
      </x:c>
      <x:c r="I63" t="str">
        <x:v>Microprocessado</x:v>
      </x:c>
      <x:c r="J63" t="str">
        <x:v>Gearless</x:v>
      </x:c>
      <x:c r="K63" t="str">
        <x:v>OTIS</x:v>
      </x:c>
      <x:c r="L63" t="str">
        <x:v>ROT-033</x:v>
      </x:c>
      <x:c r="M63" t="str">
        <x:v>Painel/Comando</x:v>
      </x:c>
      <x:c r="N63" t="str">
        <x:v>Interface</x:v>
      </x:c>
      <x:c r="O63" t="str">
        <x:v>Sem comunicação</x:v>
      </x:c>
      <x:c r="P63" t="str">
        <x:v>Falha lógica</x:v>
      </x:c>
      <x:c r="Q63" t="str">
        <x:v>Interface reinicializada/substituída</x:v>
      </x:c>
      <x:c r="R63" t="str">
        <x:v>Universidade Central</x:v>
      </x:c>
      <x:c r="S63" t="str">
        <x:v>Não</x:v>
      </x:c>
      <x:c r="T63" t="str">
        <x:v>Sim</x:v>
      </x:c>
      <x:c r="U63" t="str">
        <x:v>CT-2026-006</x:v>
      </x:c>
      <x:c r="V63" t="str">
        <x:v>SP-Leste</x:v>
      </x:c>
      <x:c r="W63" t="str">
        <x:v>Paulo Mendes</x:v>
      </x:c>
      <x:c r="X63" t="str">
        <x:v>Supervisor D</x:v>
      </x:c>
      <x:c r="Y63" t="str">
        <x:v>Rota Leste 06</x:v>
      </x:c>
      <x:c r="Z63" t="str">
        <x:v>Av. Central, 850 - São Paulo/SP</x:v>
      </x:c>
      <x:c r="AA63" t="str">
        <x:v>São Paulo</x:v>
      </x:c>
      <x:c r="AB63" s="50" t="n">
        <x:v>46273.3381944444</x:v>
      </x:c>
      <x:c r="AC63" s="50" t="n">
        <x:v>46273.3409722222</x:v>
      </x:c>
      <x:c r="AD63" s="50" t="n">
        <x:v>46273.3423611111</x:v>
      </x:c>
      <x:c r="AE63" s="50" t="n">
        <x:v>46273.3618055556</x:v>
      </x:c>
      <x:c r="AF63" s="50" t="n">
        <x:v>46273.3819444444</x:v>
      </x:c>
      <x:c r="AG63" t="n">
        <x:v>34</x:v>
      </x:c>
      <x:c r="AH63" t="n">
        <x:v>24</x:v>
      </x:c>
      <x:c r="AI63" t="str">
        <x:v>Não</x:v>
      </x:c>
      <x:c r="AJ63" t="str">
        <x:v>Não</x:v>
      </x:c>
      <x:c r="AK63" t="n">
        <x:v>120</x:v>
      </x:c>
      <x:c r="AL63" t="n">
        <x:v>0</x:v>
      </x:c>
      <x:c r="AM63" s="64" t="n">
        <x:v>0.4833</x:v>
      </x:c>
      <x:c r="AN63" t="n">
        <x:v>3</x:v>
      </x:c>
      <x:c r="AO63" t="str">
        <x:v>Verde</x:v>
      </x:c>
      <x:c r="AP63" t="str">
        <x:v>3 recorrências/30d</x:v>
      </x:c>
      <x:c r="AQ63" t="str">
        <x:v>Recorrência elevada: verificar padrão histórico em Painel/Comando/Interface.</x:v>
      </x:c>
      <x:c r="AR63" s="62" t="n">
        <x:v>1280</x:v>
      </x:c>
      <x:c r="AS63" t="str">
        <x:v>Alto</x:v>
      </x:c>
      <x:c r="AT63" s="50" t="n">
        <x:v>46273.427083333336</x:v>
      </x:c>
      <x:c r="AU63" t="str">
        <x:v>T03</x:v>
      </x:c>
      <x:c r="AV63" t="str">
        <x:v>T2 original + evolução sintética posterior</x:v>
      </x:c>
    </x:row>
    <x:row r="64">
      <x:c r="A64" t="str">
        <x:v>CH-20260908-013</x:v>
      </x:c>
      <x:c r="B64" t="str">
        <x:v>Falha de Tração</x:v>
      </x:c>
      <x:c r="C64" t="str">
        <x:v>Movimento irregular</x:v>
      </x:c>
      <x:c r="D64" t="str">
        <x:v>Equipamento apresenta perda de tração.</x:v>
      </x:c>
      <x:c r="E64" t="str">
        <x:v>Em atendimento</x:v>
      </x:c>
      <x:c r="F64" t="str">
        <x:v>Central de Atendimento</x:v>
      </x:c>
      <x:c r="G64" t="str">
        <x:v>E-113</x:v>
      </x:c>
      <x:c r="H64" t="str">
        <x:v>Elevador Social</x:v>
      </x:c>
      <x:c r="I64" t="str">
        <x:v>Microprocessado</x:v>
      </x:c>
      <x:c r="J64" t="str">
        <x:v>Gearless</x:v>
      </x:c>
      <x:c r="K64" t="str">
        <x:v>OTIS</x:v>
      </x:c>
      <x:c r="L64" t="str">
        <x:v>ROT-041</x:v>
      </x:c>
      <x:c r="M64" t="str">
        <x:v>Máquina de Tração</x:v>
      </x:c>
      <x:c r="N64" t="str">
        <x:v>Inversor</x:v>
      </x:c>
      <x:c r="O64" t="str">
        <x:v>Oscilação</x:v>
      </x:c>
      <x:c r="P64" t="str">
        <x:v>Falha de movimento</x:v>
      </x:c>
      <x:c r="Q64"/>
      <x:c r="R64" t="str">
        <x:v>Hospital São Paulo</x:v>
      </x:c>
      <x:c r="S64" t="str">
        <x:v>Sim</x:v>
      </x:c>
      <x:c r="T64" t="str">
        <x:v>Sim</x:v>
      </x:c>
      <x:c r="U64" t="str">
        <x:v>CT-2026-001</x:v>
      </x:c>
      <x:c r="V64" t="str">
        <x:v>SP-Centro</x:v>
      </x:c>
      <x:c r="W64" t="str">
        <x:v>João Silva</x:v>
      </x:c>
      <x:c r="X64" t="str">
        <x:v>Supervisor A</x:v>
      </x:c>
      <x:c r="Y64" t="str">
        <x:v>Rota Centro 01</x:v>
      </x:c>
      <x:c r="Z64" t="str">
        <x:v>Av. Paulista, 1000 - São Paulo/SP</x:v>
      </x:c>
      <x:c r="AA64" t="str">
        <x:v>São Paulo</x:v>
      </x:c>
      <x:c r="AB64" s="50" t="n">
        <x:v>46273.341666666696</x:v>
      </x:c>
      <x:c r="AC64" s="50" t="n">
        <x:v>46273.3451388889</x:v>
      </x:c>
      <x:c r="AD64" s="50" t="n">
        <x:v>46273.3479166667</x:v>
      </x:c>
      <x:c r="AE64" s="50" t="n">
        <x:v>46273.3722222222</x:v>
      </x:c>
      <x:c r="AF64" s="50"/>
      <x:c r="AG64" t="n">
        <x:v>44</x:v>
      </x:c>
      <x:c r="AH64"/>
      <x:c r="AI64" t="str">
        <x:v>Não</x:v>
      </x:c>
      <x:c r="AJ64" t="str">
        <x:v>Sim</x:v>
      </x:c>
      <x:c r="AK64" t="n">
        <x:v>60</x:v>
      </x:c>
      <x:c r="AL64" t="n">
        <x:v>0</x:v>
      </x:c>
      <x:c r="AM64" s="64" t="n">
        <x:v>2.05</x:v>
      </x:c>
      <x:c r="AN64" t="n">
        <x:v>1</x:v>
      </x:c>
      <x:c r="AO64" t="str">
        <x:v>Vermelho</x:v>
      </x:c>
      <x:c r="AP64" t="str">
        <x:v>SLA sintético excedido (tempo acumulado ≥ 100% do SLA)</x:v>
      </x:c>
      <x:c r="AQ64" t="str">
        <x:v>Priorizar avaliação do chamado em Máquina de Tração; SLA demonstrativo comprometido. Supervisor decide o encaminhamento.</x:v>
      </x:c>
      <x:c r="AR64" s="62" t="n">
        <x:v>1085</x:v>
      </x:c>
      <x:c r="AS64" t="str">
        <x:v>Médio</x:v>
      </x:c>
      <x:c r="AT64" s="50" t="n">
        <x:v>46273.427083333336</x:v>
      </x:c>
      <x:c r="AU64" t="str">
        <x:v>T03</x:v>
      </x:c>
      <x:c r="AV64" t="str">
        <x:v>T2 original + evolução sintética posterior</x:v>
      </x:c>
    </x:row>
    <x:row r="65">
      <x:c r="A65" t="str">
        <x:v>CH-20260908-014</x:v>
      </x:c>
      <x:c r="B65" t="str">
        <x:v>Iluminação de Cabine</x:v>
      </x:c>
      <x:c r="C65" t="str">
        <x:v>Iluminação inoperante</x:v>
      </x:c>
      <x:c r="D65" t="str">
        <x:v>Cabine com iluminação parcial ou total indisponível.</x:v>
      </x:c>
      <x:c r="E65" t="str">
        <x:v>Em atendimento</x:v>
      </x:c>
      <x:c r="F65" t="str">
        <x:v>IoT</x:v>
      </x:c>
      <x:c r="G65" t="str">
        <x:v>E-114</x:v>
      </x:c>
      <x:c r="H65" t="str">
        <x:v>Elevador Social</x:v>
      </x:c>
      <x:c r="I65" t="str">
        <x:v>Microprocessado</x:v>
      </x:c>
      <x:c r="J65" t="str">
        <x:v>Gearless</x:v>
      </x:c>
      <x:c r="K65" t="str">
        <x:v>OTIS</x:v>
      </x:c>
      <x:c r="L65" t="str">
        <x:v>ROT-052</x:v>
      </x:c>
      <x:c r="M65" t="str">
        <x:v>Elétrica</x:v>
      </x:c>
      <x:c r="N65" t="str">
        <x:v>Fonte</x:v>
      </x:c>
      <x:c r="O65" t="str">
        <x:v>Sem alimentação</x:v>
      </x:c>
      <x:c r="P65" t="str">
        <x:v>Falha elétrica</x:v>
      </x:c>
      <x:c r="Q65"/>
      <x:c r="R65" t="str">
        <x:v>Shopping Center Norte</x:v>
      </x:c>
      <x:c r="S65" t="str">
        <x:v>Não</x:v>
      </x:c>
      <x:c r="T65" t="str">
        <x:v>Sim</x:v>
      </x:c>
      <x:c r="U65" t="str">
        <x:v>CT-2026-002</x:v>
      </x:c>
      <x:c r="V65" t="str">
        <x:v>SP-Norte</x:v>
      </x:c>
      <x:c r="W65" t="str">
        <x:v>Marcos Lima</x:v>
      </x:c>
      <x:c r="X65" t="str">
        <x:v>Supervisor B</x:v>
      </x:c>
      <x:c r="Y65" t="str">
        <x:v>Rota Norte 02</x:v>
      </x:c>
      <x:c r="Z65" t="str">
        <x:v>Av. Otto Baumgart, 245 - São Paulo/SP</x:v>
      </x:c>
      <x:c r="AA65" t="str">
        <x:v>São Paulo</x:v>
      </x:c>
      <x:c r="AB65" s="50" t="n">
        <x:v>46273.3451388889</x:v>
      </x:c>
      <x:c r="AC65" s="50" t="n">
        <x:v>46273.3493055556</x:v>
      </x:c>
      <x:c r="AD65" s="50" t="n">
        <x:v>46273.3534722222</x:v>
      </x:c>
      <x:c r="AE65" s="50" t="n">
        <x:v>46273.3826388889</x:v>
      </x:c>
      <x:c r="AF65" s="50"/>
      <x:c r="AG65" t="n">
        <x:v>54</x:v>
      </x:c>
      <x:c r="AH65"/>
      <x:c r="AI65" t="str">
        <x:v>Não</x:v>
      </x:c>
      <x:c r="AJ65" t="str">
        <x:v>Não</x:v>
      </x:c>
      <x:c r="AK65" t="n">
        <x:v>90</x:v>
      </x:c>
      <x:c r="AL65" t="n">
        <x:v>0</x:v>
      </x:c>
      <x:c r="AM65" s="64" t="n">
        <x:v>1.3111</x:v>
      </x:c>
      <x:c r="AN65" t="n">
        <x:v>0</x:v>
      </x:c>
      <x:c r="AO65" t="str">
        <x:v>Vermelho</x:v>
      </x:c>
      <x:c r="AP65" t="str">
        <x:v>SLA sintético excedido (tempo acumulado ≥ 100% do SLA)</x:v>
      </x:c>
      <x:c r="AQ65" t="str">
        <x:v>Priorizar avaliação do chamado em Elétrica; SLA demonstrativo comprometido. Supervisor decide o encaminhamento.</x:v>
      </x:c>
      <x:c r="AR65" s="62" t="n">
        <x:v>770</x:v>
      </x:c>
      <x:c r="AS65" t="str">
        <x:v>Médio</x:v>
      </x:c>
      <x:c r="AT65" s="50" t="n">
        <x:v>46273.427083333336</x:v>
      </x:c>
      <x:c r="AU65" t="str">
        <x:v>T03</x:v>
      </x:c>
      <x:c r="AV65" t="str">
        <x:v>T2 original + evolução sintética posterior</x:v>
      </x:c>
    </x:row>
    <x:row r="66">
      <x:c r="A66" t="str">
        <x:v>CH-20260908-015</x:v>
      </x:c>
      <x:c r="B66" t="str">
        <x:v>Botão de Chamada</x:v>
      </x:c>
      <x:c r="C66" t="str">
        <x:v>Botão não responde</x:v>
      </x:c>
      <x:c r="D66" t="str">
        <x:v>Botão de chamada não registra comando.</x:v>
      </x:c>
      <x:c r="E66" t="str">
        <x:v>Concluído</x:v>
      </x:c>
      <x:c r="F66" t="str">
        <x:v>Aplicativo Cliente</x:v>
      </x:c>
      <x:c r="G66" t="str">
        <x:v>E-115</x:v>
      </x:c>
      <x:c r="H66" t="str">
        <x:v>Elevador Social</x:v>
      </x:c>
      <x:c r="I66" t="str">
        <x:v>Microprocessado</x:v>
      </x:c>
      <x:c r="J66" t="str">
        <x:v>Gearless</x:v>
      </x:c>
      <x:c r="K66" t="str">
        <x:v>OTIS</x:v>
      </x:c>
      <x:c r="L66" t="str">
        <x:v>ROT-063</x:v>
      </x:c>
      <x:c r="M66" t="str">
        <x:v>Botoeira</x:v>
      </x:c>
      <x:c r="N66" t="str">
        <x:v>Contato</x:v>
      </x:c>
      <x:c r="O66" t="str">
        <x:v>Mau contato</x:v>
      </x:c>
      <x:c r="P66" t="str">
        <x:v>Falha de comando</x:v>
      </x:c>
      <x:c r="Q66" t="str">
        <x:v>Inspeção técnica e normalização demonstrativas de Botoeira; resolução sintética, sem confirmação de consumo de peças.</x:v>
      </x:c>
      <x:c r="R66" t="str">
        <x:v>Edifício Corporate</x:v>
      </x:c>
      <x:c r="S66" t="str">
        <x:v>Não</x:v>
      </x:c>
      <x:c r="T66" t="str">
        <x:v>Sim</x:v>
      </x:c>
      <x:c r="U66" t="str">
        <x:v>CT-2026-003</x:v>
      </x:c>
      <x:c r="V66" t="str">
        <x:v>SP-Oeste</x:v>
      </x:c>
      <x:c r="W66" t="str">
        <x:v>Ana Costa</x:v>
      </x:c>
      <x:c r="X66" t="str">
        <x:v>Supervisor C</x:v>
      </x:c>
      <x:c r="Y66" t="str">
        <x:v>Rota Oeste 03</x:v>
      </x:c>
      <x:c r="Z66" t="str">
        <x:v>Av. Faria Lima, 3500 - São Paulo/SP</x:v>
      </x:c>
      <x:c r="AA66" t="str">
        <x:v>São Paulo</x:v>
      </x:c>
      <x:c r="AB66" s="50" t="n">
        <x:v>46273.3486111111</x:v>
      </x:c>
      <x:c r="AC66" s="50" t="n">
        <x:v>46273.35</x:v>
      </x:c>
      <x:c r="AD66" s="50" t="n">
        <x:v>46273.3513888889</x:v>
      </x:c>
      <x:c r="AE66" s="50" t="n">
        <x:v>46273.3618055556</x:v>
      </x:c>
      <x:c r="AF66" s="50" t="n">
        <x:v>46273.42152777778</x:v>
      </x:c>
      <x:c r="AG66" t="n">
        <x:v>19</x:v>
      </x:c>
      <x:c r="AH66" t="n">
        <x:v>81</x:v>
      </x:c>
      <x:c r="AI66" t="str">
        <x:v>Não</x:v>
      </x:c>
      <x:c r="AJ66" t="str">
        <x:v>Não</x:v>
      </x:c>
      <x:c r="AK66" t="n">
        <x:v>120</x:v>
      </x:c>
      <x:c r="AL66" t="n">
        <x:v>0</x:v>
      </x:c>
      <x:c r="AM66" s="64" t="n">
        <x:v>0.8333</x:v>
      </x:c>
      <x:c r="AN66" t="n">
        <x:v>2</x:v>
      </x:c>
      <x:c r="AO66" t="str">
        <x:v>Laranja</x:v>
      </x:c>
      <x:c r="AP66" t="str">
        <x:v>janela de intervenção: tempo acumulado ≥ 80% do SLA</x:v>
      </x:c>
      <x:c r="AQ66" t="str">
        <x:v>Encerramento demonstrativo de Botoeira; verificar fechamento e histórico para aprendizado. Sem despacho automático.</x:v>
      </x:c>
      <x:c r="AR66" s="62" t="n">
        <x:v>739</x:v>
      </x:c>
      <x:c r="AS66" t="str">
        <x:v>Baixo</x:v>
      </x:c>
      <x:c r="AT66" s="50" t="n">
        <x:v>46273.427083333336</x:v>
      </x:c>
      <x:c r="AU66" t="str">
        <x:v>T03</x:v>
      </x:c>
      <x:c r="AV66" t="str">
        <x:v>T2 original + evolução sintética posterior</x:v>
      </x:c>
    </x:row>
    <x:row r="67">
      <x:c r="A67" t="str">
        <x:v>CH-20260908-016</x:v>
      </x:c>
      <x:c r="B67" t="str">
        <x:v>Parada Intermitente</x:v>
      </x:c>
      <x:c r="C67" t="str">
        <x:v>Paradas aleatórias</x:v>
      </x:c>
      <x:c r="D67" t="str">
        <x:v>Equipamento interrompe operação de forma intermitente.</x:v>
      </x:c>
      <x:c r="E67" t="str">
        <x:v>Em atendimento</x:v>
      </x:c>
      <x:c r="F67" t="str">
        <x:v>Monitoramento Remoto</x:v>
      </x:c>
      <x:c r="G67" t="str">
        <x:v>E-116</x:v>
      </x:c>
      <x:c r="H67" t="str">
        <x:v>Elevador Social</x:v>
      </x:c>
      <x:c r="I67" t="str">
        <x:v>Microprocessado</x:v>
      </x:c>
      <x:c r="J67" t="str">
        <x:v>Gearless</x:v>
      </x:c>
      <x:c r="K67" t="str">
        <x:v>OTIS</x:v>
      </x:c>
      <x:c r="L67" t="str">
        <x:v>ROT-074</x:v>
      </x:c>
      <x:c r="M67" t="str">
        <x:v>Painel/Comando</x:v>
      </x:c>
      <x:c r="N67" t="str">
        <x:v>Placa</x:v>
      </x:c>
      <x:c r="O67" t="str">
        <x:v>Intermitência</x:v>
      </x:c>
      <x:c r="P67" t="str">
        <x:v>Falha intermitente</x:v>
      </x:c>
      <x:c r="Q67"/>
      <x:c r="R67" t="str">
        <x:v>Condomínio Alameda</x:v>
      </x:c>
      <x:c r="S67" t="str">
        <x:v>Não</x:v>
      </x:c>
      <x:c r="T67" t="str">
        <x:v>Não</x:v>
      </x:c>
      <x:c r="U67" t="str">
        <x:v>CT-2026-004</x:v>
      </x:c>
      <x:c r="V67" t="str">
        <x:v>SP-Sul</x:v>
      </x:c>
      <x:c r="W67" t="str">
        <x:v>Carlos Souza</x:v>
      </x:c>
      <x:c r="X67" t="str">
        <x:v>Supervisor D</x:v>
      </x:c>
      <x:c r="Y67" t="str">
        <x:v>Rota Sul 04</x:v>
      </x:c>
      <x:c r="Z67" t="str">
        <x:v>R. das Acácias, 420 - São Paulo/SP</x:v>
      </x:c>
      <x:c r="AA67" t="str">
        <x:v>São Paulo</x:v>
      </x:c>
      <x:c r="AB67" s="50" t="n">
        <x:v>46273.3520833333</x:v>
      </x:c>
      <x:c r="AC67" s="50" t="n">
        <x:v>46273.3541666667</x:v>
      </x:c>
      <x:c r="AD67" s="50" t="n">
        <x:v>46273.3569444444</x:v>
      </x:c>
      <x:c r="AE67" s="50" t="n">
        <x:v>46273.3722222222</x:v>
      </x:c>
      <x:c r="AF67" s="50"/>
      <x:c r="AG67" t="n">
        <x:v>29</x:v>
      </x:c>
      <x:c r="AH67"/>
      <x:c r="AI67" t="str">
        <x:v>Não</x:v>
      </x:c>
      <x:c r="AJ67" t="str">
        <x:v>Sim</x:v>
      </x:c>
      <x:c r="AK67" t="n">
        <x:v>180</x:v>
      </x:c>
      <x:c r="AL67" t="n">
        <x:v>0</x:v>
      </x:c>
      <x:c r="AM67" s="64" t="n">
        <x:v>0.6</x:v>
      </x:c>
      <x:c r="AN67" t="n">
        <x:v>4</x:v>
      </x:c>
      <x:c r="AO67" t="str">
        <x:v>Laranja</x:v>
      </x:c>
      <x:c r="AP67" t="str">
        <x:v>janela de intervenção: recorrência ≥ 4/30d e equipamento parado</x:v>
      </x:c>
      <x:c r="AQ67" t="str">
        <x:v>Janela de intervenção em Painel/Comando; revisar recorrências (4/30d) e contexto antes de escalar.</x:v>
      </x:c>
      <x:c r="AR67" s="62" t="n">
        <x:v>1564</x:v>
      </x:c>
      <x:c r="AS67" t="str">
        <x:v>Alto</x:v>
      </x:c>
      <x:c r="AT67" s="50" t="n">
        <x:v>46273.427083333336</x:v>
      </x:c>
      <x:c r="AU67" t="str">
        <x:v>T03</x:v>
      </x:c>
      <x:c r="AV67" t="str">
        <x:v>T2 original + evolução sintética posterior</x:v>
      </x:c>
    </x:row>
    <x:row r="68">
      <x:c r="A68" t="str">
        <x:v>CH-20260908-017</x:v>
      </x:c>
      <x:c r="B68" t="str">
        <x:v>Passageiro Preso</x:v>
      </x:c>
      <x:c r="C68" t="str">
        <x:v>Elevador parado entre andares</x:v>
      </x:c>
      <x:c r="D68" t="str">
        <x:v>Cabine imobilizada com passageiro no interior.</x:v>
      </x:c>
      <x:c r="E68" t="str">
        <x:v>Concluído</x:v>
      </x:c>
      <x:c r="F68" t="str">
        <x:v>Central de Atendimento</x:v>
      </x:c>
      <x:c r="G68" t="str">
        <x:v>E-117</x:v>
      </x:c>
      <x:c r="H68" t="str">
        <x:v>Elevador Social</x:v>
      </x:c>
      <x:c r="I68" t="str">
        <x:v>Microprocessado</x:v>
      </x:c>
      <x:c r="J68" t="str">
        <x:v>Gearless</x:v>
      </x:c>
      <x:c r="K68" t="str">
        <x:v>OTIS</x:v>
      </x:c>
      <x:c r="L68" t="str">
        <x:v>ROT-001</x:v>
      </x:c>
      <x:c r="M68" t="str">
        <x:v>Tração</x:v>
      </x:c>
      <x:c r="N68" t="str">
        <x:v>Freio</x:v>
      </x:c>
      <x:c r="O68" t="str">
        <x:v>Travamento</x:v>
      </x:c>
      <x:c r="P68" t="str">
        <x:v>Parada total</x:v>
      </x:c>
      <x:c r="Q68" t="str">
        <x:v>Resgate concluído e equipamento normalizado</x:v>
      </x:c>
      <x:c r="R68" t="str">
        <x:v>Aeroporto Terminal 3</x:v>
      </x:c>
      <x:c r="S68" t="str">
        <x:v>Sim</x:v>
      </x:c>
      <x:c r="T68" t="str">
        <x:v>Sim</x:v>
      </x:c>
      <x:c r="U68" t="str">
        <x:v>CT-2026-005</x:v>
      </x:c>
      <x:c r="V68" t="str">
        <x:v>GRU</x:v>
      </x:c>
      <x:c r="W68" t="str">
        <x:v>Renata Alves</x:v>
      </x:c>
      <x:c r="X68" t="str">
        <x:v>Supervisor A</x:v>
      </x:c>
      <x:c r="Y68" t="str">
        <x:v>Rota GRU 05</x:v>
      </x:c>
      <x:c r="Z68" t="str">
        <x:v>Rod. Hélio Smidt, s/n - Guarulhos/SP</x:v>
      </x:c>
      <x:c r="AA68" t="str">
        <x:v>São Paulo</x:v>
      </x:c>
      <x:c r="AB68" s="50" t="n">
        <x:v>46273.3555555556</x:v>
      </x:c>
      <x:c r="AC68" s="50" t="n">
        <x:v>46273.3583333333</x:v>
      </x:c>
      <x:c r="AD68" s="50" t="n">
        <x:v>46273.3625</x:v>
      </x:c>
      <x:c r="AE68" s="50" t="n">
        <x:v>46273.3763888889</x:v>
      </x:c>
      <x:c r="AF68" s="50" t="n">
        <x:v>46273.3993055556</x:v>
      </x:c>
      <x:c r="AG68" t="n">
        <x:v>30</x:v>
      </x:c>
      <x:c r="AH68" t="n">
        <x:v>28</x:v>
      </x:c>
      <x:c r="AI68" t="str">
        <x:v>Sim</x:v>
      </x:c>
      <x:c r="AJ68" t="str">
        <x:v>Sim</x:v>
      </x:c>
      <x:c r="AK68" t="n">
        <x:v>45</x:v>
      </x:c>
      <x:c r="AL68" t="n">
        <x:v>0</x:v>
      </x:c>
      <x:c r="AM68" s="64" t="n">
        <x:v>1.2889</x:v>
      </x:c>
      <x:c r="AN68" t="n">
        <x:v>0</x:v>
      </x:c>
      <x:c r="AO68" t="str">
        <x:v>Vermelho</x:v>
      </x:c>
      <x:c r="AP68" t="str">
        <x:v>passageiro preso; SLA estourado; carro parado</x:v>
      </x:c>
      <x:c r="AQ68" t="str">
        <x:v>Sem recorrência relevante; acompanhar evolução de Tração.</x:v>
      </x:c>
      <x:c r="AR68" s="62" t="n">
        <x:v>906</x:v>
      </x:c>
      <x:c r="AS68" t="str">
        <x:v>Médio</x:v>
      </x:c>
      <x:c r="AT68" s="50" t="n">
        <x:v>46273.427083333336</x:v>
      </x:c>
      <x:c r="AU68" t="str">
        <x:v>T03</x:v>
      </x:c>
      <x:c r="AV68" t="str">
        <x:v>T2 original + evolução sintética posterior</x:v>
      </x:c>
    </x:row>
    <x:row r="69">
      <x:c r="A69" t="str">
        <x:v>CH-20260908-018</x:v>
      </x:c>
      <x:c r="B69" t="str">
        <x:v>Falha de Nivelamento</x:v>
      </x:c>
      <x:c r="C69" t="str">
        <x:v>Cabine desnivelada</x:v>
      </x:c>
      <x:c r="D69" t="str">
        <x:v>Cabine parou fora do nível do pavimento.</x:v>
      </x:c>
      <x:c r="E69" t="str">
        <x:v>Em atendimento</x:v>
      </x:c>
      <x:c r="F69" t="str">
        <x:v>IoT</x:v>
      </x:c>
      <x:c r="G69" t="str">
        <x:v>E-118</x:v>
      </x:c>
      <x:c r="H69" t="str">
        <x:v>Elevador Social</x:v>
      </x:c>
      <x:c r="I69" t="str">
        <x:v>Microprocessado</x:v>
      </x:c>
      <x:c r="J69" t="str">
        <x:v>Gearless</x:v>
      </x:c>
      <x:c r="K69" t="str">
        <x:v>OTIS</x:v>
      </x:c>
      <x:c r="L69" t="str">
        <x:v>ROT-014</x:v>
      </x:c>
      <x:c r="M69" t="str">
        <x:v>Sensor de Nível</x:v>
      </x:c>
      <x:c r="N69" t="str">
        <x:v>Sensor</x:v>
      </x:c>
      <x:c r="O69" t="str">
        <x:v>Leitura inconsistente</x:v>
      </x:c>
      <x:c r="P69" t="str">
        <x:v>Falha de nivelamento</x:v>
      </x:c>
      <x:c r="Q69"/>
      <x:c r="R69" t="str">
        <x:v>Universidade Central</x:v>
      </x:c>
      <x:c r="S69" t="str">
        <x:v>Não</x:v>
      </x:c>
      <x:c r="T69" t="str">
        <x:v>Sim</x:v>
      </x:c>
      <x:c r="U69" t="str">
        <x:v>CT-2026-006</x:v>
      </x:c>
      <x:c r="V69" t="str">
        <x:v>SP-Leste</x:v>
      </x:c>
      <x:c r="W69" t="str">
        <x:v>Paulo Mendes</x:v>
      </x:c>
      <x:c r="X69" t="str">
        <x:v>Supervisor B</x:v>
      </x:c>
      <x:c r="Y69" t="str">
        <x:v>Rota Leste 06</x:v>
      </x:c>
      <x:c r="Z69" t="str">
        <x:v>Av. Central, 850 - São Paulo/SP</x:v>
      </x:c>
      <x:c r="AA69" t="str">
        <x:v>São Paulo</x:v>
      </x:c>
      <x:c r="AB69" s="50" t="n">
        <x:v>46273.3590277778</x:v>
      </x:c>
      <x:c r="AC69" s="50" t="n">
        <x:v>46273.3625</x:v>
      </x:c>
      <x:c r="AD69" s="50" t="n">
        <x:v>46273.363888888896</x:v>
      </x:c>
      <x:c r="AE69" s="50" t="n">
        <x:v>46273.3888888889</x:v>
      </x:c>
      <x:c r="AF69" s="50"/>
      <x:c r="AG69" t="n">
        <x:v>43</x:v>
      </x:c>
      <x:c r="AH69"/>
      <x:c r="AI69" t="str">
        <x:v>Não</x:v>
      </x:c>
      <x:c r="AJ69" t="str">
        <x:v>Não</x:v>
      </x:c>
      <x:c r="AK69" t="n">
        <x:v>120</x:v>
      </x:c>
      <x:c r="AL69" t="n">
        <x:v>0</x:v>
      </x:c>
      <x:c r="AM69" s="64" t="n">
        <x:v>0.8167</x:v>
      </x:c>
      <x:c r="AN69" t="n">
        <x:v>1</x:v>
      </x:c>
      <x:c r="AO69" t="str">
        <x:v>Laranja</x:v>
      </x:c>
      <x:c r="AP69" t="str">
        <x:v>janela de intervenção: tempo acumulado ≥ 80% do SLA</x:v>
      </x:c>
      <x:c r="AQ69" t="str">
        <x:v>Janela de intervenção em Sensor de Nível; revisar recorrências (1/30d) e contexto antes de escalar.</x:v>
      </x:c>
      <x:c r="AR69" s="62" t="n">
        <x:v>613</x:v>
      </x:c>
      <x:c r="AS69" t="str">
        <x:v>Baixo</x:v>
      </x:c>
      <x:c r="AT69" s="50" t="n">
        <x:v>46273.427083333336</x:v>
      </x:c>
      <x:c r="AU69" t="str">
        <x:v>T03</x:v>
      </x:c>
      <x:c r="AV69" t="str">
        <x:v>T2 original + evolução sintética posterior</x:v>
      </x:c>
    </x:row>
    <x:row r="70">
      <x:c r="A70" t="str">
        <x:v>CH-20260908-019</x:v>
      </x:c>
      <x:c r="B70" t="str">
        <x:v>Porta não fecha</x:v>
      </x:c>
      <x:c r="C70" t="str">
        <x:v>Falha no fechamento</x:v>
      </x:c>
      <x:c r="D70" t="str">
        <x:v>Porta permanece aberta e impede partida.</x:v>
      </x:c>
      <x:c r="E70" t="str">
        <x:v>Em atendimento</x:v>
      </x:c>
      <x:c r="F70" t="str">
        <x:v>Aplicativo Cliente</x:v>
      </x:c>
      <x:c r="G70" t="str">
        <x:v>E-119</x:v>
      </x:c>
      <x:c r="H70" t="str">
        <x:v>Elevador Social</x:v>
      </x:c>
      <x:c r="I70" t="str">
        <x:v>Microprocessado</x:v>
      </x:c>
      <x:c r="J70" t="str">
        <x:v>Gearless</x:v>
      </x:c>
      <x:c r="K70" t="str">
        <x:v>OTIS</x:v>
      </x:c>
      <x:c r="L70" t="str">
        <x:v>ROT-021</x:v>
      </x:c>
      <x:c r="M70" t="str">
        <x:v>Operador de Porta</x:v>
      </x:c>
      <x:c r="N70" t="str">
        <x:v>Sensor de porta</x:v>
      </x:c>
      <x:c r="O70" t="str">
        <x:v>Falha de leitura</x:v>
      </x:c>
      <x:c r="P70" t="str">
        <x:v>Porta aberta</x:v>
      </x:c>
      <x:c r="Q70"/>
      <x:c r="R70" t="str">
        <x:v>Hospital São Paulo</x:v>
      </x:c>
      <x:c r="S70" t="str">
        <x:v>Sim</x:v>
      </x:c>
      <x:c r="T70" t="str">
        <x:v>Sim</x:v>
      </x:c>
      <x:c r="U70" t="str">
        <x:v>CT-2026-001</x:v>
      </x:c>
      <x:c r="V70" t="str">
        <x:v>SP-Centro</x:v>
      </x:c>
      <x:c r="W70" t="str">
        <x:v>João Silva</x:v>
      </x:c>
      <x:c r="X70" t="str">
        <x:v>Supervisor C</x:v>
      </x:c>
      <x:c r="Y70" t="str">
        <x:v>Rota Centro 01</x:v>
      </x:c>
      <x:c r="Z70" t="str">
        <x:v>Av. Paulista, 1000 - São Paulo/SP</x:v>
      </x:c>
      <x:c r="AA70" t="str">
        <x:v>São Paulo</x:v>
      </x:c>
      <x:c r="AB70" s="50" t="n">
        <x:v>46273.3625</x:v>
      </x:c>
      <x:c r="AC70" s="50" t="n">
        <x:v>46273.3666666667</x:v>
      </x:c>
      <x:c r="AD70" s="50" t="n">
        <x:v>46273.3694444444</x:v>
      </x:c>
      <x:c r="AE70" s="50" t="n">
        <x:v>46273.399305555555</x:v>
      </x:c>
      <x:c r="AF70" s="50"/>
      <x:c r="AG70" t="n">
        <x:v>53</x:v>
      </x:c>
      <x:c r="AH70"/>
      <x:c r="AI70" t="str">
        <x:v>Não</x:v>
      </x:c>
      <x:c r="AJ70" t="str">
        <x:v>Não</x:v>
      </x:c>
      <x:c r="AK70" t="n">
        <x:v>60</x:v>
      </x:c>
      <x:c r="AL70" t="n">
        <x:v>0</x:v>
      </x:c>
      <x:c r="AM70" s="64" t="n">
        <x:v>1.55</x:v>
      </x:c>
      <x:c r="AN70" t="n">
        <x:v>2</x:v>
      </x:c>
      <x:c r="AO70" t="str">
        <x:v>Vermelho</x:v>
      </x:c>
      <x:c r="AP70" t="str">
        <x:v>SLA sintético excedido (tempo acumulado ≥ 100% do SLA)</x:v>
      </x:c>
      <x:c r="AQ70" t="str">
        <x:v>Priorizar avaliação do chamado em Operador de Porta; SLA demonstrativo comprometido. Supervisor decide o encaminhamento.</x:v>
      </x:c>
      <x:c r="AR70" s="62" t="n">
        <x:v>718</x:v>
      </x:c>
      <x:c r="AS70" t="str">
        <x:v>Baixo</x:v>
      </x:c>
      <x:c r="AT70" s="50" t="n">
        <x:v>46273.427083333336</x:v>
      </x:c>
      <x:c r="AU70" t="str">
        <x:v>T03</x:v>
      </x:c>
      <x:c r="AV70" t="str">
        <x:v>T2 original + evolução sintética posterior</x:v>
      </x:c>
    </x:row>
    <x:row r="71">
      <x:c r="A71" t="str">
        <x:v>CH-20260908-020</x:v>
      </x:c>
      <x:c r="B71" t="str">
        <x:v>Painel sem comunicação</x:v>
      </x:c>
      <x:c r="C71" t="str">
        <x:v>Falha de comunicação</x:v>
      </x:c>
      <x:c r="D71" t="str">
        <x:v>Painel não responde aos comandos.</x:v>
      </x:c>
      <x:c r="E71" t="str">
        <x:v>Em atendimento</x:v>
      </x:c>
      <x:c r="F71" t="str">
        <x:v>Monitoramento Remoto</x:v>
      </x:c>
      <x:c r="G71" t="str">
        <x:v>E-120</x:v>
      </x:c>
      <x:c r="H71" t="str">
        <x:v>Elevador Social</x:v>
      </x:c>
      <x:c r="I71" t="str">
        <x:v>Microprocessado</x:v>
      </x:c>
      <x:c r="J71" t="str">
        <x:v>Gearless</x:v>
      </x:c>
      <x:c r="K71" t="str">
        <x:v>OTIS</x:v>
      </x:c>
      <x:c r="L71" t="str">
        <x:v>ROT-033</x:v>
      </x:c>
      <x:c r="M71" t="str">
        <x:v>Painel/Comando</x:v>
      </x:c>
      <x:c r="N71" t="str">
        <x:v>Interface</x:v>
      </x:c>
      <x:c r="O71" t="str">
        <x:v>Sem comunicação</x:v>
      </x:c>
      <x:c r="P71" t="str">
        <x:v>Falha lógica</x:v>
      </x:c>
      <x:c r="Q71"/>
      <x:c r="R71" t="str">
        <x:v>Shopping Center Norte</x:v>
      </x:c>
      <x:c r="S71" t="str">
        <x:v>Não</x:v>
      </x:c>
      <x:c r="T71" t="str">
        <x:v>Sim</x:v>
      </x:c>
      <x:c r="U71" t="str">
        <x:v>CT-2026-002</x:v>
      </x:c>
      <x:c r="V71" t="str">
        <x:v>SP-Norte</x:v>
      </x:c>
      <x:c r="W71" t="str">
        <x:v>Marcos Lima</x:v>
      </x:c>
      <x:c r="X71" t="str">
        <x:v>Supervisor D</x:v>
      </x:c>
      <x:c r="Y71" t="str">
        <x:v>Rota Norte 02</x:v>
      </x:c>
      <x:c r="Z71" t="str">
        <x:v>Av. Otto Baumgart, 245 - São Paulo/SP</x:v>
      </x:c>
      <x:c r="AA71" t="str">
        <x:v>São Paulo</x:v>
      </x:c>
      <x:c r="AB71" s="50" t="n">
        <x:v>46273.3659722222</x:v>
      </x:c>
      <x:c r="AC71" s="50" t="n">
        <x:v>46273.3673611111</x:v>
      </x:c>
      <x:c r="AD71" s="50" t="n">
        <x:v>46273.3715277778</x:v>
      </x:c>
      <x:c r="AE71" s="50" t="n">
        <x:v>46273.3826388889</x:v>
      </x:c>
      <x:c r="AF71" s="50"/>
      <x:c r="AG71" t="n">
        <x:v>24</x:v>
      </x:c>
      <x:c r="AH71"/>
      <x:c r="AI71" t="str">
        <x:v>Não</x:v>
      </x:c>
      <x:c r="AJ71" t="str">
        <x:v>Não</x:v>
      </x:c>
      <x:c r="AK71" t="n">
        <x:v>90</x:v>
      </x:c>
      <x:c r="AL71" t="n">
        <x:v>0</x:v>
      </x:c>
      <x:c r="AM71" s="64" t="n">
        <x:v>0.9778</x:v>
      </x:c>
      <x:c r="AN71" t="n">
        <x:v>3</x:v>
      </x:c>
      <x:c r="AO71" t="str">
        <x:v>Laranja</x:v>
      </x:c>
      <x:c r="AP71" t="str">
        <x:v>janela de intervenção: tempo acumulado ≥ 80% do SLA</x:v>
      </x:c>
      <x:c r="AQ71" t="str">
        <x:v>Janela de intervenção em Painel/Comando; revisar recorrências (3/30d) e contexto antes de escalar.</x:v>
      </x:c>
      <x:c r="AR71" s="62" t="n">
        <x:v>1407</x:v>
      </x:c>
      <x:c r="AS71" t="str">
        <x:v>Alto</x:v>
      </x:c>
      <x:c r="AT71" s="50" t="n">
        <x:v>46273.427083333336</x:v>
      </x:c>
      <x:c r="AU71" t="str">
        <x:v>T03</x:v>
      </x:c>
      <x:c r="AV71" t="str">
        <x:v>T2 original + evolução sintética posterior</x:v>
      </x:c>
    </x:row>
    <x:row r="72">
      <x:c r="A72" t="str">
        <x:v>CH-20260908-021</x:v>
      </x:c>
      <x:c r="B72" t="str">
        <x:v>Falha de Tração</x:v>
      </x:c>
      <x:c r="C72" t="str">
        <x:v>Movimento irregular</x:v>
      </x:c>
      <x:c r="D72" t="str">
        <x:v>Equipamento apresenta perda de tração.</x:v>
      </x:c>
      <x:c r="E72" t="str">
        <x:v>Em atendimento</x:v>
      </x:c>
      <x:c r="F72" t="str">
        <x:v>Central de Atendimento</x:v>
      </x:c>
      <x:c r="G72" t="str">
        <x:v>E-121</x:v>
      </x:c>
      <x:c r="H72" t="str">
        <x:v>Elevador Social</x:v>
      </x:c>
      <x:c r="I72" t="str">
        <x:v>Microprocessado</x:v>
      </x:c>
      <x:c r="J72" t="str">
        <x:v>Gearless</x:v>
      </x:c>
      <x:c r="K72" t="str">
        <x:v>OTIS</x:v>
      </x:c>
      <x:c r="L72" t="str">
        <x:v>ROT-041</x:v>
      </x:c>
      <x:c r="M72" t="str">
        <x:v>Máquina de Tração</x:v>
      </x:c>
      <x:c r="N72" t="str">
        <x:v>Inversor</x:v>
      </x:c>
      <x:c r="O72" t="str">
        <x:v>Oscilação</x:v>
      </x:c>
      <x:c r="P72" t="str">
        <x:v>Falha de movimento</x:v>
      </x:c>
      <x:c r="Q72"/>
      <x:c r="R72" t="str">
        <x:v>Edifício Corporate</x:v>
      </x:c>
      <x:c r="S72" t="str">
        <x:v>Não</x:v>
      </x:c>
      <x:c r="T72" t="str">
        <x:v>Sim</x:v>
      </x:c>
      <x:c r="U72" t="str">
        <x:v>CT-2026-003</x:v>
      </x:c>
      <x:c r="V72" t="str">
        <x:v>SP-Oeste</x:v>
      </x:c>
      <x:c r="W72" t="str">
        <x:v>Ana Costa</x:v>
      </x:c>
      <x:c r="X72" t="str">
        <x:v>Supervisor A</x:v>
      </x:c>
      <x:c r="Y72" t="str">
        <x:v>Rota Oeste 03</x:v>
      </x:c>
      <x:c r="Z72" t="str">
        <x:v>Av. Faria Lima, 3500 - São Paulo/SP</x:v>
      </x:c>
      <x:c r="AA72" t="str">
        <x:v>São Paulo</x:v>
      </x:c>
      <x:c r="AB72" s="50" t="n">
        <x:v>46273.3694444444</x:v>
      </x:c>
      <x:c r="AC72" s="50" t="n">
        <x:v>46273.3715277778</x:v>
      </x:c>
      <x:c r="AD72" s="50" t="n">
        <x:v>46273.372916666696</x:v>
      </x:c>
      <x:c r="AE72" s="50" t="n">
        <x:v>46273.3888888889</x:v>
      </x:c>
      <x:c r="AF72" s="50"/>
      <x:c r="AG72" t="n">
        <x:v>28</x:v>
      </x:c>
      <x:c r="AH72"/>
      <x:c r="AI72" t="str">
        <x:v>Não</x:v>
      </x:c>
      <x:c r="AJ72" t="str">
        <x:v>Sim</x:v>
      </x:c>
      <x:c r="AK72" t="n">
        <x:v>120</x:v>
      </x:c>
      <x:c r="AL72" t="n">
        <x:v>0</x:v>
      </x:c>
      <x:c r="AM72" s="64" t="n">
        <x:v>0.6917</x:v>
      </x:c>
      <x:c r="AN72" t="n">
        <x:v>1</x:v>
      </x:c>
      <x:c r="AO72" t="str">
        <x:v>Amarelo</x:v>
      </x:c>
      <x:c r="AP72" t="str">
        <x:v>atenção: tempo acumulado ≥ 55% do SLA</x:v>
      </x:c>
      <x:c r="AQ72" t="str">
        <x:v>Acompanhar sinais em Máquina de Tração; correlacionar histórico e SLA antes de recomendar intervenção.</x:v>
      </x:c>
      <x:c r="AR72" s="62" t="n">
        <x:v>1212</x:v>
      </x:c>
      <x:c r="AS72" t="str">
        <x:v>Alto</x:v>
      </x:c>
      <x:c r="AT72" s="50" t="n">
        <x:v>46273.427083333336</x:v>
      </x:c>
      <x:c r="AU72" t="str">
        <x:v>T03</x:v>
      </x:c>
      <x:c r="AV72" t="str">
        <x:v>T2 original + evolução sintética posterior</x:v>
      </x:c>
    </x:row>
    <x:row r="73">
      <x:c r="A73" t="str">
        <x:v>CH-20260908-022</x:v>
      </x:c>
      <x:c r="B73" t="str">
        <x:v>Iluminação de Cabine</x:v>
      </x:c>
      <x:c r="C73" t="str">
        <x:v>Iluminação inoperante</x:v>
      </x:c>
      <x:c r="D73" t="str">
        <x:v>Cabine com iluminação parcial ou total indisponível.</x:v>
      </x:c>
      <x:c r="E73" t="str">
        <x:v>Em atendimento</x:v>
      </x:c>
      <x:c r="F73" t="str">
        <x:v>IoT</x:v>
      </x:c>
      <x:c r="G73" t="str">
        <x:v>E-122</x:v>
      </x:c>
      <x:c r="H73" t="str">
        <x:v>Elevador Social</x:v>
      </x:c>
      <x:c r="I73" t="str">
        <x:v>Microprocessado</x:v>
      </x:c>
      <x:c r="J73" t="str">
        <x:v>Gearless</x:v>
      </x:c>
      <x:c r="K73" t="str">
        <x:v>OTIS</x:v>
      </x:c>
      <x:c r="L73" t="str">
        <x:v>ROT-052</x:v>
      </x:c>
      <x:c r="M73" t="str">
        <x:v>Elétrica</x:v>
      </x:c>
      <x:c r="N73" t="str">
        <x:v>Fonte</x:v>
      </x:c>
      <x:c r="O73" t="str">
        <x:v>Sem alimentação</x:v>
      </x:c>
      <x:c r="P73" t="str">
        <x:v>Falha elétrica</x:v>
      </x:c>
      <x:c r="Q73"/>
      <x:c r="R73" t="str">
        <x:v>Condomínio Alameda</x:v>
      </x:c>
      <x:c r="S73" t="str">
        <x:v>Não</x:v>
      </x:c>
      <x:c r="T73" t="str">
        <x:v>Não</x:v>
      </x:c>
      <x:c r="U73" t="str">
        <x:v>CT-2026-004</x:v>
      </x:c>
      <x:c r="V73" t="str">
        <x:v>SP-Sul</x:v>
      </x:c>
      <x:c r="W73" t="str">
        <x:v>Carlos Souza</x:v>
      </x:c>
      <x:c r="X73" t="str">
        <x:v>Supervisor B</x:v>
      </x:c>
      <x:c r="Y73" t="str">
        <x:v>Rota Sul 04</x:v>
      </x:c>
      <x:c r="Z73" t="str">
        <x:v>R. das Acácias, 420 - São Paulo/SP</x:v>
      </x:c>
      <x:c r="AA73" t="str">
        <x:v>São Paulo</x:v>
      </x:c>
      <x:c r="AB73" s="50" t="n">
        <x:v>46273.372916666696</x:v>
      </x:c>
      <x:c r="AC73" s="50" t="n">
        <x:v>46273.3756944445</x:v>
      </x:c>
      <x:c r="AD73" s="50" t="n">
        <x:v>46273.3784722222</x:v>
      </x:c>
      <x:c r="AE73" s="50" t="n">
        <x:v>46273.39930555559</x:v>
      </x:c>
      <x:c r="AF73" s="50"/>
      <x:c r="AG73" t="n">
        <x:v>38</x:v>
      </x:c>
      <x:c r="AH73"/>
      <x:c r="AI73" t="str">
        <x:v>Não</x:v>
      </x:c>
      <x:c r="AJ73" t="str">
        <x:v>Não</x:v>
      </x:c>
      <x:c r="AK73" t="n">
        <x:v>180</x:v>
      </x:c>
      <x:c r="AL73" t="n">
        <x:v>0</x:v>
      </x:c>
      <x:c r="AM73" s="64" t="n">
        <x:v>0.4333</x:v>
      </x:c>
      <x:c r="AN73" t="n">
        <x:v>0</x:v>
      </x:c>
      <x:c r="AO73" t="str">
        <x:v>Verde</x:v>
      </x:c>
      <x:c r="AP73" t="str">
        <x:v>operação dentro dos limiares sintéticos da demonstração</x:v>
      </x:c>
      <x:c r="AQ73" t="str">
        <x:v>Manter acompanhamento do componente Elétrica e dos indicadores operacionais.</x:v>
      </x:c>
      <x:c r="AR73" s="62" t="n">
        <x:v>897</x:v>
      </x:c>
      <x:c r="AS73" t="str">
        <x:v>Médio</x:v>
      </x:c>
      <x:c r="AT73" s="50" t="n">
        <x:v>46273.427083333336</x:v>
      </x:c>
      <x:c r="AU73" t="str">
        <x:v>T03</x:v>
      </x:c>
      <x:c r="AV73" t="str">
        <x:v>T2 original + evolução sintética posterior</x:v>
      </x:c>
    </x:row>
    <x:row r="74">
      <x:c r="A74" t="str">
        <x:v>CH-20260908-023</x:v>
      </x:c>
      <x:c r="B74" t="str">
        <x:v>Botão de Chamada</x:v>
      </x:c>
      <x:c r="C74" t="str">
        <x:v>Botão não responde</x:v>
      </x:c>
      <x:c r="D74" t="str">
        <x:v>Botão de chamada não registra comando.</x:v>
      </x:c>
      <x:c r="E74" t="str">
        <x:v>Em atendimento</x:v>
      </x:c>
      <x:c r="F74" t="str">
        <x:v>Aplicativo Cliente</x:v>
      </x:c>
      <x:c r="G74" t="str">
        <x:v>E-123</x:v>
      </x:c>
      <x:c r="H74" t="str">
        <x:v>Elevador Social</x:v>
      </x:c>
      <x:c r="I74" t="str">
        <x:v>Microprocessado</x:v>
      </x:c>
      <x:c r="J74" t="str">
        <x:v>Gearless</x:v>
      </x:c>
      <x:c r="K74" t="str">
        <x:v>OTIS</x:v>
      </x:c>
      <x:c r="L74" t="str">
        <x:v>ROT-063</x:v>
      </x:c>
      <x:c r="M74" t="str">
        <x:v>Botoeira</x:v>
      </x:c>
      <x:c r="N74" t="str">
        <x:v>Contato</x:v>
      </x:c>
      <x:c r="O74" t="str">
        <x:v>Mau contato</x:v>
      </x:c>
      <x:c r="P74" t="str">
        <x:v>Falha de comando</x:v>
      </x:c>
      <x:c r="Q74"/>
      <x:c r="R74" t="str">
        <x:v>Aeroporto Terminal 3</x:v>
      </x:c>
      <x:c r="S74" t="str">
        <x:v>Sim</x:v>
      </x:c>
      <x:c r="T74" t="str">
        <x:v>Sim</x:v>
      </x:c>
      <x:c r="U74" t="str">
        <x:v>CT-2026-005</x:v>
      </x:c>
      <x:c r="V74" t="str">
        <x:v>GRU</x:v>
      </x:c>
      <x:c r="W74" t="str">
        <x:v>Renata Alves</x:v>
      </x:c>
      <x:c r="X74" t="str">
        <x:v>Supervisor C</x:v>
      </x:c>
      <x:c r="Y74" t="str">
        <x:v>Rota GRU 05</x:v>
      </x:c>
      <x:c r="Z74" t="str">
        <x:v>Rod. Hélio Smidt, s/n - Guarulhos/SP</x:v>
      </x:c>
      <x:c r="AA74" t="str">
        <x:v>São Paulo</x:v>
      </x:c>
      <x:c r="AB74" s="50" t="n">
        <x:v>46273.3784722222</x:v>
      </x:c>
      <x:c r="AC74" s="50" t="n">
        <x:v>46273.3819444444</x:v>
      </x:c>
      <x:c r="AD74" s="50" t="n">
        <x:v>46273.386111111104</x:v>
      </x:c>
      <x:c r="AE74" s="50" t="n">
        <x:v>46273.41249999998</x:v>
      </x:c>
      <x:c r="AF74" s="50"/>
      <x:c r="AG74" t="n">
        <x:v>49</x:v>
      </x:c>
      <x:c r="AH74"/>
      <x:c r="AI74" t="str">
        <x:v>Não</x:v>
      </x:c>
      <x:c r="AJ74" t="str">
        <x:v>Não</x:v>
      </x:c>
      <x:c r="AK74" t="n">
        <x:v>45</x:v>
      </x:c>
      <x:c r="AL74" t="n">
        <x:v>0</x:v>
      </x:c>
      <x:c r="AM74" s="64" t="n">
        <x:v>1.5556</x:v>
      </x:c>
      <x:c r="AN74" t="n">
        <x:v>2</x:v>
      </x:c>
      <x:c r="AO74" t="str">
        <x:v>Vermelho</x:v>
      </x:c>
      <x:c r="AP74" t="str">
        <x:v>SLA sintético excedido (tempo acumulado ≥ 100% do SLA)</x:v>
      </x:c>
      <x:c r="AQ74" t="str">
        <x:v>Priorizar avaliação do chamado em Botoeira; SLA demonstrativo comprometido. Supervisor decide o encaminhamento.</x:v>
      </x:c>
      <x:c r="AR74" s="62" t="n">
        <x:v>545</x:v>
      </x:c>
      <x:c r="AS74" t="str">
        <x:v>Baixo</x:v>
      </x:c>
      <x:c r="AT74" s="50" t="n">
        <x:v>46273.427083333336</x:v>
      </x:c>
      <x:c r="AU74" t="str">
        <x:v>T03</x:v>
      </x:c>
      <x:c r="AV74" t="str">
        <x:v>T2 original + evolução sintética posterior</x:v>
      </x:c>
    </x:row>
    <x:row r="75">
      <x:c r="A75" t="str">
        <x:v>CH-20260908-024</x:v>
      </x:c>
      <x:c r="B75" t="str">
        <x:v>Parada Intermitente</x:v>
      </x:c>
      <x:c r="C75" t="str">
        <x:v>Paradas aleatórias</x:v>
      </x:c>
      <x:c r="D75" t="str">
        <x:v>Equipamento interrompe operação de forma intermitente.</x:v>
      </x:c>
      <x:c r="E75" t="str">
        <x:v>Em atendimento</x:v>
      </x:c>
      <x:c r="F75" t="str">
        <x:v>Monitoramento Remoto</x:v>
      </x:c>
      <x:c r="G75" t="str">
        <x:v>E-124</x:v>
      </x:c>
      <x:c r="H75" t="str">
        <x:v>Elevador Social</x:v>
      </x:c>
      <x:c r="I75" t="str">
        <x:v>Microprocessado</x:v>
      </x:c>
      <x:c r="J75" t="str">
        <x:v>Gearless</x:v>
      </x:c>
      <x:c r="K75" t="str">
        <x:v>OTIS</x:v>
      </x:c>
      <x:c r="L75" t="str">
        <x:v>ROT-074</x:v>
      </x:c>
      <x:c r="M75" t="str">
        <x:v>Painel/Comando</x:v>
      </x:c>
      <x:c r="N75" t="str">
        <x:v>Placa</x:v>
      </x:c>
      <x:c r="O75" t="str">
        <x:v>Intermitência</x:v>
      </x:c>
      <x:c r="P75" t="str">
        <x:v>Falha intermitente</x:v>
      </x:c>
      <x:c r="Q75"/>
      <x:c r="R75" t="str">
        <x:v>Universidade Central</x:v>
      </x:c>
      <x:c r="S75" t="str">
        <x:v>Não</x:v>
      </x:c>
      <x:c r="T75" t="str">
        <x:v>Sim</x:v>
      </x:c>
      <x:c r="U75" t="str">
        <x:v>CT-2026-006</x:v>
      </x:c>
      <x:c r="V75" t="str">
        <x:v>SP-Leste</x:v>
      </x:c>
      <x:c r="W75" t="str">
        <x:v>Paulo Mendes</x:v>
      </x:c>
      <x:c r="X75" t="str">
        <x:v>Supervisor D</x:v>
      </x:c>
      <x:c r="Y75" t="str">
        <x:v>Rota Leste 06</x:v>
      </x:c>
      <x:c r="Z75" t="str">
        <x:v>Av. Central, 850 - São Paulo/SP</x:v>
      </x:c>
      <x:c r="AA75" t="str">
        <x:v>São Paulo</x:v>
      </x:c>
      <x:c r="AB75" s="50" t="n">
        <x:v>46273.3854166667</x:v>
      </x:c>
      <x:c r="AC75" s="50" t="n">
        <x:v>46273.3895833333</x:v>
      </x:c>
      <x:c r="AD75" s="50" t="n">
        <x:v>46273.3909722222</x:v>
      </x:c>
      <x:c r="AE75" s="50" t="n">
        <x:v>46273.423611111146</x:v>
      </x:c>
      <x:c r="AF75" s="50"/>
      <x:c r="AG75" t="n">
        <x:v>55</x:v>
      </x:c>
      <x:c r="AH75"/>
      <x:c r="AI75" t="str">
        <x:v>Não</x:v>
      </x:c>
      <x:c r="AJ75" t="str">
        <x:v>Sim</x:v>
      </x:c>
      <x:c r="AK75" t="n">
        <x:v>120</x:v>
      </x:c>
      <x:c r="AL75" t="n">
        <x:v>0</x:v>
      </x:c>
      <x:c r="AM75" s="64" t="n">
        <x:v>0.5</x:v>
      </x:c>
      <x:c r="AN75" t="n">
        <x:v>4</x:v>
      </x:c>
      <x:c r="AO75" t="str">
        <x:v>Laranja</x:v>
      </x:c>
      <x:c r="AP75" t="str">
        <x:v>janela de intervenção: recorrência ≥ 4/30d e equipamento parado</x:v>
      </x:c>
      <x:c r="AQ75" t="str">
        <x:v>Janela de intervenção em Painel/Comando; revisar recorrências (4/30d) e contexto antes de escalar.</x:v>
      </x:c>
      <x:c r="AR75" s="62" t="n">
        <x:v>1386</x:v>
      </x:c>
      <x:c r="AS75" t="str">
        <x:v>Alto</x:v>
      </x:c>
      <x:c r="AT75" s="50" t="n">
        <x:v>46273.427083333336</x:v>
      </x:c>
      <x:c r="AU75" t="str">
        <x:v>T03</x:v>
      </x:c>
      <x:c r="AV75" t="str">
        <x:v>T2 original + evolução sintética posterior</x:v>
      </x:c>
    </x:row>
    <x:row r="76">
      <x:c r="A76" t="str">
        <x:v>CH-20260908-025</x:v>
      </x:c>
      <x:c r="B76" t="str">
        <x:v>Falha de Tração</x:v>
      </x:c>
      <x:c r="C76" t="str">
        <x:v>Movimento irregular</x:v>
      </x:c>
      <x:c r="D76" t="str">
        <x:v>Equipamento apresenta perda de tração.</x:v>
      </x:c>
      <x:c r="E76" t="str">
        <x:v>Em atendimento</x:v>
      </x:c>
      <x:c r="F76" t="str">
        <x:v>Central de Atendimento</x:v>
      </x:c>
      <x:c r="G76" t="str">
        <x:v>E-125</x:v>
      </x:c>
      <x:c r="H76" t="str">
        <x:v>Elevador Social</x:v>
      </x:c>
      <x:c r="I76" t="str">
        <x:v>Microprocessado</x:v>
      </x:c>
      <x:c r="J76" t="str">
        <x:v>Gearless</x:v>
      </x:c>
      <x:c r="K76" t="str">
        <x:v>OTIS</x:v>
      </x:c>
      <x:c r="L76" t="str">
        <x:v>ROT-041</x:v>
      </x:c>
      <x:c r="M76" t="str">
        <x:v>Máquina de Tração</x:v>
      </x:c>
      <x:c r="N76" t="str">
        <x:v>Inversor</x:v>
      </x:c>
      <x:c r="O76" t="str">
        <x:v>Oscilação</x:v>
      </x:c>
      <x:c r="P76" t="str">
        <x:v>Falha de movimento</x:v>
      </x:c>
      <x:c r="Q76"/>
      <x:c r="R76" t="str">
        <x:v>Aeroporto Terminal 3</x:v>
      </x:c>
      <x:c r="S76" t="str">
        <x:v>Sim</x:v>
      </x:c>
      <x:c r="T76" t="str">
        <x:v>Sim</x:v>
      </x:c>
      <x:c r="U76" t="str">
        <x:v>CT-2026-005</x:v>
      </x:c>
      <x:c r="V76" t="str">
        <x:v>GRU</x:v>
      </x:c>
      <x:c r="W76" t="str">
        <x:v>Renata Alves</x:v>
      </x:c>
      <x:c r="X76" t="str">
        <x:v>Supervisor A</x:v>
      </x:c>
      <x:c r="Y76" t="str">
        <x:v>Rota GRU 05</x:v>
      </x:c>
      <x:c r="Z76" t="str">
        <x:v>Rod. Hélio Smidt, s/n - Guarulhos/SP</x:v>
      </x:c>
      <x:c r="AA76" t="str">
        <x:v>São Paulo</x:v>
      </x:c>
      <x:c r="AB76" s="50" t="n">
        <x:v>46273.4</x:v>
      </x:c>
      <x:c r="AC76" s="50" t="n">
        <x:v>46273.402083333334</x:v>
      </x:c>
      <x:c r="AD76" s="50" t="n">
        <x:v>46273.40555555555</x:v>
      </x:c>
      <x:c r="AE76" s="50" t="n">
        <x:v>46273.427083333336</x:v>
      </x:c>
      <x:c r="AF76" s="50"/>
      <x:c r="AG76" t="n">
        <x:v>39</x:v>
      </x:c>
      <x:c r="AH76"/>
      <x:c r="AI76" t="str">
        <x:v>Não</x:v>
      </x:c>
      <x:c r="AJ76" t="str">
        <x:v>Sim</x:v>
      </x:c>
      <x:c r="AK76" t="n">
        <x:v>45</x:v>
      </x:c>
      <x:c r="AL76" t="n">
        <x:v>0</x:v>
      </x:c>
      <x:c r="AM76" s="64" t="n">
        <x:v>0.8667</x:v>
      </x:c>
      <x:c r="AN76" t="n">
        <x:v>1</x:v>
      </x:c>
      <x:c r="AO76" t="str">
        <x:v>Laranja</x:v>
      </x:c>
      <x:c r="AP76" t="str">
        <x:v>janela de intervenção: tempo acumulado ≥ 80% do SLA</x:v>
      </x:c>
      <x:c r="AQ76" t="str">
        <x:v>Janela de intervenção em Máquina de Tração; revisar recorrências (1/30d) e contexto antes de escalar.</x:v>
      </x:c>
      <x:c r="AR76" s="62" t="n">
        <x:v>1297.5</x:v>
      </x:c>
      <x:c r="AS76" t="str">
        <x:v>Alto</x:v>
      </x:c>
      <x:c r="AT76" s="50" t="n">
        <x:v>46273.427083333336</x:v>
      </x:c>
      <x:c r="AU76" t="str">
        <x:v>T03</x:v>
      </x:c>
      <x:c r="AV76" t="str">
        <x:v>Ocorrência adicional sintética; perfil inspirado em CH-20260908-005</x:v>
      </x:c>
    </x:row>
    <x:row r="77">
      <x:c r="A77" t="str">
        <x:v>CH-20260908-026</x:v>
      </x:c>
      <x:c r="B77" t="str">
        <x:v>Painel sem comunicação</x:v>
      </x:c>
      <x:c r="C77" t="str">
        <x:v>Falha de comunicação</x:v>
      </x:c>
      <x:c r="D77" t="str">
        <x:v>Painel não responde aos comandos.</x:v>
      </x:c>
      <x:c r="E77" t="str">
        <x:v>Técnico a caminho</x:v>
      </x:c>
      <x:c r="F77" t="str">
        <x:v>Monitoramento Remoto</x:v>
      </x:c>
      <x:c r="G77" t="str">
        <x:v>E-126</x:v>
      </x:c>
      <x:c r="H77" t="str">
        <x:v>Elevador Social</x:v>
      </x:c>
      <x:c r="I77" t="str">
        <x:v>Microprocessado</x:v>
      </x:c>
      <x:c r="J77" t="str">
        <x:v>Gearless</x:v>
      </x:c>
      <x:c r="K77" t="str">
        <x:v>OTIS</x:v>
      </x:c>
      <x:c r="L77" t="str">
        <x:v>ROT-033</x:v>
      </x:c>
      <x:c r="M77" t="str">
        <x:v>Painel/Comando</x:v>
      </x:c>
      <x:c r="N77" t="str">
        <x:v>Interface</x:v>
      </x:c>
      <x:c r="O77" t="str">
        <x:v>Sem comunicação</x:v>
      </x:c>
      <x:c r="P77" t="str">
        <x:v>Falha lógica</x:v>
      </x:c>
      <x:c r="Q77"/>
      <x:c r="R77" t="str">
        <x:v>Universidade Central</x:v>
      </x:c>
      <x:c r="S77" t="str">
        <x:v>Não</x:v>
      </x:c>
      <x:c r="T77" t="str">
        <x:v>Sim</x:v>
      </x:c>
      <x:c r="U77" t="str">
        <x:v>CT-2026-006</x:v>
      </x:c>
      <x:c r="V77" t="str">
        <x:v>SP-Leste</x:v>
      </x:c>
      <x:c r="W77" t="str">
        <x:v>Paulo Mendes</x:v>
      </x:c>
      <x:c r="X77" t="str">
        <x:v>Supervisor D</x:v>
      </x:c>
      <x:c r="Y77" t="str">
        <x:v>Rota Leste 06</x:v>
      </x:c>
      <x:c r="Z77" t="str">
        <x:v>Av. Central, 850 - São Paulo/SP</x:v>
      </x:c>
      <x:c r="AA77" t="str">
        <x:v>São Paulo</x:v>
      </x:c>
      <x:c r="AB77" s="50" t="n">
        <x:v>46273.40972222222</x:v>
      </x:c>
      <x:c r="AC77" s="50" t="n">
        <x:v>46273.4125</x:v>
      </x:c>
      <x:c r="AD77" s="50" t="n">
        <x:v>46273.416666666664</x:v>
      </x:c>
      <x:c r="AE77" s="50"/>
      <x:c r="AF77" s="50"/>
      <x:c r="AG77"/>
      <x:c r="AH77"/>
      <x:c r="AI77" t="str">
        <x:v>Não</x:v>
      </x:c>
      <x:c r="AJ77" t="str">
        <x:v>Não</x:v>
      </x:c>
      <x:c r="AK77" t="n">
        <x:v>120</x:v>
      </x:c>
      <x:c r="AL77" t="n">
        <x:v>27</x:v>
      </x:c>
      <x:c r="AM77" s="64" t="n">
        <x:v>0.2083</x:v>
      </x:c>
      <x:c r="AN77" t="n">
        <x:v>3</x:v>
      </x:c>
      <x:c r="AO77" t="str">
        <x:v>Amarelo</x:v>
      </x:c>
      <x:c r="AP77" t="str">
        <x:v>atenção: recorrências em 30 dias</x:v>
      </x:c>
      <x:c r="AQ77" t="str">
        <x:v>Acompanhar sinais em Painel/Comando; correlacionar histórico e SLA antes de recomendar intervenção.</x:v>
      </x:c>
      <x:c r="AR77" s="62" t="n">
        <x:v>1357</x:v>
      </x:c>
      <x:c r="AS77" t="str">
        <x:v>Alto</x:v>
      </x:c>
      <x:c r="AT77" s="50" t="n">
        <x:v>46273.427083333336</x:v>
      </x:c>
      <x:c r="AU77" t="str">
        <x:v>T03</x:v>
      </x:c>
      <x:c r="AV77" t="str">
        <x:v>Ocorrência adicional sintética; perfil inspirado em CH-20260908-012</x:v>
      </x:c>
    </x:row>
    <x:row r="78">
      <x:c r="A78" t="str">
        <x:v>CH-20260908-027</x:v>
      </x:c>
      <x:c r="B78" t="str">
        <x:v>Porta não fecha</x:v>
      </x:c>
      <x:c r="C78" t="str">
        <x:v>Falha no fechamento</x:v>
      </x:c>
      <x:c r="D78" t="str">
        <x:v>Porta permanece aberta e impede partida.</x:v>
      </x:c>
      <x:c r="E78" t="str">
        <x:v>Contactado</x:v>
      </x:c>
      <x:c r="F78" t="str">
        <x:v>Aplicativo Cliente</x:v>
      </x:c>
      <x:c r="G78" t="str">
        <x:v>E-127</x:v>
      </x:c>
      <x:c r="H78" t="str">
        <x:v>Elevador Social</x:v>
      </x:c>
      <x:c r="I78" t="str">
        <x:v>Microprocessado</x:v>
      </x:c>
      <x:c r="J78" t="str">
        <x:v>Gearless</x:v>
      </x:c>
      <x:c r="K78" t="str">
        <x:v>OTIS</x:v>
      </x:c>
      <x:c r="L78" t="str">
        <x:v>ROT-021</x:v>
      </x:c>
      <x:c r="M78" t="str">
        <x:v>Operador de Porta</x:v>
      </x:c>
      <x:c r="N78" t="str">
        <x:v>Sensor de porta</x:v>
      </x:c>
      <x:c r="O78" t="str">
        <x:v>Falha de leitura</x:v>
      </x:c>
      <x:c r="P78" t="str">
        <x:v>Porta aberta</x:v>
      </x:c>
      <x:c r="Q78"/>
      <x:c r="R78" t="str">
        <x:v>Hospital São Paulo</x:v>
      </x:c>
      <x:c r="S78" t="str">
        <x:v>Sim</x:v>
      </x:c>
      <x:c r="T78" t="str">
        <x:v>Sim</x:v>
      </x:c>
      <x:c r="U78" t="str">
        <x:v>CT-2026-001</x:v>
      </x:c>
      <x:c r="V78" t="str">
        <x:v>SP-Centro</x:v>
      </x:c>
      <x:c r="W78" t="str">
        <x:v>João Silva</x:v>
      </x:c>
      <x:c r="X78" t="str">
        <x:v>Supervisor C</x:v>
      </x:c>
      <x:c r="Y78" t="str">
        <x:v>Rota Centro 01</x:v>
      </x:c>
      <x:c r="Z78" t="str">
        <x:v>Av. Paulista, 1000 - São Paulo/SP</x:v>
      </x:c>
      <x:c r="AA78" t="str">
        <x:v>São Paulo</x:v>
      </x:c>
      <x:c r="AB78" s="50" t="n">
        <x:v>46273.419444444444</x:v>
      </x:c>
      <x:c r="AC78" s="50" t="n">
        <x:v>46273.42291666667</x:v>
      </x:c>
      <x:c r="AD78" s="50"/>
      <x:c r="AE78" s="50"/>
      <x:c r="AF78" s="50"/>
      <x:c r="AG78"/>
      <x:c r="AH78"/>
      <x:c r="AI78" t="str">
        <x:v>Não</x:v>
      </x:c>
      <x:c r="AJ78" t="str">
        <x:v>Não</x:v>
      </x:c>
      <x:c r="AK78" t="n">
        <x:v>60</x:v>
      </x:c>
      <x:c r="AL78" t="n">
        <x:v>54</x:v>
      </x:c>
      <x:c r="AM78" s="64" t="n">
        <x:v>0.1833</x:v>
      </x:c>
      <x:c r="AN78" t="n">
        <x:v>2</x:v>
      </x:c>
      <x:c r="AO78" t="str">
        <x:v>Amarelo</x:v>
      </x:c>
      <x:c r="AP78" t="str">
        <x:v>atenção: recorrências em 30 dias</x:v>
      </x:c>
      <x:c r="AQ78" t="str">
        <x:v>Acompanhar sinais em Operador de Porta; correlacionar histórico e SLA antes de recomendar intervenção.</x:v>
      </x:c>
      <x:c r="AR78" s="62" t="n">
        <x:v>833.5</x:v>
      </x:c>
      <x:c r="AS78" t="str">
        <x:v>Baixo</x:v>
      </x:c>
      <x:c r="AT78" s="50" t="n">
        <x:v>46273.427083333336</x:v>
      </x:c>
      <x:c r="AU78" t="str">
        <x:v>T03</x:v>
      </x:c>
      <x:c r="AV78" t="str">
        <x:v>Ocorrência adicional sintética; perfil inspirado em CH-20260908-019</x:v>
      </x:c>
    </x:row>
    <x:row r="79">
      <x:c r="A79" t="str">
        <x:v>CH-20260908-001</x:v>
      </x:c>
      <x:c r="B79" t="str">
        <x:v>Passageiro Preso</x:v>
      </x:c>
      <x:c r="C79" t="str">
        <x:v>Elevador parado entre andares</x:v>
      </x:c>
      <x:c r="D79" t="str">
        <x:v>Cabine imobilizada com passageiro no interior.</x:v>
      </x:c>
      <x:c r="E79" t="str">
        <x:v>Concluído</x:v>
      </x:c>
      <x:c r="F79" t="str">
        <x:v>Central de Atendimento</x:v>
      </x:c>
      <x:c r="G79" t="str">
        <x:v>E-101</x:v>
      </x:c>
      <x:c r="H79" t="str">
        <x:v>Elevador Social</x:v>
      </x:c>
      <x:c r="I79" t="str">
        <x:v>Microprocessado</x:v>
      </x:c>
      <x:c r="J79" t="str">
        <x:v>Gearless</x:v>
      </x:c>
      <x:c r="K79" t="str">
        <x:v>OTIS</x:v>
      </x:c>
      <x:c r="L79" t="str">
        <x:v>ROT-001</x:v>
      </x:c>
      <x:c r="M79" t="str">
        <x:v>Tração</x:v>
      </x:c>
      <x:c r="N79" t="str">
        <x:v>Freio</x:v>
      </x:c>
      <x:c r="O79" t="str">
        <x:v>Travamento</x:v>
      </x:c>
      <x:c r="P79" t="str">
        <x:v>Parada total</x:v>
      </x:c>
      <x:c r="Q79" t="str">
        <x:v>Resgate concluído e equipamento normalizado</x:v>
      </x:c>
      <x:c r="R79" t="str">
        <x:v>Hospital São Paulo</x:v>
      </x:c>
      <x:c r="S79" t="str">
        <x:v>Sim</x:v>
      </x:c>
      <x:c r="T79" t="str">
        <x:v>Sim</x:v>
      </x:c>
      <x:c r="U79" t="str">
        <x:v>CT-2026-001</x:v>
      </x:c>
      <x:c r="V79" t="str">
        <x:v>SP-Centro</x:v>
      </x:c>
      <x:c r="W79" t="str">
        <x:v>João Silva</x:v>
      </x:c>
      <x:c r="X79" t="str">
        <x:v>Supervisor A</x:v>
      </x:c>
      <x:c r="Y79" t="str">
        <x:v>Rota Centro 01</x:v>
      </x:c>
      <x:c r="Z79" t="str">
        <x:v>Av. Paulista, 1000 - São Paulo/SP</x:v>
      </x:c>
      <x:c r="AA79" t="str">
        <x:v>São Paulo</x:v>
      </x:c>
      <x:c r="AB79" s="50" t="n">
        <x:v>46273.3055555556</x:v>
      </x:c>
      <x:c r="AC79" s="50" t="n">
        <x:v>46273.3076388889</x:v>
      </x:c>
      <x:c r="AD79" s="50" t="n">
        <x:v>46273.3104166667</x:v>
      </x:c>
      <x:c r="AE79" s="50" t="n">
        <x:v>46273.3201388889</x:v>
      </x:c>
      <x:c r="AF79" s="50" t="n">
        <x:v>46273.3430555556</x:v>
      </x:c>
      <x:c r="AG79" t="n">
        <x:v>21</x:v>
      </x:c>
      <x:c r="AH79" t="n">
        <x:v>28</x:v>
      </x:c>
      <x:c r="AI79" t="str">
        <x:v>Sim</x:v>
      </x:c>
      <x:c r="AJ79" t="str">
        <x:v>Sim</x:v>
      </x:c>
      <x:c r="AK79" t="n">
        <x:v>60</x:v>
      </x:c>
      <x:c r="AL79" t="n">
        <x:v>0</x:v>
      </x:c>
      <x:c r="AM79" s="64" t="n">
        <x:v>0.8167</x:v>
      </x:c>
      <x:c r="AN79" t="n">
        <x:v>0</x:v>
      </x:c>
      <x:c r="AO79" t="str">
        <x:v>Amarelo</x:v>
      </x:c>
      <x:c r="AP79" t="str">
        <x:v>passageiro preso; SLA acima de 80%; carro parado</x:v>
      </x:c>
      <x:c r="AQ79" t="str">
        <x:v>Sem recorrência relevante; acompanhar evolução de Tração.</x:v>
      </x:c>
      <x:c r="AR79" s="62" t="n">
        <x:v>882</x:v>
      </x:c>
      <x:c r="AS79" t="str">
        <x:v>Médio</x:v>
      </x:c>
      <x:c r="AT79" s="50" t="n">
        <x:v>46273.458333333336</x:v>
      </x:c>
      <x:c r="AU79" t="str">
        <x:v>T04</x:v>
      </x:c>
      <x:c r="AV79" t="str">
        <x:v>T2 original + evolução sintética posterior</x:v>
      </x:c>
    </x:row>
    <x:row r="80">
      <x:c r="A80" t="str">
        <x:v>CH-20260908-002</x:v>
      </x:c>
      <x:c r="B80" t="str">
        <x:v>Falha de Nivelamento</x:v>
      </x:c>
      <x:c r="C80" t="str">
        <x:v>Cabine desnivelada</x:v>
      </x:c>
      <x:c r="D80" t="str">
        <x:v>Cabine parou fora do nível do pavimento.</x:v>
      </x:c>
      <x:c r="E80" t="str">
        <x:v>Concluído</x:v>
      </x:c>
      <x:c r="F80" t="str">
        <x:v>IoT</x:v>
      </x:c>
      <x:c r="G80" t="str">
        <x:v>E-102</x:v>
      </x:c>
      <x:c r="H80" t="str">
        <x:v>Elevador Social</x:v>
      </x:c>
      <x:c r="I80" t="str">
        <x:v>Microprocessado</x:v>
      </x:c>
      <x:c r="J80" t="str">
        <x:v>Gearless</x:v>
      </x:c>
      <x:c r="K80" t="str">
        <x:v>OTIS</x:v>
      </x:c>
      <x:c r="L80" t="str">
        <x:v>ROT-014</x:v>
      </x:c>
      <x:c r="M80" t="str">
        <x:v>Sensor de Nível</x:v>
      </x:c>
      <x:c r="N80" t="str">
        <x:v>Sensor</x:v>
      </x:c>
      <x:c r="O80" t="str">
        <x:v>Leitura inconsistente</x:v>
      </x:c>
      <x:c r="P80" t="str">
        <x:v>Falha de nivelamento</x:v>
      </x:c>
      <x:c r="Q80" t="str">
        <x:v>Sensor ajustado/substituído</x:v>
      </x:c>
      <x:c r="R80" t="str">
        <x:v>Shopping Center Norte</x:v>
      </x:c>
      <x:c r="S80" t="str">
        <x:v>Não</x:v>
      </x:c>
      <x:c r="T80" t="str">
        <x:v>Sim</x:v>
      </x:c>
      <x:c r="U80" t="str">
        <x:v>CT-2026-002</x:v>
      </x:c>
      <x:c r="V80" t="str">
        <x:v>SP-Norte</x:v>
      </x:c>
      <x:c r="W80" t="str">
        <x:v>Marcos Lima</x:v>
      </x:c>
      <x:c r="X80" t="str">
        <x:v>Supervisor B</x:v>
      </x:c>
      <x:c r="Y80" t="str">
        <x:v>Rota Norte 02</x:v>
      </x:c>
      <x:c r="Z80" t="str">
        <x:v>Av. Otto Baumgart, 245 - São Paulo/SP</x:v>
      </x:c>
      <x:c r="AA80" t="str">
        <x:v>São Paulo</x:v>
      </x:c>
      <x:c r="AB80" s="50" t="n">
        <x:v>46273.3090277778</x:v>
      </x:c>
      <x:c r="AC80" s="50" t="n">
        <x:v>46273.3118055556</x:v>
      </x:c>
      <x:c r="AD80" s="50" t="n">
        <x:v>46273.3159722222</x:v>
      </x:c>
      <x:c r="AE80" s="50" t="n">
        <x:v>46273.3340277778</x:v>
      </x:c>
      <x:c r="AF80" s="50" t="n">
        <x:v>46273.3652777778</x:v>
      </x:c>
      <x:c r="AG80" t="n">
        <x:v>36</x:v>
      </x:c>
      <x:c r="AH80" t="n">
        <x:v>40</x:v>
      </x:c>
      <x:c r="AI80" t="str">
        <x:v>Não</x:v>
      </x:c>
      <x:c r="AJ80" t="str">
        <x:v>Não</x:v>
      </x:c>
      <x:c r="AK80" t="n">
        <x:v>90</x:v>
      </x:c>
      <x:c r="AL80" t="n">
        <x:v>0</x:v>
      </x:c>
      <x:c r="AM80" s="64" t="n">
        <x:v>0.8444</x:v>
      </x:c>
      <x:c r="AN80" t="n">
        <x:v>1</x:v>
      </x:c>
      <x:c r="AO80" t="str">
        <x:v>Amarelo</x:v>
      </x:c>
      <x:c r="AP80" t="str">
        <x:v>SLA acima de 80%</x:v>
      </x:c>
      <x:c r="AQ80" t="str">
        <x:v>Há ocorrência recente semelhante; comparar solução anterior de Sensor de Nível.</x:v>
      </x:c>
      <x:c r="AR80" s="62" t="n">
        <x:v>664</x:v>
      </x:c>
      <x:c r="AS80" t="str">
        <x:v>Baixo</x:v>
      </x:c>
      <x:c r="AT80" s="50" t="n">
        <x:v>46273.458333333336</x:v>
      </x:c>
      <x:c r="AU80" t="str">
        <x:v>T04</x:v>
      </x:c>
      <x:c r="AV80" t="str">
        <x:v>T2 original + evolução sintética posterior</x:v>
      </x:c>
    </x:row>
    <x:row r="81">
      <x:c r="A81" t="str">
        <x:v>CH-20260908-003</x:v>
      </x:c>
      <x:c r="B81" t="str">
        <x:v>Porta não fecha</x:v>
      </x:c>
      <x:c r="C81" t="str">
        <x:v>Falha no fechamento</x:v>
      </x:c>
      <x:c r="D81" t="str">
        <x:v>Porta permanece aberta e impede partida.</x:v>
      </x:c>
      <x:c r="E81" t="str">
        <x:v>Concluído</x:v>
      </x:c>
      <x:c r="F81" t="str">
        <x:v>Aplicativo Cliente</x:v>
      </x:c>
      <x:c r="G81" t="str">
        <x:v>E-103</x:v>
      </x:c>
      <x:c r="H81" t="str">
        <x:v>Elevador Social</x:v>
      </x:c>
      <x:c r="I81" t="str">
        <x:v>Microprocessado</x:v>
      </x:c>
      <x:c r="J81" t="str">
        <x:v>Gearless</x:v>
      </x:c>
      <x:c r="K81" t="str">
        <x:v>OTIS</x:v>
      </x:c>
      <x:c r="L81" t="str">
        <x:v>ROT-021</x:v>
      </x:c>
      <x:c r="M81" t="str">
        <x:v>Operador de Porta</x:v>
      </x:c>
      <x:c r="N81" t="str">
        <x:v>Sensor de porta</x:v>
      </x:c>
      <x:c r="O81" t="str">
        <x:v>Falha de leitura</x:v>
      </x:c>
      <x:c r="P81" t="str">
        <x:v>Porta aberta</x:v>
      </x:c>
      <x:c r="Q81" t="str">
        <x:v>Sensor de porta ajustado</x:v>
      </x:c>
      <x:c r="R81" t="str">
        <x:v>Edifício Corporate</x:v>
      </x:c>
      <x:c r="S81" t="str">
        <x:v>Não</x:v>
      </x:c>
      <x:c r="T81" t="str">
        <x:v>Sim</x:v>
      </x:c>
      <x:c r="U81" t="str">
        <x:v>CT-2026-003</x:v>
      </x:c>
      <x:c r="V81" t="str">
        <x:v>SP-Oeste</x:v>
      </x:c>
      <x:c r="W81" t="str">
        <x:v>Ana Costa</x:v>
      </x:c>
      <x:c r="X81" t="str">
        <x:v>Supervisor C</x:v>
      </x:c>
      <x:c r="Y81" t="str">
        <x:v>Rota Oeste 03</x:v>
      </x:c>
      <x:c r="Z81" t="str">
        <x:v>Av. Faria Lima, 3500 - São Paulo/SP</x:v>
      </x:c>
      <x:c r="AA81" t="str">
        <x:v>São Paulo</x:v>
      </x:c>
      <x:c r="AB81" s="50" t="n">
        <x:v>46273.3118055556</x:v>
      </x:c>
      <x:c r="AC81" s="50" t="n">
        <x:v>46273.3152777778</x:v>
      </x:c>
      <x:c r="AD81" s="50" t="n">
        <x:v>46273.3166666667</x:v>
      </x:c>
      <x:c r="AE81" s="50" t="n">
        <x:v>46273.3395833333</x:v>
      </x:c>
      <x:c r="AF81" s="50" t="n">
        <x:v>46273.3784722222</x:v>
      </x:c>
      <x:c r="AG81" t="n">
        <x:v>40</x:v>
      </x:c>
      <x:c r="AH81" t="n">
        <x:v>51</x:v>
      </x:c>
      <x:c r="AI81" t="str">
        <x:v>Não</x:v>
      </x:c>
      <x:c r="AJ81" t="str">
        <x:v>Não</x:v>
      </x:c>
      <x:c r="AK81" t="n">
        <x:v>120</x:v>
      </x:c>
      <x:c r="AL81" t="n">
        <x:v>0</x:v>
      </x:c>
      <x:c r="AM81" s="64" t="n">
        <x:v>0.7583</x:v>
      </x:c>
      <x:c r="AN81" t="n">
        <x:v>2</x:v>
      </x:c>
      <x:c r="AO81" t="str">
        <x:v>Amarelo</x:v>
      </x:c>
      <x:c r="AP81" t="str">
        <x:v>2 recorrências/30d; SLA acima de 55%</x:v>
      </x:c>
      <x:c r="AQ81" t="str">
        <x:v>Há ocorrência recente semelhante; comparar solução anterior de Operador de Porta.</x:v>
      </x:c>
      <x:c r="AR81" s="62" t="n">
        <x:v>769</x:v>
      </x:c>
      <x:c r="AS81" t="str">
        <x:v>Médio</x:v>
      </x:c>
      <x:c r="AT81" s="50" t="n">
        <x:v>46273.458333333336</x:v>
      </x:c>
      <x:c r="AU81" t="str">
        <x:v>T04</x:v>
      </x:c>
      <x:c r="AV81" t="str">
        <x:v>T2 original + evolução sintética posterior</x:v>
      </x:c>
    </x:row>
    <x:row r="82">
      <x:c r="A82" t="str">
        <x:v>CH-20260908-004</x:v>
      </x:c>
      <x:c r="B82" t="str">
        <x:v>Painel sem comunicação</x:v>
      </x:c>
      <x:c r="C82" t="str">
        <x:v>Falha de comunicação</x:v>
      </x:c>
      <x:c r="D82" t="str">
        <x:v>Painel não responde aos comandos.</x:v>
      </x:c>
      <x:c r="E82" t="str">
        <x:v>Concluído</x:v>
      </x:c>
      <x:c r="F82" t="str">
        <x:v>Monitoramento Remoto</x:v>
      </x:c>
      <x:c r="G82" t="str">
        <x:v>E-104</x:v>
      </x:c>
      <x:c r="H82" t="str">
        <x:v>Elevador Social</x:v>
      </x:c>
      <x:c r="I82" t="str">
        <x:v>Microprocessado</x:v>
      </x:c>
      <x:c r="J82" t="str">
        <x:v>Gearless</x:v>
      </x:c>
      <x:c r="K82" t="str">
        <x:v>OTIS</x:v>
      </x:c>
      <x:c r="L82" t="str">
        <x:v>ROT-033</x:v>
      </x:c>
      <x:c r="M82" t="str">
        <x:v>Painel/Comando</x:v>
      </x:c>
      <x:c r="N82" t="str">
        <x:v>Interface</x:v>
      </x:c>
      <x:c r="O82" t="str">
        <x:v>Sem comunicação</x:v>
      </x:c>
      <x:c r="P82" t="str">
        <x:v>Falha lógica</x:v>
      </x:c>
      <x:c r="Q82" t="str">
        <x:v>Interface reinicializada/substituída</x:v>
      </x:c>
      <x:c r="R82" t="str">
        <x:v>Condomínio Alameda</x:v>
      </x:c>
      <x:c r="S82" t="str">
        <x:v>Não</x:v>
      </x:c>
      <x:c r="T82" t="str">
        <x:v>Não</x:v>
      </x:c>
      <x:c r="U82" t="str">
        <x:v>CT-2026-004</x:v>
      </x:c>
      <x:c r="V82" t="str">
        <x:v>SP-Sul</x:v>
      </x:c>
      <x:c r="W82" t="str">
        <x:v>Carlos Souza</x:v>
      </x:c>
      <x:c r="X82" t="str">
        <x:v>Supervisor D</x:v>
      </x:c>
      <x:c r="Y82" t="str">
        <x:v>Rota Sul 04</x:v>
      </x:c>
      <x:c r="Z82" t="str">
        <x:v>R. das Acácias, 420 - São Paulo/SP</x:v>
      </x:c>
      <x:c r="AA82" t="str">
        <x:v>São Paulo</x:v>
      </x:c>
      <x:c r="AB82" s="50" t="n">
        <x:v>46273.3145833333</x:v>
      </x:c>
      <x:c r="AC82" s="50" t="n">
        <x:v>46273.31875</x:v>
      </x:c>
      <x:c r="AD82" s="50" t="n">
        <x:v>46273.3215277778</x:v>
      </x:c>
      <x:c r="AE82" s="50" t="n">
        <x:v>46273.3493055556</x:v>
      </x:c>
      <x:c r="AF82" s="50" t="n">
        <x:v>46273.3958333333</x:v>
      </x:c>
      <x:c r="AG82" t="n">
        <x:v>50</x:v>
      </x:c>
      <x:c r="AH82" t="n">
        <x:v>62</x:v>
      </x:c>
      <x:c r="AI82" t="str">
        <x:v>Não</x:v>
      </x:c>
      <x:c r="AJ82" t="str">
        <x:v>Não</x:v>
      </x:c>
      <x:c r="AK82" t="n">
        <x:v>180</x:v>
      </x:c>
      <x:c r="AL82" t="n">
        <x:v>0</x:v>
      </x:c>
      <x:c r="AM82" s="64" t="n">
        <x:v>0.6222</x:v>
      </x:c>
      <x:c r="AN82" t="n">
        <x:v>3</x:v>
      </x:c>
      <x:c r="AO82" t="str">
        <x:v>Verde</x:v>
      </x:c>
      <x:c r="AP82" t="str">
        <x:v>3 recorrências/30d; SLA acima de 55%</x:v>
      </x:c>
      <x:c r="AQ82" t="str">
        <x:v>Recorrência elevada: verificar padrão histórico em Painel/Comando/Interface.</x:v>
      </x:c>
      <x:c r="AR82" s="62" t="n">
        <x:v>1594</x:v>
      </x:c>
      <x:c r="AS82" t="str">
        <x:v>Alto</x:v>
      </x:c>
      <x:c r="AT82" s="50" t="n">
        <x:v>46273.458333333336</x:v>
      </x:c>
      <x:c r="AU82" t="str">
        <x:v>T04</x:v>
      </x:c>
      <x:c r="AV82" t="str">
        <x:v>T2 original + evolução sintética posterior</x:v>
      </x:c>
    </x:row>
    <x:row r="83">
      <x:c r="A83" t="str">
        <x:v>CH-20260908-005</x:v>
      </x:c>
      <x:c r="B83" t="str">
        <x:v>Falha de Tração</x:v>
      </x:c>
      <x:c r="C83" t="str">
        <x:v>Movimento irregular</x:v>
      </x:c>
      <x:c r="D83" t="str">
        <x:v>Equipamento apresenta perda de tração.</x:v>
      </x:c>
      <x:c r="E83" t="str">
        <x:v>Concluído</x:v>
      </x:c>
      <x:c r="F83" t="str">
        <x:v>Central de Atendimento</x:v>
      </x:c>
      <x:c r="G83" t="str">
        <x:v>E-105</x:v>
      </x:c>
      <x:c r="H83" t="str">
        <x:v>Elevador Social</x:v>
      </x:c>
      <x:c r="I83" t="str">
        <x:v>Microprocessado</x:v>
      </x:c>
      <x:c r="J83" t="str">
        <x:v>Gearless</x:v>
      </x:c>
      <x:c r="K83" t="str">
        <x:v>OTIS</x:v>
      </x:c>
      <x:c r="L83" t="str">
        <x:v>ROT-041</x:v>
      </x:c>
      <x:c r="M83" t="str">
        <x:v>Máquina de Tração</x:v>
      </x:c>
      <x:c r="N83" t="str">
        <x:v>Inversor</x:v>
      </x:c>
      <x:c r="O83" t="str">
        <x:v>Oscilação</x:v>
      </x:c>
      <x:c r="P83" t="str">
        <x:v>Falha de movimento</x:v>
      </x:c>
      <x:c r="Q83" t="str">
        <x:v>Parâmetros do inversor corrigidos</x:v>
      </x:c>
      <x:c r="R83" t="str">
        <x:v>Aeroporto Terminal 3</x:v>
      </x:c>
      <x:c r="S83" t="str">
        <x:v>Sim</x:v>
      </x:c>
      <x:c r="T83" t="str">
        <x:v>Sim</x:v>
      </x:c>
      <x:c r="U83" t="str">
        <x:v>CT-2026-005</x:v>
      </x:c>
      <x:c r="V83" t="str">
        <x:v>GRU</x:v>
      </x:c>
      <x:c r="W83" t="str">
        <x:v>Renata Alves</x:v>
      </x:c>
      <x:c r="X83" t="str">
        <x:v>Supervisor A</x:v>
      </x:c>
      <x:c r="Y83" t="str">
        <x:v>Rota GRU 05</x:v>
      </x:c>
      <x:c r="Z83" t="str">
        <x:v>Rod. Hélio Smidt, s/n - Guarulhos/SP</x:v>
      </x:c>
      <x:c r="AA83" t="str">
        <x:v>São Paulo</x:v>
      </x:c>
      <x:c r="AB83" s="50" t="n">
        <x:v>46273.3180555556</x:v>
      </x:c>
      <x:c r="AC83" s="50" t="n">
        <x:v>46273.3194444444</x:v>
      </x:c>
      <x:c r="AD83" s="50" t="n">
        <x:v>46273.3236111111</x:v>
      </x:c>
      <x:c r="AE83" s="50" t="n">
        <x:v>46273.3319444444</x:v>
      </x:c>
      <x:c r="AF83" s="50" t="n">
        <x:v>46273.3861111111</x:v>
      </x:c>
      <x:c r="AG83" t="n">
        <x:v>20</x:v>
      </x:c>
      <x:c r="AH83" t="n">
        <x:v>73</x:v>
      </x:c>
      <x:c r="AI83" t="str">
        <x:v>Não</x:v>
      </x:c>
      <x:c r="AJ83" t="str">
        <x:v>Sim</x:v>
      </x:c>
      <x:c r="AK83" t="n">
        <x:v>45</x:v>
      </x:c>
      <x:c r="AL83" t="n">
        <x:v>0</x:v>
      </x:c>
      <x:c r="AM83" s="64" t="n">
        <x:v>2.0667</x:v>
      </x:c>
      <x:c r="AN83" t="n">
        <x:v>1</x:v>
      </x:c>
      <x:c r="AO83" t="str">
        <x:v>Vermelho</x:v>
      </x:c>
      <x:c r="AP83" t="str">
        <x:v>SLA estourado; carro parado</x:v>
      </x:c>
      <x:c r="AQ83" t="str">
        <x:v>Há ocorrência recente semelhante; comparar solução anterior de Máquina de Tração.</x:v>
      </x:c>
      <x:c r="AR83" s="62" t="n">
        <x:v>1259</x:v>
      </x:c>
      <x:c r="AS83" t="str">
        <x:v>Alto</x:v>
      </x:c>
      <x:c r="AT83" s="50" t="n">
        <x:v>46273.458333333336</x:v>
      </x:c>
      <x:c r="AU83" t="str">
        <x:v>T04</x:v>
      </x:c>
      <x:c r="AV83" t="str">
        <x:v>T2 original + evolução sintética posterior</x:v>
      </x:c>
    </x:row>
    <x:row r="84">
      <x:c r="A84" t="str">
        <x:v>CH-20260908-006</x:v>
      </x:c>
      <x:c r="B84" t="str">
        <x:v>Iluminação de Cabine</x:v>
      </x:c>
      <x:c r="C84" t="str">
        <x:v>Iluminação inoperante</x:v>
      </x:c>
      <x:c r="D84" t="str">
        <x:v>Cabine com iluminação parcial ou total indisponível.</x:v>
      </x:c>
      <x:c r="E84" t="str">
        <x:v>Concluído</x:v>
      </x:c>
      <x:c r="F84" t="str">
        <x:v>IoT</x:v>
      </x:c>
      <x:c r="G84" t="str">
        <x:v>E-106</x:v>
      </x:c>
      <x:c r="H84" t="str">
        <x:v>Elevador Social</x:v>
      </x:c>
      <x:c r="I84" t="str">
        <x:v>Microprocessado</x:v>
      </x:c>
      <x:c r="J84" t="str">
        <x:v>Gearless</x:v>
      </x:c>
      <x:c r="K84" t="str">
        <x:v>OTIS</x:v>
      </x:c>
      <x:c r="L84" t="str">
        <x:v>ROT-052</x:v>
      </x:c>
      <x:c r="M84" t="str">
        <x:v>Elétrica</x:v>
      </x:c>
      <x:c r="N84" t="str">
        <x:v>Fonte</x:v>
      </x:c>
      <x:c r="O84" t="str">
        <x:v>Sem alimentação</x:v>
      </x:c>
      <x:c r="P84" t="str">
        <x:v>Falha elétrica</x:v>
      </x:c>
      <x:c r="Q84" t="str">
        <x:v>Fonte substituída</x:v>
      </x:c>
      <x:c r="R84" t="str">
        <x:v>Universidade Central</x:v>
      </x:c>
      <x:c r="S84" t="str">
        <x:v>Não</x:v>
      </x:c>
      <x:c r="T84" t="str">
        <x:v>Sim</x:v>
      </x:c>
      <x:c r="U84" t="str">
        <x:v>CT-2026-006</x:v>
      </x:c>
      <x:c r="V84" t="str">
        <x:v>SP-Leste</x:v>
      </x:c>
      <x:c r="W84" t="str">
        <x:v>Paulo Mendes</x:v>
      </x:c>
      <x:c r="X84" t="str">
        <x:v>Supervisor B</x:v>
      </x:c>
      <x:c r="Y84" t="str">
        <x:v>Rota Leste 06</x:v>
      </x:c>
      <x:c r="Z84" t="str">
        <x:v>Av. Central, 850 - São Paulo/SP</x:v>
      </x:c>
      <x:c r="AA84" t="str">
        <x:v>São Paulo</x:v>
      </x:c>
      <x:c r="AB84" s="50" t="n">
        <x:v>46273.3215277778</x:v>
      </x:c>
      <x:c r="AC84" s="50" t="n">
        <x:v>46273.3236111111</x:v>
      </x:c>
      <x:c r="AD84" s="50" t="n">
        <x:v>46273.325</x:v>
      </x:c>
      <x:c r="AE84" s="50" t="n">
        <x:v>46273.3388888889</x:v>
      </x:c>
      <x:c r="AF84" s="50" t="n">
        <x:v>46273.3569444444</x:v>
      </x:c>
      <x:c r="AG84" t="n">
        <x:v>25</x:v>
      </x:c>
      <x:c r="AH84" t="n">
        <x:v>21</x:v>
      </x:c>
      <x:c r="AI84" t="str">
        <x:v>Não</x:v>
      </x:c>
      <x:c r="AJ84" t="str">
        <x:v>Não</x:v>
      </x:c>
      <x:c r="AK84" t="n">
        <x:v>120</x:v>
      </x:c>
      <x:c r="AL84" t="n">
        <x:v>0</x:v>
      </x:c>
      <x:c r="AM84" s="64" t="n">
        <x:v>0.3833</x:v>
      </x:c>
      <x:c r="AN84" t="n">
        <x:v>0</x:v>
      </x:c>
      <x:c r="AO84" t="str">
        <x:v>Verde</x:v>
      </x:c>
      <x:c r="AP84" t="str">
        <x:v>operação dentro do esperado</x:v>
      </x:c>
      <x:c r="AQ84" t="str">
        <x:v>Sem recorrência relevante; acompanhar evolução de Elétrica.</x:v>
      </x:c>
      <x:c r="AR84" s="62" t="n">
        <x:v>507</x:v>
      </x:c>
      <x:c r="AS84" t="str">
        <x:v>Baixo</x:v>
      </x:c>
      <x:c r="AT84" s="50" t="n">
        <x:v>46273.458333333336</x:v>
      </x:c>
      <x:c r="AU84" t="str">
        <x:v>T04</x:v>
      </x:c>
      <x:c r="AV84" t="str">
        <x:v>T2 original + evolução sintética posterior</x:v>
      </x:c>
    </x:row>
    <x:row r="85">
      <x:c r="A85" t="str">
        <x:v>CH-20260908-007</x:v>
      </x:c>
      <x:c r="B85" t="str">
        <x:v>Botão de Chamada</x:v>
      </x:c>
      <x:c r="C85" t="str">
        <x:v>Botão não responde</x:v>
      </x:c>
      <x:c r="D85" t="str">
        <x:v>Botão de chamada não registra comando.</x:v>
      </x:c>
      <x:c r="E85" t="str">
        <x:v>Concluído</x:v>
      </x:c>
      <x:c r="F85" t="str">
        <x:v>Aplicativo Cliente</x:v>
      </x:c>
      <x:c r="G85" t="str">
        <x:v>E-107</x:v>
      </x:c>
      <x:c r="H85" t="str">
        <x:v>Elevador Social</x:v>
      </x:c>
      <x:c r="I85" t="str">
        <x:v>Microprocessado</x:v>
      </x:c>
      <x:c r="J85" t="str">
        <x:v>Gearless</x:v>
      </x:c>
      <x:c r="K85" t="str">
        <x:v>OTIS</x:v>
      </x:c>
      <x:c r="L85" t="str">
        <x:v>ROT-063</x:v>
      </x:c>
      <x:c r="M85" t="str">
        <x:v>Botoeira</x:v>
      </x:c>
      <x:c r="N85" t="str">
        <x:v>Contato</x:v>
      </x:c>
      <x:c r="O85" t="str">
        <x:v>Mau contato</x:v>
      </x:c>
      <x:c r="P85" t="str">
        <x:v>Falha de comando</x:v>
      </x:c>
      <x:c r="Q85" t="str">
        <x:v>Contato reparado</x:v>
      </x:c>
      <x:c r="R85" t="str">
        <x:v>Hospital São Paulo</x:v>
      </x:c>
      <x:c r="S85" t="str">
        <x:v>Sim</x:v>
      </x:c>
      <x:c r="T85" t="str">
        <x:v>Sim</x:v>
      </x:c>
      <x:c r="U85" t="str">
        <x:v>CT-2026-001</x:v>
      </x:c>
      <x:c r="V85" t="str">
        <x:v>SP-Centro</x:v>
      </x:c>
      <x:c r="W85" t="str">
        <x:v>João Silva</x:v>
      </x:c>
      <x:c r="X85" t="str">
        <x:v>Supervisor C</x:v>
      </x:c>
      <x:c r="Y85" t="str">
        <x:v>Rota Centro 01</x:v>
      </x:c>
      <x:c r="Z85" t="str">
        <x:v>Av. Paulista, 1000 - São Paulo/SP</x:v>
      </x:c>
      <x:c r="AA85" t="str">
        <x:v>São Paulo</x:v>
      </x:c>
      <x:c r="AB85" s="50" t="n">
        <x:v>46273.3243055556</x:v>
      </x:c>
      <x:c r="AC85" s="50" t="n">
        <x:v>46273.3270833333</x:v>
      </x:c>
      <x:c r="AD85" s="50" t="n">
        <x:v>46273.3298611111</x:v>
      </x:c>
      <x:c r="AE85" s="50" t="n">
        <x:v>46273.3486111111</x:v>
      </x:c>
      <x:c r="AF85" s="50" t="n">
        <x:v>46273.3743055556</x:v>
      </x:c>
      <x:c r="AG85" t="n">
        <x:v>35</x:v>
      </x:c>
      <x:c r="AH85" t="n">
        <x:v>32</x:v>
      </x:c>
      <x:c r="AI85" t="str">
        <x:v>Não</x:v>
      </x:c>
      <x:c r="AJ85" t="str">
        <x:v>Não</x:v>
      </x:c>
      <x:c r="AK85" t="n">
        <x:v>60</x:v>
      </x:c>
      <x:c r="AL85" t="n">
        <x:v>0</x:v>
      </x:c>
      <x:c r="AM85" s="64" t="n">
        <x:v>1.1167</x:v>
      </x:c>
      <x:c r="AN85" t="n">
        <x:v>2</x:v>
      </x:c>
      <x:c r="AO85" t="str">
        <x:v>Vermelho</x:v>
      </x:c>
      <x:c r="AP85" t="str">
        <x:v>2 recorrências/30d; SLA estourado</x:v>
      </x:c>
      <x:c r="AQ85" t="str">
        <x:v>Há ocorrência recente semelhante; comparar solução anterior de Botoeira.</x:v>
      </x:c>
      <x:c r="AR85" s="62" t="n">
        <x:v>612</x:v>
      </x:c>
      <x:c r="AS85" t="str">
        <x:v>Baixo</x:v>
      </x:c>
      <x:c r="AT85" s="50" t="n">
        <x:v>46273.458333333336</x:v>
      </x:c>
      <x:c r="AU85" t="str">
        <x:v>T04</x:v>
      </x:c>
      <x:c r="AV85" t="str">
        <x:v>T2 original + evolução sintética posterior</x:v>
      </x:c>
    </x:row>
    <x:row r="86">
      <x:c r="A86" t="str">
        <x:v>CH-20260908-008</x:v>
      </x:c>
      <x:c r="B86" t="str">
        <x:v>Parada Intermitente</x:v>
      </x:c>
      <x:c r="C86" t="str">
        <x:v>Paradas aleatórias</x:v>
      </x:c>
      <x:c r="D86" t="str">
        <x:v>Equipamento interrompe operação de forma intermitente.</x:v>
      </x:c>
      <x:c r="E86" t="str">
        <x:v>Concluído</x:v>
      </x:c>
      <x:c r="F86" t="str">
        <x:v>Monitoramento Remoto</x:v>
      </x:c>
      <x:c r="G86" t="str">
        <x:v>E-108</x:v>
      </x:c>
      <x:c r="H86" t="str">
        <x:v>Elevador Social</x:v>
      </x:c>
      <x:c r="I86" t="str">
        <x:v>Microprocessado</x:v>
      </x:c>
      <x:c r="J86" t="str">
        <x:v>Gearless</x:v>
      </x:c>
      <x:c r="K86" t="str">
        <x:v>OTIS</x:v>
      </x:c>
      <x:c r="L86" t="str">
        <x:v>ROT-074</x:v>
      </x:c>
      <x:c r="M86" t="str">
        <x:v>Painel/Comando</x:v>
      </x:c>
      <x:c r="N86" t="str">
        <x:v>Placa</x:v>
      </x:c>
      <x:c r="O86" t="str">
        <x:v>Intermitência</x:v>
      </x:c>
      <x:c r="P86" t="str">
        <x:v>Falha intermitente</x:v>
      </x:c>
      <x:c r="Q86" t="str">
        <x:v>Placa revisada e teste funcional</x:v>
      </x:c>
      <x:c r="R86" t="str">
        <x:v>Shopping Center Norte</x:v>
      </x:c>
      <x:c r="S86" t="str">
        <x:v>Não</x:v>
      </x:c>
      <x:c r="T86" t="str">
        <x:v>Sim</x:v>
      </x:c>
      <x:c r="U86" t="str">
        <x:v>CT-2026-002</x:v>
      </x:c>
      <x:c r="V86" t="str">
        <x:v>SP-Norte</x:v>
      </x:c>
      <x:c r="W86" t="str">
        <x:v>Marcos Lima</x:v>
      </x:c>
      <x:c r="X86" t="str">
        <x:v>Supervisor D</x:v>
      </x:c>
      <x:c r="Y86" t="str">
        <x:v>Rota Norte 02</x:v>
      </x:c>
      <x:c r="Z86" t="str">
        <x:v>Av. Otto Baumgart, 245 - São Paulo/SP</x:v>
      </x:c>
      <x:c r="AA86" t="str">
        <x:v>São Paulo</x:v>
      </x:c>
      <x:c r="AB86" s="50" t="n">
        <x:v>46273.3270833333</x:v>
      </x:c>
      <x:c r="AC86" s="50" t="n">
        <x:v>46273.3305555556</x:v>
      </x:c>
      <x:c r="AD86" s="50" t="n">
        <x:v>46273.3347222222</x:v>
      </x:c>
      <x:c r="AE86" s="50" t="n">
        <x:v>46273.3583333333</x:v>
      </x:c>
      <x:c r="AF86" s="50" t="n">
        <x:v>46273.3916666667</x:v>
      </x:c>
      <x:c r="AG86" t="n">
        <x:v>45</x:v>
      </x:c>
      <x:c r="AH86" t="n">
        <x:v>43</x:v>
      </x:c>
      <x:c r="AI86" t="str">
        <x:v>Não</x:v>
      </x:c>
      <x:c r="AJ86" t="str">
        <x:v>Sim</x:v>
      </x:c>
      <x:c r="AK86" t="n">
        <x:v>90</x:v>
      </x:c>
      <x:c r="AL86" t="n">
        <x:v>0</x:v>
      </x:c>
      <x:c r="AM86" s="64" t="n">
        <x:v>0.9778</x:v>
      </x:c>
      <x:c r="AN86" t="n">
        <x:v>4</x:v>
      </x:c>
      <x:c r="AO86" t="str">
        <x:v>Laranja</x:v>
      </x:c>
      <x:c r="AP86" t="str">
        <x:v>4 recorrências/30d; SLA acima de 80%; carro parado</x:v>
      </x:c>
      <x:c r="AQ86" t="str">
        <x:v>Recorrência elevada: verificar padrão histórico em Painel/Comando/Placa.</x:v>
      </x:c>
      <x:c r="AR86" s="62" t="n">
        <x:v>1437</x:v>
      </x:c>
      <x:c r="AS86" t="str">
        <x:v>Alto</x:v>
      </x:c>
      <x:c r="AT86" s="50" t="n">
        <x:v>46273.458333333336</x:v>
      </x:c>
      <x:c r="AU86" t="str">
        <x:v>T04</x:v>
      </x:c>
      <x:c r="AV86" t="str">
        <x:v>T2 original + evolução sintética posterior</x:v>
      </x:c>
    </x:row>
    <x:row r="87">
      <x:c r="A87" t="str">
        <x:v>CH-20260908-009</x:v>
      </x:c>
      <x:c r="B87" t="str">
        <x:v>Passageiro Preso</x:v>
      </x:c>
      <x:c r="C87" t="str">
        <x:v>Elevador parado entre andares</x:v>
      </x:c>
      <x:c r="D87" t="str">
        <x:v>Cabine imobilizada com passageiro no interior.</x:v>
      </x:c>
      <x:c r="E87" t="str">
        <x:v>Concluído</x:v>
      </x:c>
      <x:c r="F87" t="str">
        <x:v>Central de Atendimento</x:v>
      </x:c>
      <x:c r="G87" t="str">
        <x:v>E-109</x:v>
      </x:c>
      <x:c r="H87" t="str">
        <x:v>Elevador Social</x:v>
      </x:c>
      <x:c r="I87" t="str">
        <x:v>Microprocessado</x:v>
      </x:c>
      <x:c r="J87" t="str">
        <x:v>Gearless</x:v>
      </x:c>
      <x:c r="K87" t="str">
        <x:v>OTIS</x:v>
      </x:c>
      <x:c r="L87" t="str">
        <x:v>ROT-001</x:v>
      </x:c>
      <x:c r="M87" t="str">
        <x:v>Tração</x:v>
      </x:c>
      <x:c r="N87" t="str">
        <x:v>Freio</x:v>
      </x:c>
      <x:c r="O87" t="str">
        <x:v>Travamento</x:v>
      </x:c>
      <x:c r="P87" t="str">
        <x:v>Parada total</x:v>
      </x:c>
      <x:c r="Q87" t="str">
        <x:v>Resgate concluído e equipamento normalizado</x:v>
      </x:c>
      <x:c r="R87" t="str">
        <x:v>Edifício Corporate</x:v>
      </x:c>
      <x:c r="S87" t="str">
        <x:v>Não</x:v>
      </x:c>
      <x:c r="T87" t="str">
        <x:v>Sim</x:v>
      </x:c>
      <x:c r="U87" t="str">
        <x:v>CT-2026-003</x:v>
      </x:c>
      <x:c r="V87" t="str">
        <x:v>SP-Oeste</x:v>
      </x:c>
      <x:c r="W87" t="str">
        <x:v>Ana Costa</x:v>
      </x:c>
      <x:c r="X87" t="str">
        <x:v>Supervisor A</x:v>
      </x:c>
      <x:c r="Y87" t="str">
        <x:v>Rota Oeste 03</x:v>
      </x:c>
      <x:c r="Z87" t="str">
        <x:v>Av. Faria Lima, 3500 - São Paulo/SP</x:v>
      </x:c>
      <x:c r="AA87" t="str">
        <x:v>São Paulo</x:v>
      </x:c>
      <x:c r="AB87" s="50" t="n">
        <x:v>46273.3298611111</x:v>
      </x:c>
      <x:c r="AC87" s="50" t="n">
        <x:v>46273.3340277778</x:v>
      </x:c>
      <x:c r="AD87" s="50" t="n">
        <x:v>46273.3354166667</x:v>
      </x:c>
      <x:c r="AE87" s="50" t="n">
        <x:v>46273.3604166667</x:v>
      </x:c>
      <x:c r="AF87" s="50" t="n">
        <x:v>46273.3833333333</x:v>
      </x:c>
      <x:c r="AG87" t="n">
        <x:v>44</x:v>
      </x:c>
      <x:c r="AH87" t="n">
        <x:v>28</x:v>
      </x:c>
      <x:c r="AI87" t="str">
        <x:v>Sim</x:v>
      </x:c>
      <x:c r="AJ87" t="str">
        <x:v>Sim</x:v>
      </x:c>
      <x:c r="AK87" t="n">
        <x:v>120</x:v>
      </x:c>
      <x:c r="AL87" t="n">
        <x:v>0</x:v>
      </x:c>
      <x:c r="AM87" s="64" t="n">
        <x:v>0.6</x:v>
      </x:c>
      <x:c r="AN87" t="n">
        <x:v>0</x:v>
      </x:c>
      <x:c r="AO87" t="str">
        <x:v>Verde</x:v>
      </x:c>
      <x:c r="AP87" t="str">
        <x:v>passageiro preso; SLA acima de 55%; carro parado</x:v>
      </x:c>
      <x:c r="AQ87" t="str">
        <x:v>Sem recorrência relevante; acompanhar evolução de Tração.</x:v>
      </x:c>
      <x:c r="AR87" s="62" t="n">
        <x:v>970</x:v>
      </x:c>
      <x:c r="AS87" t="str">
        <x:v>Médio</x:v>
      </x:c>
      <x:c r="AT87" s="50" t="n">
        <x:v>46273.458333333336</x:v>
      </x:c>
      <x:c r="AU87" t="str">
        <x:v>T04</x:v>
      </x:c>
      <x:c r="AV87" t="str">
        <x:v>T2 original + evolução sintética posterior</x:v>
      </x:c>
    </x:row>
    <x:row r="88">
      <x:c r="A88" t="str">
        <x:v>CH-20260908-010</x:v>
      </x:c>
      <x:c r="B88" t="str">
        <x:v>Falha de Nivelamento</x:v>
      </x:c>
      <x:c r="C88" t="str">
        <x:v>Cabine desnivelada</x:v>
      </x:c>
      <x:c r="D88" t="str">
        <x:v>Cabine parou fora do nível do pavimento.</x:v>
      </x:c>
      <x:c r="E88" t="str">
        <x:v>Concluído</x:v>
      </x:c>
      <x:c r="F88" t="str">
        <x:v>IoT</x:v>
      </x:c>
      <x:c r="G88" t="str">
        <x:v>E-110</x:v>
      </x:c>
      <x:c r="H88" t="str">
        <x:v>Elevador Social</x:v>
      </x:c>
      <x:c r="I88" t="str">
        <x:v>Microprocessado</x:v>
      </x:c>
      <x:c r="J88" t="str">
        <x:v>Gearless</x:v>
      </x:c>
      <x:c r="K88" t="str">
        <x:v>OTIS</x:v>
      </x:c>
      <x:c r="L88" t="str">
        <x:v>ROT-014</x:v>
      </x:c>
      <x:c r="M88" t="str">
        <x:v>Sensor de Nível</x:v>
      </x:c>
      <x:c r="N88" t="str">
        <x:v>Sensor</x:v>
      </x:c>
      <x:c r="O88" t="str">
        <x:v>Leitura inconsistente</x:v>
      </x:c>
      <x:c r="P88" t="str">
        <x:v>Falha de nivelamento</x:v>
      </x:c>
      <x:c r="Q88" t="str">
        <x:v>Sensor ajustado/substituído</x:v>
      </x:c>
      <x:c r="R88" t="str">
        <x:v>Condomínio Alameda</x:v>
      </x:c>
      <x:c r="S88" t="str">
        <x:v>Não</x:v>
      </x:c>
      <x:c r="T88" t="str">
        <x:v>Não</x:v>
      </x:c>
      <x:c r="U88" t="str">
        <x:v>CT-2026-004</x:v>
      </x:c>
      <x:c r="V88" t="str">
        <x:v>SP-Sul</x:v>
      </x:c>
      <x:c r="W88" t="str">
        <x:v>Carlos Souza</x:v>
      </x:c>
      <x:c r="X88" t="str">
        <x:v>Supervisor B</x:v>
      </x:c>
      <x:c r="Y88" t="str">
        <x:v>Rota Sul 04</x:v>
      </x:c>
      <x:c r="Z88" t="str">
        <x:v>R. das Acácias, 420 - São Paulo/SP</x:v>
      </x:c>
      <x:c r="AA88" t="str">
        <x:v>São Paulo</x:v>
      </x:c>
      <x:c r="AB88" s="50" t="n">
        <x:v>46273.3326388889</x:v>
      </x:c>
      <x:c r="AC88" s="50" t="n">
        <x:v>46273.3340277778</x:v>
      </x:c>
      <x:c r="AD88" s="50" t="n">
        <x:v>46273.3368055556</x:v>
      </x:c>
      <x:c r="AE88" s="50" t="n">
        <x:v>46273.3465277778</x:v>
      </x:c>
      <x:c r="AF88" s="50" t="n">
        <x:v>46273.3951388889</x:v>
      </x:c>
      <x:c r="AG88" t="n">
        <x:v>20</x:v>
      </x:c>
      <x:c r="AH88" t="n">
        <x:v>65</x:v>
      </x:c>
      <x:c r="AI88" t="str">
        <x:v>Não</x:v>
      </x:c>
      <x:c r="AJ88" t="str">
        <x:v>Não</x:v>
      </x:c>
      <x:c r="AK88" t="n">
        <x:v>180</x:v>
      </x:c>
      <x:c r="AL88" t="n">
        <x:v>0</x:v>
      </x:c>
      <x:c r="AM88" s="64" t="n">
        <x:v>0.4722</x:v>
      </x:c>
      <x:c r="AN88" t="n">
        <x:v>1</x:v>
      </x:c>
      <x:c r="AO88" t="str">
        <x:v>Verde</x:v>
      </x:c>
      <x:c r="AP88" t="str">
        <x:v>operação dentro do esperado</x:v>
      </x:c>
      <x:c r="AQ88" t="str">
        <x:v>Há ocorrência recente semelhante; comparar solução anterior de Sensor de Nível.</x:v>
      </x:c>
      <x:c r="AR88" s="62" t="n">
        <x:v>791</x:v>
      </x:c>
      <x:c r="AS88" t="str">
        <x:v>Médio</x:v>
      </x:c>
      <x:c r="AT88" s="50" t="n">
        <x:v>46273.458333333336</x:v>
      </x:c>
      <x:c r="AU88" t="str">
        <x:v>T04</x:v>
      </x:c>
      <x:c r="AV88" t="str">
        <x:v>T2 original + evolução sintética posterior</x:v>
      </x:c>
    </x:row>
    <x:row r="89">
      <x:c r="A89" t="str">
        <x:v>CH-20260908-011</x:v>
      </x:c>
      <x:c r="B89" t="str">
        <x:v>Porta não fecha</x:v>
      </x:c>
      <x:c r="C89" t="str">
        <x:v>Falha no fechamento</x:v>
      </x:c>
      <x:c r="D89" t="str">
        <x:v>Porta permanece aberta e impede partida.</x:v>
      </x:c>
      <x:c r="E89" t="str">
        <x:v>Concluído</x:v>
      </x:c>
      <x:c r="F89" t="str">
        <x:v>Aplicativo Cliente</x:v>
      </x:c>
      <x:c r="G89" t="str">
        <x:v>E-111</x:v>
      </x:c>
      <x:c r="H89" t="str">
        <x:v>Elevador Social</x:v>
      </x:c>
      <x:c r="I89" t="str">
        <x:v>Microprocessado</x:v>
      </x:c>
      <x:c r="J89" t="str">
        <x:v>Gearless</x:v>
      </x:c>
      <x:c r="K89" t="str">
        <x:v>OTIS</x:v>
      </x:c>
      <x:c r="L89" t="str">
        <x:v>ROT-021</x:v>
      </x:c>
      <x:c r="M89" t="str">
        <x:v>Operador de Porta</x:v>
      </x:c>
      <x:c r="N89" t="str">
        <x:v>Sensor de porta</x:v>
      </x:c>
      <x:c r="O89" t="str">
        <x:v>Falha de leitura</x:v>
      </x:c>
      <x:c r="P89" t="str">
        <x:v>Porta aberta</x:v>
      </x:c>
      <x:c r="Q89" t="str">
        <x:v>Inspeção técnica e normalização demonstrativas de Operador de Porta; resolução sintética, sem confirmação de consumo de peças.</x:v>
      </x:c>
      <x:c r="R89" t="str">
        <x:v>Aeroporto Terminal 3</x:v>
      </x:c>
      <x:c r="S89" t="str">
        <x:v>Sim</x:v>
      </x:c>
      <x:c r="T89" t="str">
        <x:v>Sim</x:v>
      </x:c>
      <x:c r="U89" t="str">
        <x:v>CT-2026-005</x:v>
      </x:c>
      <x:c r="V89" t="str">
        <x:v>GRU</x:v>
      </x:c>
      <x:c r="W89" t="str">
        <x:v>Renata Alves</x:v>
      </x:c>
      <x:c r="X89" t="str">
        <x:v>Supervisor C</x:v>
      </x:c>
      <x:c r="Y89" t="str">
        <x:v>Rota GRU 05</x:v>
      </x:c>
      <x:c r="Z89" t="str">
        <x:v>Rod. Hélio Smidt, s/n - Guarulhos/SP</x:v>
      </x:c>
      <x:c r="AA89" t="str">
        <x:v>São Paulo</x:v>
      </x:c>
      <x:c r="AB89" s="50" t="n">
        <x:v>46273.3354166667</x:v>
      </x:c>
      <x:c r="AC89" s="50" t="n">
        <x:v>46273.3375</x:v>
      </x:c>
      <x:c r="AD89" s="50" t="n">
        <x:v>46273.341666666696</x:v>
      </x:c>
      <x:c r="AE89" s="50" t="n">
        <x:v>46273.3534722222</x:v>
      </x:c>
      <x:c r="AF89" s="50" t="n">
        <x:v>46273.41875</x:v>
      </x:c>
      <x:c r="AG89" t="n">
        <x:v>26</x:v>
      </x:c>
      <x:c r="AH89" t="n">
        <x:v>89</x:v>
      </x:c>
      <x:c r="AI89" t="str">
        <x:v>Não</x:v>
      </x:c>
      <x:c r="AJ89" t="str">
        <x:v>Não</x:v>
      </x:c>
      <x:c r="AK89" t="n">
        <x:v>45</x:v>
      </x:c>
      <x:c r="AL89" t="n">
        <x:v>0</x:v>
      </x:c>
      <x:c r="AM89" s="64" t="n">
        <x:v>2.5556</x:v>
      </x:c>
      <x:c r="AN89" t="n">
        <x:v>2</x:v>
      </x:c>
      <x:c r="AO89" t="str">
        <x:v>Vermelho</x:v>
      </x:c>
      <x:c r="AP89" t="str">
        <x:v>SLA sintético excedido (tempo acumulado ≥ 100% do SLA)</x:v>
      </x:c>
      <x:c r="AQ89" t="str">
        <x:v>Encerramento demonstrativo de Operador de Porta; verificar fechamento e histórico para aprendizado. Sem despacho automático.</x:v>
      </x:c>
      <x:c r="AR89" s="62" t="n">
        <x:v>880</x:v>
      </x:c>
      <x:c r="AS89" t="str">
        <x:v>Médio</x:v>
      </x:c>
      <x:c r="AT89" s="50" t="n">
        <x:v>46273.458333333336</x:v>
      </x:c>
      <x:c r="AU89" t="str">
        <x:v>T04</x:v>
      </x:c>
      <x:c r="AV89" t="str">
        <x:v>T2 original + evolução sintética posterior</x:v>
      </x:c>
    </x:row>
    <x:row r="90">
      <x:c r="A90" t="str">
        <x:v>CH-20260908-012</x:v>
      </x:c>
      <x:c r="B90" t="str">
        <x:v>Painel sem comunicação</x:v>
      </x:c>
      <x:c r="C90" t="str">
        <x:v>Falha de comunicação</x:v>
      </x:c>
      <x:c r="D90" t="str">
        <x:v>Painel não responde aos comandos.</x:v>
      </x:c>
      <x:c r="E90" t="str">
        <x:v>Concluído</x:v>
      </x:c>
      <x:c r="F90" t="str">
        <x:v>Monitoramento Remoto</x:v>
      </x:c>
      <x:c r="G90" t="str">
        <x:v>E-112</x:v>
      </x:c>
      <x:c r="H90" t="str">
        <x:v>Elevador Social</x:v>
      </x:c>
      <x:c r="I90" t="str">
        <x:v>Microprocessado</x:v>
      </x:c>
      <x:c r="J90" t="str">
        <x:v>Gearless</x:v>
      </x:c>
      <x:c r="K90" t="str">
        <x:v>OTIS</x:v>
      </x:c>
      <x:c r="L90" t="str">
        <x:v>ROT-033</x:v>
      </x:c>
      <x:c r="M90" t="str">
        <x:v>Painel/Comando</x:v>
      </x:c>
      <x:c r="N90" t="str">
        <x:v>Interface</x:v>
      </x:c>
      <x:c r="O90" t="str">
        <x:v>Sem comunicação</x:v>
      </x:c>
      <x:c r="P90" t="str">
        <x:v>Falha lógica</x:v>
      </x:c>
      <x:c r="Q90" t="str">
        <x:v>Interface reinicializada/substituída</x:v>
      </x:c>
      <x:c r="R90" t="str">
        <x:v>Universidade Central</x:v>
      </x:c>
      <x:c r="S90" t="str">
        <x:v>Não</x:v>
      </x:c>
      <x:c r="T90" t="str">
        <x:v>Sim</x:v>
      </x:c>
      <x:c r="U90" t="str">
        <x:v>CT-2026-006</x:v>
      </x:c>
      <x:c r="V90" t="str">
        <x:v>SP-Leste</x:v>
      </x:c>
      <x:c r="W90" t="str">
        <x:v>Paulo Mendes</x:v>
      </x:c>
      <x:c r="X90" t="str">
        <x:v>Supervisor D</x:v>
      </x:c>
      <x:c r="Y90" t="str">
        <x:v>Rota Leste 06</x:v>
      </x:c>
      <x:c r="Z90" t="str">
        <x:v>Av. Central, 850 - São Paulo/SP</x:v>
      </x:c>
      <x:c r="AA90" t="str">
        <x:v>São Paulo</x:v>
      </x:c>
      <x:c r="AB90" s="50" t="n">
        <x:v>46273.3381944444</x:v>
      </x:c>
      <x:c r="AC90" s="50" t="n">
        <x:v>46273.3409722222</x:v>
      </x:c>
      <x:c r="AD90" s="50" t="n">
        <x:v>46273.3423611111</x:v>
      </x:c>
      <x:c r="AE90" s="50" t="n">
        <x:v>46273.3618055556</x:v>
      </x:c>
      <x:c r="AF90" s="50" t="n">
        <x:v>46273.3819444444</x:v>
      </x:c>
      <x:c r="AG90" t="n">
        <x:v>34</x:v>
      </x:c>
      <x:c r="AH90" t="n">
        <x:v>24</x:v>
      </x:c>
      <x:c r="AI90" t="str">
        <x:v>Não</x:v>
      </x:c>
      <x:c r="AJ90" t="str">
        <x:v>Não</x:v>
      </x:c>
      <x:c r="AK90" t="n">
        <x:v>120</x:v>
      </x:c>
      <x:c r="AL90" t="n">
        <x:v>0</x:v>
      </x:c>
      <x:c r="AM90" s="64" t="n">
        <x:v>0.4833</x:v>
      </x:c>
      <x:c r="AN90" t="n">
        <x:v>3</x:v>
      </x:c>
      <x:c r="AO90" t="str">
        <x:v>Verde</x:v>
      </x:c>
      <x:c r="AP90" t="str">
        <x:v>3 recorrências/30d</x:v>
      </x:c>
      <x:c r="AQ90" t="str">
        <x:v>Recorrência elevada: verificar padrão histórico em Painel/Comando/Interface.</x:v>
      </x:c>
      <x:c r="AR90" s="62" t="n">
        <x:v>1280</x:v>
      </x:c>
      <x:c r="AS90" t="str">
        <x:v>Alto</x:v>
      </x:c>
      <x:c r="AT90" s="50" t="n">
        <x:v>46273.458333333336</x:v>
      </x:c>
      <x:c r="AU90" t="str">
        <x:v>T04</x:v>
      </x:c>
      <x:c r="AV90" t="str">
        <x:v>T2 original + evolução sintética posterior</x:v>
      </x:c>
    </x:row>
    <x:row r="91">
      <x:c r="A91" t="str">
        <x:v>CH-20260908-013</x:v>
      </x:c>
      <x:c r="B91" t="str">
        <x:v>Falha de Tração</x:v>
      </x:c>
      <x:c r="C91" t="str">
        <x:v>Movimento irregular</x:v>
      </x:c>
      <x:c r="D91" t="str">
        <x:v>Equipamento apresenta perda de tração.</x:v>
      </x:c>
      <x:c r="E91" t="str">
        <x:v>Concluído</x:v>
      </x:c>
      <x:c r="F91" t="str">
        <x:v>Central de Atendimento</x:v>
      </x:c>
      <x:c r="G91" t="str">
        <x:v>E-113</x:v>
      </x:c>
      <x:c r="H91" t="str">
        <x:v>Elevador Social</x:v>
      </x:c>
      <x:c r="I91" t="str">
        <x:v>Microprocessado</x:v>
      </x:c>
      <x:c r="J91" t="str">
        <x:v>Gearless</x:v>
      </x:c>
      <x:c r="K91" t="str">
        <x:v>OTIS</x:v>
      </x:c>
      <x:c r="L91" t="str">
        <x:v>ROT-041</x:v>
      </x:c>
      <x:c r="M91" t="str">
        <x:v>Máquina de Tração</x:v>
      </x:c>
      <x:c r="N91" t="str">
        <x:v>Inversor</x:v>
      </x:c>
      <x:c r="O91" t="str">
        <x:v>Oscilação</x:v>
      </x:c>
      <x:c r="P91" t="str">
        <x:v>Falha de movimento</x:v>
      </x:c>
      <x:c r="Q91" t="str">
        <x:v>Inspeção técnica e normalização demonstrativas de Máquina de Tração; resolução sintética, sem confirmação de consumo de peças.</x:v>
      </x:c>
      <x:c r="R91" t="str">
        <x:v>Hospital São Paulo</x:v>
      </x:c>
      <x:c r="S91" t="str">
        <x:v>Sim</x:v>
      </x:c>
      <x:c r="T91" t="str">
        <x:v>Sim</x:v>
      </x:c>
      <x:c r="U91" t="str">
        <x:v>CT-2026-001</x:v>
      </x:c>
      <x:c r="V91" t="str">
        <x:v>SP-Centro</x:v>
      </x:c>
      <x:c r="W91" t="str">
        <x:v>João Silva</x:v>
      </x:c>
      <x:c r="X91" t="str">
        <x:v>Supervisor A</x:v>
      </x:c>
      <x:c r="Y91" t="str">
        <x:v>Rota Centro 01</x:v>
      </x:c>
      <x:c r="Z91" t="str">
        <x:v>Av. Paulista, 1000 - São Paulo/SP</x:v>
      </x:c>
      <x:c r="AA91" t="str">
        <x:v>São Paulo</x:v>
      </x:c>
      <x:c r="AB91" s="50" t="n">
        <x:v>46273.341666666696</x:v>
      </x:c>
      <x:c r="AC91" s="50" t="n">
        <x:v>46273.3451388889</x:v>
      </x:c>
      <x:c r="AD91" s="50" t="n">
        <x:v>46273.3479166667</x:v>
      </x:c>
      <x:c r="AE91" s="50" t="n">
        <x:v>46273.3722222222</x:v>
      </x:c>
      <x:c r="AF91" s="50" t="n">
        <x:v>46273.43124999998</x:v>
      </x:c>
      <x:c r="AG91" t="n">
        <x:v>44</x:v>
      </x:c>
      <x:c r="AH91" t="n">
        <x:v>80</x:v>
      </x:c>
      <x:c r="AI91" t="str">
        <x:v>Não</x:v>
      </x:c>
      <x:c r="AJ91" t="str">
        <x:v>Sim</x:v>
      </x:c>
      <x:c r="AK91" t="n">
        <x:v>60</x:v>
      </x:c>
      <x:c r="AL91" t="n">
        <x:v>0</x:v>
      </x:c>
      <x:c r="AM91" s="64" t="n">
        <x:v>2.0667</x:v>
      </x:c>
      <x:c r="AN91" t="n">
        <x:v>1</x:v>
      </x:c>
      <x:c r="AO91" t="str">
        <x:v>Vermelho</x:v>
      </x:c>
      <x:c r="AP91" t="str">
        <x:v>SLA sintético excedido (tempo acumulado ≥ 100% do SLA)</x:v>
      </x:c>
      <x:c r="AQ91" t="str">
        <x:v>Encerramento demonstrativo de Máquina de Tração; verificar fechamento e histórico para aprendizado. Sem despacho automático.</x:v>
      </x:c>
      <x:c r="AR91" s="62" t="n">
        <x:v>1085</x:v>
      </x:c>
      <x:c r="AS91" t="str">
        <x:v>Médio</x:v>
      </x:c>
      <x:c r="AT91" s="50" t="n">
        <x:v>46273.458333333336</x:v>
      </x:c>
      <x:c r="AU91" t="str">
        <x:v>T04</x:v>
      </x:c>
      <x:c r="AV91" t="str">
        <x:v>T2 original + evolução sintética posterior</x:v>
      </x:c>
    </x:row>
    <x:row r="92">
      <x:c r="A92" t="str">
        <x:v>CH-20260908-014</x:v>
      </x:c>
      <x:c r="B92" t="str">
        <x:v>Iluminação de Cabine</x:v>
      </x:c>
      <x:c r="C92" t="str">
        <x:v>Iluminação inoperante</x:v>
      </x:c>
      <x:c r="D92" t="str">
        <x:v>Cabine com iluminação parcial ou total indisponível.</x:v>
      </x:c>
      <x:c r="E92" t="str">
        <x:v>Concluído</x:v>
      </x:c>
      <x:c r="F92" t="str">
        <x:v>IoT</x:v>
      </x:c>
      <x:c r="G92" t="str">
        <x:v>E-114</x:v>
      </x:c>
      <x:c r="H92" t="str">
        <x:v>Elevador Social</x:v>
      </x:c>
      <x:c r="I92" t="str">
        <x:v>Microprocessado</x:v>
      </x:c>
      <x:c r="J92" t="str">
        <x:v>Gearless</x:v>
      </x:c>
      <x:c r="K92" t="str">
        <x:v>OTIS</x:v>
      </x:c>
      <x:c r="L92" t="str">
        <x:v>ROT-052</x:v>
      </x:c>
      <x:c r="M92" t="str">
        <x:v>Elétrica</x:v>
      </x:c>
      <x:c r="N92" t="str">
        <x:v>Fonte</x:v>
      </x:c>
      <x:c r="O92" t="str">
        <x:v>Sem alimentação</x:v>
      </x:c>
      <x:c r="P92" t="str">
        <x:v>Falha elétrica</x:v>
      </x:c>
      <x:c r="Q92" t="str">
        <x:v>Inspeção técnica e normalização demonstrativas de Elétrica; resolução sintética, sem confirmação de consumo de peças.</x:v>
      </x:c>
      <x:c r="R92" t="str">
        <x:v>Shopping Center Norte</x:v>
      </x:c>
      <x:c r="S92" t="str">
        <x:v>Não</x:v>
      </x:c>
      <x:c r="T92" t="str">
        <x:v>Sim</x:v>
      </x:c>
      <x:c r="U92" t="str">
        <x:v>CT-2026-002</x:v>
      </x:c>
      <x:c r="V92" t="str">
        <x:v>SP-Norte</x:v>
      </x:c>
      <x:c r="W92" t="str">
        <x:v>Marcos Lima</x:v>
      </x:c>
      <x:c r="X92" t="str">
        <x:v>Supervisor B</x:v>
      </x:c>
      <x:c r="Y92" t="str">
        <x:v>Rota Norte 02</x:v>
      </x:c>
      <x:c r="Z92" t="str">
        <x:v>Av. Otto Baumgart, 245 - São Paulo/SP</x:v>
      </x:c>
      <x:c r="AA92" t="str">
        <x:v>São Paulo</x:v>
      </x:c>
      <x:c r="AB92" s="50" t="n">
        <x:v>46273.3451388889</x:v>
      </x:c>
      <x:c r="AC92" s="50" t="n">
        <x:v>46273.3493055556</x:v>
      </x:c>
      <x:c r="AD92" s="50" t="n">
        <x:v>46273.3534722222</x:v>
      </x:c>
      <x:c r="AE92" s="50" t="n">
        <x:v>46273.3826388889</x:v>
      </x:c>
      <x:c r="AF92" s="50" t="n">
        <x:v>46273.4451388889</x:v>
      </x:c>
      <x:c r="AG92" t="n">
        <x:v>54</x:v>
      </x:c>
      <x:c r="AH92" t="n">
        <x:v>85</x:v>
      </x:c>
      <x:c r="AI92" t="str">
        <x:v>Não</x:v>
      </x:c>
      <x:c r="AJ92" t="str">
        <x:v>Não</x:v>
      </x:c>
      <x:c r="AK92" t="n">
        <x:v>90</x:v>
      </x:c>
      <x:c r="AL92" t="n">
        <x:v>0</x:v>
      </x:c>
      <x:c r="AM92" s="64" t="n">
        <x:v>1.5444</x:v>
      </x:c>
      <x:c r="AN92" t="n">
        <x:v>0</x:v>
      </x:c>
      <x:c r="AO92" t="str">
        <x:v>Vermelho</x:v>
      </x:c>
      <x:c r="AP92" t="str">
        <x:v>SLA sintético excedido (tempo acumulado ≥ 100% do SLA)</x:v>
      </x:c>
      <x:c r="AQ92" t="str">
        <x:v>Encerramento demonstrativo de Elétrica; verificar fechamento e histórico para aprendizado. Sem despacho automático.</x:v>
      </x:c>
      <x:c r="AR92" s="62" t="n">
        <x:v>770</x:v>
      </x:c>
      <x:c r="AS92" t="str">
        <x:v>Médio</x:v>
      </x:c>
      <x:c r="AT92" s="50" t="n">
        <x:v>46273.458333333336</x:v>
      </x:c>
      <x:c r="AU92" t="str">
        <x:v>T04</x:v>
      </x:c>
      <x:c r="AV92" t="str">
        <x:v>T2 original + evolução sintética posterior</x:v>
      </x:c>
    </x:row>
    <x:row r="93">
      <x:c r="A93" t="str">
        <x:v>CH-20260908-015</x:v>
      </x:c>
      <x:c r="B93" t="str">
        <x:v>Botão de Chamada</x:v>
      </x:c>
      <x:c r="C93" t="str">
        <x:v>Botão não responde</x:v>
      </x:c>
      <x:c r="D93" t="str">
        <x:v>Botão de chamada não registra comando.</x:v>
      </x:c>
      <x:c r="E93" t="str">
        <x:v>Concluído</x:v>
      </x:c>
      <x:c r="F93" t="str">
        <x:v>Aplicativo Cliente</x:v>
      </x:c>
      <x:c r="G93" t="str">
        <x:v>E-115</x:v>
      </x:c>
      <x:c r="H93" t="str">
        <x:v>Elevador Social</x:v>
      </x:c>
      <x:c r="I93" t="str">
        <x:v>Microprocessado</x:v>
      </x:c>
      <x:c r="J93" t="str">
        <x:v>Gearless</x:v>
      </x:c>
      <x:c r="K93" t="str">
        <x:v>OTIS</x:v>
      </x:c>
      <x:c r="L93" t="str">
        <x:v>ROT-063</x:v>
      </x:c>
      <x:c r="M93" t="str">
        <x:v>Botoeira</x:v>
      </x:c>
      <x:c r="N93" t="str">
        <x:v>Contato</x:v>
      </x:c>
      <x:c r="O93" t="str">
        <x:v>Mau contato</x:v>
      </x:c>
      <x:c r="P93" t="str">
        <x:v>Falha de comando</x:v>
      </x:c>
      <x:c r="Q93" t="str">
        <x:v>Inspeção técnica e normalização demonstrativas de Botoeira; resolução sintética, sem confirmação de consumo de peças.</x:v>
      </x:c>
      <x:c r="R93" t="str">
        <x:v>Edifício Corporate</x:v>
      </x:c>
      <x:c r="S93" t="str">
        <x:v>Não</x:v>
      </x:c>
      <x:c r="T93" t="str">
        <x:v>Sim</x:v>
      </x:c>
      <x:c r="U93" t="str">
        <x:v>CT-2026-003</x:v>
      </x:c>
      <x:c r="V93" t="str">
        <x:v>SP-Oeste</x:v>
      </x:c>
      <x:c r="W93" t="str">
        <x:v>Ana Costa</x:v>
      </x:c>
      <x:c r="X93" t="str">
        <x:v>Supervisor C</x:v>
      </x:c>
      <x:c r="Y93" t="str">
        <x:v>Rota Oeste 03</x:v>
      </x:c>
      <x:c r="Z93" t="str">
        <x:v>Av. Faria Lima, 3500 - São Paulo/SP</x:v>
      </x:c>
      <x:c r="AA93" t="str">
        <x:v>São Paulo</x:v>
      </x:c>
      <x:c r="AB93" s="50" t="n">
        <x:v>46273.3486111111</x:v>
      </x:c>
      <x:c r="AC93" s="50" t="n">
        <x:v>46273.35</x:v>
      </x:c>
      <x:c r="AD93" s="50" t="n">
        <x:v>46273.3513888889</x:v>
      </x:c>
      <x:c r="AE93" s="50" t="n">
        <x:v>46273.3618055556</x:v>
      </x:c>
      <x:c r="AF93" s="50" t="n">
        <x:v>46273.42152777778</x:v>
      </x:c>
      <x:c r="AG93" t="n">
        <x:v>19</x:v>
      </x:c>
      <x:c r="AH93" t="n">
        <x:v>81</x:v>
      </x:c>
      <x:c r="AI93" t="str">
        <x:v>Não</x:v>
      </x:c>
      <x:c r="AJ93" t="str">
        <x:v>Não</x:v>
      </x:c>
      <x:c r="AK93" t="n">
        <x:v>120</x:v>
      </x:c>
      <x:c r="AL93" t="n">
        <x:v>0</x:v>
      </x:c>
      <x:c r="AM93" s="64" t="n">
        <x:v>0.8333</x:v>
      </x:c>
      <x:c r="AN93" t="n">
        <x:v>2</x:v>
      </x:c>
      <x:c r="AO93" t="str">
        <x:v>Laranja</x:v>
      </x:c>
      <x:c r="AP93" t="str">
        <x:v>janela de intervenção: tempo acumulado ≥ 80% do SLA</x:v>
      </x:c>
      <x:c r="AQ93" t="str">
        <x:v>Encerramento demonstrativo de Botoeira; verificar fechamento e histórico para aprendizado. Sem despacho automático.</x:v>
      </x:c>
      <x:c r="AR93" s="62" t="n">
        <x:v>739</x:v>
      </x:c>
      <x:c r="AS93" t="str">
        <x:v>Baixo</x:v>
      </x:c>
      <x:c r="AT93" s="50" t="n">
        <x:v>46273.458333333336</x:v>
      </x:c>
      <x:c r="AU93" t="str">
        <x:v>T04</x:v>
      </x:c>
      <x:c r="AV93" t="str">
        <x:v>T2 original + evolução sintética posterior</x:v>
      </x:c>
    </x:row>
    <x:row r="94">
      <x:c r="A94" t="str">
        <x:v>CH-20260908-016</x:v>
      </x:c>
      <x:c r="B94" t="str">
        <x:v>Parada Intermitente</x:v>
      </x:c>
      <x:c r="C94" t="str">
        <x:v>Paradas aleatórias</x:v>
      </x:c>
      <x:c r="D94" t="str">
        <x:v>Equipamento interrompe operação de forma intermitente.</x:v>
      </x:c>
      <x:c r="E94" t="str">
        <x:v>Em atendimento</x:v>
      </x:c>
      <x:c r="F94" t="str">
        <x:v>Monitoramento Remoto</x:v>
      </x:c>
      <x:c r="G94" t="str">
        <x:v>E-116</x:v>
      </x:c>
      <x:c r="H94" t="str">
        <x:v>Elevador Social</x:v>
      </x:c>
      <x:c r="I94" t="str">
        <x:v>Microprocessado</x:v>
      </x:c>
      <x:c r="J94" t="str">
        <x:v>Gearless</x:v>
      </x:c>
      <x:c r="K94" t="str">
        <x:v>OTIS</x:v>
      </x:c>
      <x:c r="L94" t="str">
        <x:v>ROT-074</x:v>
      </x:c>
      <x:c r="M94" t="str">
        <x:v>Painel/Comando</x:v>
      </x:c>
      <x:c r="N94" t="str">
        <x:v>Placa</x:v>
      </x:c>
      <x:c r="O94" t="str">
        <x:v>Intermitência</x:v>
      </x:c>
      <x:c r="P94" t="str">
        <x:v>Falha intermitente</x:v>
      </x:c>
      <x:c r="Q94"/>
      <x:c r="R94" t="str">
        <x:v>Condomínio Alameda</x:v>
      </x:c>
      <x:c r="S94" t="str">
        <x:v>Não</x:v>
      </x:c>
      <x:c r="T94" t="str">
        <x:v>Não</x:v>
      </x:c>
      <x:c r="U94" t="str">
        <x:v>CT-2026-004</x:v>
      </x:c>
      <x:c r="V94" t="str">
        <x:v>SP-Sul</x:v>
      </x:c>
      <x:c r="W94" t="str">
        <x:v>Carlos Souza</x:v>
      </x:c>
      <x:c r="X94" t="str">
        <x:v>Supervisor D</x:v>
      </x:c>
      <x:c r="Y94" t="str">
        <x:v>Rota Sul 04</x:v>
      </x:c>
      <x:c r="Z94" t="str">
        <x:v>R. das Acácias, 420 - São Paulo/SP</x:v>
      </x:c>
      <x:c r="AA94" t="str">
        <x:v>São Paulo</x:v>
      </x:c>
      <x:c r="AB94" s="50" t="n">
        <x:v>46273.3520833333</x:v>
      </x:c>
      <x:c r="AC94" s="50" t="n">
        <x:v>46273.3541666667</x:v>
      </x:c>
      <x:c r="AD94" s="50" t="n">
        <x:v>46273.3569444444</x:v>
      </x:c>
      <x:c r="AE94" s="50" t="n">
        <x:v>46273.3722222222</x:v>
      </x:c>
      <x:c r="AF94" s="50"/>
      <x:c r="AG94" t="n">
        <x:v>29</x:v>
      </x:c>
      <x:c r="AH94"/>
      <x:c r="AI94" t="str">
        <x:v>Não</x:v>
      </x:c>
      <x:c r="AJ94" t="str">
        <x:v>Sim</x:v>
      </x:c>
      <x:c r="AK94" t="n">
        <x:v>180</x:v>
      </x:c>
      <x:c r="AL94" t="n">
        <x:v>0</x:v>
      </x:c>
      <x:c r="AM94" s="64" t="n">
        <x:v>0.85</x:v>
      </x:c>
      <x:c r="AN94" t="n">
        <x:v>4</x:v>
      </x:c>
      <x:c r="AO94" t="str">
        <x:v>Laranja</x:v>
      </x:c>
      <x:c r="AP94" t="str">
        <x:v>janela de intervenção: tempo acumulado ≥ 80% do SLA</x:v>
      </x:c>
      <x:c r="AQ94" t="str">
        <x:v>Janela de intervenção em Painel/Comando; revisar recorrências (4/30d) e contexto antes de escalar.</x:v>
      </x:c>
      <x:c r="AR94" s="62" t="n">
        <x:v>1564</x:v>
      </x:c>
      <x:c r="AS94" t="str">
        <x:v>Alto</x:v>
      </x:c>
      <x:c r="AT94" s="50" t="n">
        <x:v>46273.458333333336</x:v>
      </x:c>
      <x:c r="AU94" t="str">
        <x:v>T04</x:v>
      </x:c>
      <x:c r="AV94" t="str">
        <x:v>T2 original + evolução sintética posterior</x:v>
      </x:c>
    </x:row>
    <x:row r="95">
      <x:c r="A95" t="str">
        <x:v>CH-20260908-017</x:v>
      </x:c>
      <x:c r="B95" t="str">
        <x:v>Passageiro Preso</x:v>
      </x:c>
      <x:c r="C95" t="str">
        <x:v>Elevador parado entre andares</x:v>
      </x:c>
      <x:c r="D95" t="str">
        <x:v>Cabine imobilizada com passageiro no interior.</x:v>
      </x:c>
      <x:c r="E95" t="str">
        <x:v>Concluído</x:v>
      </x:c>
      <x:c r="F95" t="str">
        <x:v>Central de Atendimento</x:v>
      </x:c>
      <x:c r="G95" t="str">
        <x:v>E-117</x:v>
      </x:c>
      <x:c r="H95" t="str">
        <x:v>Elevador Social</x:v>
      </x:c>
      <x:c r="I95" t="str">
        <x:v>Microprocessado</x:v>
      </x:c>
      <x:c r="J95" t="str">
        <x:v>Gearless</x:v>
      </x:c>
      <x:c r="K95" t="str">
        <x:v>OTIS</x:v>
      </x:c>
      <x:c r="L95" t="str">
        <x:v>ROT-001</x:v>
      </x:c>
      <x:c r="M95" t="str">
        <x:v>Tração</x:v>
      </x:c>
      <x:c r="N95" t="str">
        <x:v>Freio</x:v>
      </x:c>
      <x:c r="O95" t="str">
        <x:v>Travamento</x:v>
      </x:c>
      <x:c r="P95" t="str">
        <x:v>Parada total</x:v>
      </x:c>
      <x:c r="Q95" t="str">
        <x:v>Resgate concluído e equipamento normalizado</x:v>
      </x:c>
      <x:c r="R95" t="str">
        <x:v>Aeroporto Terminal 3</x:v>
      </x:c>
      <x:c r="S95" t="str">
        <x:v>Sim</x:v>
      </x:c>
      <x:c r="T95" t="str">
        <x:v>Sim</x:v>
      </x:c>
      <x:c r="U95" t="str">
        <x:v>CT-2026-005</x:v>
      </x:c>
      <x:c r="V95" t="str">
        <x:v>GRU</x:v>
      </x:c>
      <x:c r="W95" t="str">
        <x:v>Renata Alves</x:v>
      </x:c>
      <x:c r="X95" t="str">
        <x:v>Supervisor A</x:v>
      </x:c>
      <x:c r="Y95" t="str">
        <x:v>Rota GRU 05</x:v>
      </x:c>
      <x:c r="Z95" t="str">
        <x:v>Rod. Hélio Smidt, s/n - Guarulhos/SP</x:v>
      </x:c>
      <x:c r="AA95" t="str">
        <x:v>São Paulo</x:v>
      </x:c>
      <x:c r="AB95" s="50" t="n">
        <x:v>46273.3555555556</x:v>
      </x:c>
      <x:c r="AC95" s="50" t="n">
        <x:v>46273.3583333333</x:v>
      </x:c>
      <x:c r="AD95" s="50" t="n">
        <x:v>46273.3625</x:v>
      </x:c>
      <x:c r="AE95" s="50" t="n">
        <x:v>46273.3763888889</x:v>
      </x:c>
      <x:c r="AF95" s="50" t="n">
        <x:v>46273.3993055556</x:v>
      </x:c>
      <x:c r="AG95" t="n">
        <x:v>30</x:v>
      </x:c>
      <x:c r="AH95" t="n">
        <x:v>28</x:v>
      </x:c>
      <x:c r="AI95" t="str">
        <x:v>Sim</x:v>
      </x:c>
      <x:c r="AJ95" t="str">
        <x:v>Sim</x:v>
      </x:c>
      <x:c r="AK95" t="n">
        <x:v>45</x:v>
      </x:c>
      <x:c r="AL95" t="n">
        <x:v>0</x:v>
      </x:c>
      <x:c r="AM95" s="64" t="n">
        <x:v>1.2889</x:v>
      </x:c>
      <x:c r="AN95" t="n">
        <x:v>0</x:v>
      </x:c>
      <x:c r="AO95" t="str">
        <x:v>Vermelho</x:v>
      </x:c>
      <x:c r="AP95" t="str">
        <x:v>passageiro preso; SLA estourado; carro parado</x:v>
      </x:c>
      <x:c r="AQ95" t="str">
        <x:v>Sem recorrência relevante; acompanhar evolução de Tração.</x:v>
      </x:c>
      <x:c r="AR95" s="62" t="n">
        <x:v>906</x:v>
      </x:c>
      <x:c r="AS95" t="str">
        <x:v>Médio</x:v>
      </x:c>
      <x:c r="AT95" s="50" t="n">
        <x:v>46273.458333333336</x:v>
      </x:c>
      <x:c r="AU95" t="str">
        <x:v>T04</x:v>
      </x:c>
      <x:c r="AV95" t="str">
        <x:v>T2 original + evolução sintética posterior</x:v>
      </x:c>
    </x:row>
    <x:row r="96">
      <x:c r="A96" t="str">
        <x:v>CH-20260908-018</x:v>
      </x:c>
      <x:c r="B96" t="str">
        <x:v>Falha de Nivelamento</x:v>
      </x:c>
      <x:c r="C96" t="str">
        <x:v>Cabine desnivelada</x:v>
      </x:c>
      <x:c r="D96" t="str">
        <x:v>Cabine parou fora do nível do pavimento.</x:v>
      </x:c>
      <x:c r="E96" t="str">
        <x:v>Concluído</x:v>
      </x:c>
      <x:c r="F96" t="str">
        <x:v>IoT</x:v>
      </x:c>
      <x:c r="G96" t="str">
        <x:v>E-118</x:v>
      </x:c>
      <x:c r="H96" t="str">
        <x:v>Elevador Social</x:v>
      </x:c>
      <x:c r="I96" t="str">
        <x:v>Microprocessado</x:v>
      </x:c>
      <x:c r="J96" t="str">
        <x:v>Gearless</x:v>
      </x:c>
      <x:c r="K96" t="str">
        <x:v>OTIS</x:v>
      </x:c>
      <x:c r="L96" t="str">
        <x:v>ROT-014</x:v>
      </x:c>
      <x:c r="M96" t="str">
        <x:v>Sensor de Nível</x:v>
      </x:c>
      <x:c r="N96" t="str">
        <x:v>Sensor</x:v>
      </x:c>
      <x:c r="O96" t="str">
        <x:v>Leitura inconsistente</x:v>
      </x:c>
      <x:c r="P96" t="str">
        <x:v>Falha de nivelamento</x:v>
      </x:c>
      <x:c r="Q96" t="str">
        <x:v>Inspeção técnica e normalização demonstrativas de Sensor de Nível; resolução sintética, sem confirmação de consumo de peças.</x:v>
      </x:c>
      <x:c r="R96" t="str">
        <x:v>Universidade Central</x:v>
      </x:c>
      <x:c r="S96" t="str">
        <x:v>Não</x:v>
      </x:c>
      <x:c r="T96" t="str">
        <x:v>Sim</x:v>
      </x:c>
      <x:c r="U96" t="str">
        <x:v>CT-2026-006</x:v>
      </x:c>
      <x:c r="V96" t="str">
        <x:v>SP-Leste</x:v>
      </x:c>
      <x:c r="W96" t="str">
        <x:v>Paulo Mendes</x:v>
      </x:c>
      <x:c r="X96" t="str">
        <x:v>Supervisor B</x:v>
      </x:c>
      <x:c r="Y96" t="str">
        <x:v>Rota Leste 06</x:v>
      </x:c>
      <x:c r="Z96" t="str">
        <x:v>Av. Central, 850 - São Paulo/SP</x:v>
      </x:c>
      <x:c r="AA96" t="str">
        <x:v>São Paulo</x:v>
      </x:c>
      <x:c r="AB96" s="50" t="n">
        <x:v>46273.3590277778</x:v>
      </x:c>
      <x:c r="AC96" s="50" t="n">
        <x:v>46273.3625</x:v>
      </x:c>
      <x:c r="AD96" s="50" t="n">
        <x:v>46273.363888888896</x:v>
      </x:c>
      <x:c r="AE96" s="50" t="n">
        <x:v>46273.3888888889</x:v>
      </x:c>
      <x:c r="AF96" s="50" t="n">
        <x:v>46273.437500000015</x:v>
      </x:c>
      <x:c r="AG96" t="n">
        <x:v>43</x:v>
      </x:c>
      <x:c r="AH96" t="n">
        <x:v>65</x:v>
      </x:c>
      <x:c r="AI96" t="str">
        <x:v>Não</x:v>
      </x:c>
      <x:c r="AJ96" t="str">
        <x:v>Não</x:v>
      </x:c>
      <x:c r="AK96" t="n">
        <x:v>120</x:v>
      </x:c>
      <x:c r="AL96" t="n">
        <x:v>0</x:v>
      </x:c>
      <x:c r="AM96" s="64" t="n">
        <x:v>0.9</x:v>
      </x:c>
      <x:c r="AN96" t="n">
        <x:v>1</x:v>
      </x:c>
      <x:c r="AO96" t="str">
        <x:v>Laranja</x:v>
      </x:c>
      <x:c r="AP96" t="str">
        <x:v>janela de intervenção: tempo acumulado ≥ 80% do SLA</x:v>
      </x:c>
      <x:c r="AQ96" t="str">
        <x:v>Encerramento demonstrativo de Sensor de Nível; verificar fechamento e histórico para aprendizado. Sem despacho automático.</x:v>
      </x:c>
      <x:c r="AR96" s="62" t="n">
        <x:v>613</x:v>
      </x:c>
      <x:c r="AS96" t="str">
        <x:v>Baixo</x:v>
      </x:c>
      <x:c r="AT96" s="50" t="n">
        <x:v>46273.458333333336</x:v>
      </x:c>
      <x:c r="AU96" t="str">
        <x:v>T04</x:v>
      </x:c>
      <x:c r="AV96" t="str">
        <x:v>T2 original + evolução sintética posterior</x:v>
      </x:c>
    </x:row>
    <x:row r="97">
      <x:c r="A97" t="str">
        <x:v>CH-20260908-019</x:v>
      </x:c>
      <x:c r="B97" t="str">
        <x:v>Porta não fecha</x:v>
      </x:c>
      <x:c r="C97" t="str">
        <x:v>Falha no fechamento</x:v>
      </x:c>
      <x:c r="D97" t="str">
        <x:v>Porta permanece aberta e impede partida.</x:v>
      </x:c>
      <x:c r="E97" t="str">
        <x:v>Em atendimento</x:v>
      </x:c>
      <x:c r="F97" t="str">
        <x:v>Aplicativo Cliente</x:v>
      </x:c>
      <x:c r="G97" t="str">
        <x:v>E-119</x:v>
      </x:c>
      <x:c r="H97" t="str">
        <x:v>Elevador Social</x:v>
      </x:c>
      <x:c r="I97" t="str">
        <x:v>Microprocessado</x:v>
      </x:c>
      <x:c r="J97" t="str">
        <x:v>Gearless</x:v>
      </x:c>
      <x:c r="K97" t="str">
        <x:v>OTIS</x:v>
      </x:c>
      <x:c r="L97" t="str">
        <x:v>ROT-021</x:v>
      </x:c>
      <x:c r="M97" t="str">
        <x:v>Operador de Porta</x:v>
      </x:c>
      <x:c r="N97" t="str">
        <x:v>Sensor de porta</x:v>
      </x:c>
      <x:c r="O97" t="str">
        <x:v>Falha de leitura</x:v>
      </x:c>
      <x:c r="P97" t="str">
        <x:v>Porta aberta</x:v>
      </x:c>
      <x:c r="Q97"/>
      <x:c r="R97" t="str">
        <x:v>Hospital São Paulo</x:v>
      </x:c>
      <x:c r="S97" t="str">
        <x:v>Sim</x:v>
      </x:c>
      <x:c r="T97" t="str">
        <x:v>Sim</x:v>
      </x:c>
      <x:c r="U97" t="str">
        <x:v>CT-2026-001</x:v>
      </x:c>
      <x:c r="V97" t="str">
        <x:v>SP-Centro</x:v>
      </x:c>
      <x:c r="W97" t="str">
        <x:v>João Silva</x:v>
      </x:c>
      <x:c r="X97" t="str">
        <x:v>Supervisor C</x:v>
      </x:c>
      <x:c r="Y97" t="str">
        <x:v>Rota Centro 01</x:v>
      </x:c>
      <x:c r="Z97" t="str">
        <x:v>Av. Paulista, 1000 - São Paulo/SP</x:v>
      </x:c>
      <x:c r="AA97" t="str">
        <x:v>São Paulo</x:v>
      </x:c>
      <x:c r="AB97" s="50" t="n">
        <x:v>46273.3625</x:v>
      </x:c>
      <x:c r="AC97" s="50" t="n">
        <x:v>46273.3666666667</x:v>
      </x:c>
      <x:c r="AD97" s="50" t="n">
        <x:v>46273.3694444444</x:v>
      </x:c>
      <x:c r="AE97" s="50" t="n">
        <x:v>46273.399305555555</x:v>
      </x:c>
      <x:c r="AF97" s="50"/>
      <x:c r="AG97" t="n">
        <x:v>53</x:v>
      </x:c>
      <x:c r="AH97"/>
      <x:c r="AI97" t="str">
        <x:v>Não</x:v>
      </x:c>
      <x:c r="AJ97" t="str">
        <x:v>Não</x:v>
      </x:c>
      <x:c r="AK97" t="n">
        <x:v>60</x:v>
      </x:c>
      <x:c r="AL97" t="n">
        <x:v>0</x:v>
      </x:c>
      <x:c r="AM97" s="64" t="n">
        <x:v>2.3</x:v>
      </x:c>
      <x:c r="AN97" t="n">
        <x:v>2</x:v>
      </x:c>
      <x:c r="AO97" t="str">
        <x:v>Vermelho</x:v>
      </x:c>
      <x:c r="AP97" t="str">
        <x:v>SLA sintético excedido (tempo acumulado ≥ 100% do SLA)</x:v>
      </x:c>
      <x:c r="AQ97" t="str">
        <x:v>Priorizar avaliação do chamado em Operador de Porta; SLA demonstrativo comprometido. Supervisor decide o encaminhamento.</x:v>
      </x:c>
      <x:c r="AR97" s="62" t="n">
        <x:v>718</x:v>
      </x:c>
      <x:c r="AS97" t="str">
        <x:v>Baixo</x:v>
      </x:c>
      <x:c r="AT97" s="50" t="n">
        <x:v>46273.458333333336</x:v>
      </x:c>
      <x:c r="AU97" t="str">
        <x:v>T04</x:v>
      </x:c>
      <x:c r="AV97" t="str">
        <x:v>T2 original + evolução sintética posterior</x:v>
      </x:c>
    </x:row>
    <x:row r="98">
      <x:c r="A98" t="str">
        <x:v>CH-20260908-020</x:v>
      </x:c>
      <x:c r="B98" t="str">
        <x:v>Painel sem comunicação</x:v>
      </x:c>
      <x:c r="C98" t="str">
        <x:v>Falha de comunicação</x:v>
      </x:c>
      <x:c r="D98" t="str">
        <x:v>Painel não responde aos comandos.</x:v>
      </x:c>
      <x:c r="E98" t="str">
        <x:v>Em atendimento</x:v>
      </x:c>
      <x:c r="F98" t="str">
        <x:v>Monitoramento Remoto</x:v>
      </x:c>
      <x:c r="G98" t="str">
        <x:v>E-120</x:v>
      </x:c>
      <x:c r="H98" t="str">
        <x:v>Elevador Social</x:v>
      </x:c>
      <x:c r="I98" t="str">
        <x:v>Microprocessado</x:v>
      </x:c>
      <x:c r="J98" t="str">
        <x:v>Gearless</x:v>
      </x:c>
      <x:c r="K98" t="str">
        <x:v>OTIS</x:v>
      </x:c>
      <x:c r="L98" t="str">
        <x:v>ROT-033</x:v>
      </x:c>
      <x:c r="M98" t="str">
        <x:v>Painel/Comando</x:v>
      </x:c>
      <x:c r="N98" t="str">
        <x:v>Interface</x:v>
      </x:c>
      <x:c r="O98" t="str">
        <x:v>Sem comunicação</x:v>
      </x:c>
      <x:c r="P98" t="str">
        <x:v>Falha lógica</x:v>
      </x:c>
      <x:c r="Q98"/>
      <x:c r="R98" t="str">
        <x:v>Shopping Center Norte</x:v>
      </x:c>
      <x:c r="S98" t="str">
        <x:v>Não</x:v>
      </x:c>
      <x:c r="T98" t="str">
        <x:v>Sim</x:v>
      </x:c>
      <x:c r="U98" t="str">
        <x:v>CT-2026-002</x:v>
      </x:c>
      <x:c r="V98" t="str">
        <x:v>SP-Norte</x:v>
      </x:c>
      <x:c r="W98" t="str">
        <x:v>Marcos Lima</x:v>
      </x:c>
      <x:c r="X98" t="str">
        <x:v>Supervisor D</x:v>
      </x:c>
      <x:c r="Y98" t="str">
        <x:v>Rota Norte 02</x:v>
      </x:c>
      <x:c r="Z98" t="str">
        <x:v>Av. Otto Baumgart, 245 - São Paulo/SP</x:v>
      </x:c>
      <x:c r="AA98" t="str">
        <x:v>São Paulo</x:v>
      </x:c>
      <x:c r="AB98" s="50" t="n">
        <x:v>46273.3659722222</x:v>
      </x:c>
      <x:c r="AC98" s="50" t="n">
        <x:v>46273.3673611111</x:v>
      </x:c>
      <x:c r="AD98" s="50" t="n">
        <x:v>46273.3715277778</x:v>
      </x:c>
      <x:c r="AE98" s="50" t="n">
        <x:v>46273.3826388889</x:v>
      </x:c>
      <x:c r="AF98" s="50"/>
      <x:c r="AG98" t="n">
        <x:v>24</x:v>
      </x:c>
      <x:c r="AH98"/>
      <x:c r="AI98" t="str">
        <x:v>Não</x:v>
      </x:c>
      <x:c r="AJ98" t="str">
        <x:v>Não</x:v>
      </x:c>
      <x:c r="AK98" t="n">
        <x:v>90</x:v>
      </x:c>
      <x:c r="AL98" t="n">
        <x:v>0</x:v>
      </x:c>
      <x:c r="AM98" s="64" t="n">
        <x:v>1.4778</x:v>
      </x:c>
      <x:c r="AN98" t="n">
        <x:v>3</x:v>
      </x:c>
      <x:c r="AO98" t="str">
        <x:v>Vermelho</x:v>
      </x:c>
      <x:c r="AP98" t="str">
        <x:v>SLA sintético excedido (tempo acumulado ≥ 100% do SLA)</x:v>
      </x:c>
      <x:c r="AQ98" t="str">
        <x:v>Priorizar avaliação do chamado em Painel/Comando; SLA demonstrativo comprometido. Supervisor decide o encaminhamento.</x:v>
      </x:c>
      <x:c r="AR98" s="62" t="n">
        <x:v>1407</x:v>
      </x:c>
      <x:c r="AS98" t="str">
        <x:v>Alto</x:v>
      </x:c>
      <x:c r="AT98" s="50" t="n">
        <x:v>46273.458333333336</x:v>
      </x:c>
      <x:c r="AU98" t="str">
        <x:v>T04</x:v>
      </x:c>
      <x:c r="AV98" t="str">
        <x:v>T2 original + evolução sintética posterior</x:v>
      </x:c>
    </x:row>
    <x:row r="99">
      <x:c r="A99" t="str">
        <x:v>CH-20260908-021</x:v>
      </x:c>
      <x:c r="B99" t="str">
        <x:v>Falha de Tração</x:v>
      </x:c>
      <x:c r="C99" t="str">
        <x:v>Movimento irregular</x:v>
      </x:c>
      <x:c r="D99" t="str">
        <x:v>Equipamento apresenta perda de tração.</x:v>
      </x:c>
      <x:c r="E99" t="str">
        <x:v>Concluído</x:v>
      </x:c>
      <x:c r="F99" t="str">
        <x:v>Central de Atendimento</x:v>
      </x:c>
      <x:c r="G99" t="str">
        <x:v>E-121</x:v>
      </x:c>
      <x:c r="H99" t="str">
        <x:v>Elevador Social</x:v>
      </x:c>
      <x:c r="I99" t="str">
        <x:v>Microprocessado</x:v>
      </x:c>
      <x:c r="J99" t="str">
        <x:v>Gearless</x:v>
      </x:c>
      <x:c r="K99" t="str">
        <x:v>OTIS</x:v>
      </x:c>
      <x:c r="L99" t="str">
        <x:v>ROT-041</x:v>
      </x:c>
      <x:c r="M99" t="str">
        <x:v>Máquina de Tração</x:v>
      </x:c>
      <x:c r="N99" t="str">
        <x:v>Inversor</x:v>
      </x:c>
      <x:c r="O99" t="str">
        <x:v>Oscilação</x:v>
      </x:c>
      <x:c r="P99" t="str">
        <x:v>Falha de movimento</x:v>
      </x:c>
      <x:c r="Q99" t="str">
        <x:v>Inspeção técnica e normalização demonstrativas de Máquina de Tração; resolução sintética, sem confirmação de consumo de peças.</x:v>
      </x:c>
      <x:c r="R99" t="str">
        <x:v>Edifício Corporate</x:v>
      </x:c>
      <x:c r="S99" t="str">
        <x:v>Não</x:v>
      </x:c>
      <x:c r="T99" t="str">
        <x:v>Sim</x:v>
      </x:c>
      <x:c r="U99" t="str">
        <x:v>CT-2026-003</x:v>
      </x:c>
      <x:c r="V99" t="str">
        <x:v>SP-Oeste</x:v>
      </x:c>
      <x:c r="W99" t="str">
        <x:v>Ana Costa</x:v>
      </x:c>
      <x:c r="X99" t="str">
        <x:v>Supervisor A</x:v>
      </x:c>
      <x:c r="Y99" t="str">
        <x:v>Rota Oeste 03</x:v>
      </x:c>
      <x:c r="Z99" t="str">
        <x:v>Av. Faria Lima, 3500 - São Paulo/SP</x:v>
      </x:c>
      <x:c r="AA99" t="str">
        <x:v>São Paulo</x:v>
      </x:c>
      <x:c r="AB99" s="50" t="n">
        <x:v>46273.3694444444</x:v>
      </x:c>
      <x:c r="AC99" s="50" t="n">
        <x:v>46273.3715277778</x:v>
      </x:c>
      <x:c r="AD99" s="50" t="n">
        <x:v>46273.372916666696</x:v>
      </x:c>
      <x:c r="AE99" s="50" t="n">
        <x:v>46273.3888888889</x:v>
      </x:c>
      <x:c r="AF99" s="50" t="n">
        <x:v>46273.44791666668</x:v>
      </x:c>
      <x:c r="AG99" t="n">
        <x:v>28</x:v>
      </x:c>
      <x:c r="AH99" t="n">
        <x:v>80</x:v>
      </x:c>
      <x:c r="AI99" t="str">
        <x:v>Não</x:v>
      </x:c>
      <x:c r="AJ99" t="str">
        <x:v>Sim</x:v>
      </x:c>
      <x:c r="AK99" t="n">
        <x:v>120</x:v>
      </x:c>
      <x:c r="AL99" t="n">
        <x:v>0</x:v>
      </x:c>
      <x:c r="AM99" s="64" t="n">
        <x:v>0.9</x:v>
      </x:c>
      <x:c r="AN99" t="n">
        <x:v>1</x:v>
      </x:c>
      <x:c r="AO99" t="str">
        <x:v>Laranja</x:v>
      </x:c>
      <x:c r="AP99" t="str">
        <x:v>janela de intervenção: tempo acumulado ≥ 80% do SLA</x:v>
      </x:c>
      <x:c r="AQ99" t="str">
        <x:v>Encerramento demonstrativo de Máquina de Tração; verificar fechamento e histórico para aprendizado. Sem despacho automático.</x:v>
      </x:c>
      <x:c r="AR99" s="62" t="n">
        <x:v>1212</x:v>
      </x:c>
      <x:c r="AS99" t="str">
        <x:v>Alto</x:v>
      </x:c>
      <x:c r="AT99" s="50" t="n">
        <x:v>46273.458333333336</x:v>
      </x:c>
      <x:c r="AU99" t="str">
        <x:v>T04</x:v>
      </x:c>
      <x:c r="AV99" t="str">
        <x:v>T2 original + evolução sintética posterior</x:v>
      </x:c>
    </x:row>
    <x:row r="100">
      <x:c r="A100" t="str">
        <x:v>CH-20260908-022</x:v>
      </x:c>
      <x:c r="B100" t="str">
        <x:v>Iluminação de Cabine</x:v>
      </x:c>
      <x:c r="C100" t="str">
        <x:v>Iluminação inoperante</x:v>
      </x:c>
      <x:c r="D100" t="str">
        <x:v>Cabine com iluminação parcial ou total indisponível.</x:v>
      </x:c>
      <x:c r="E100" t="str">
        <x:v>Em atendimento</x:v>
      </x:c>
      <x:c r="F100" t="str">
        <x:v>IoT</x:v>
      </x:c>
      <x:c r="G100" t="str">
        <x:v>E-122</x:v>
      </x:c>
      <x:c r="H100" t="str">
        <x:v>Elevador Social</x:v>
      </x:c>
      <x:c r="I100" t="str">
        <x:v>Microprocessado</x:v>
      </x:c>
      <x:c r="J100" t="str">
        <x:v>Gearless</x:v>
      </x:c>
      <x:c r="K100" t="str">
        <x:v>OTIS</x:v>
      </x:c>
      <x:c r="L100" t="str">
        <x:v>ROT-052</x:v>
      </x:c>
      <x:c r="M100" t="str">
        <x:v>Elétrica</x:v>
      </x:c>
      <x:c r="N100" t="str">
        <x:v>Fonte</x:v>
      </x:c>
      <x:c r="O100" t="str">
        <x:v>Sem alimentação</x:v>
      </x:c>
      <x:c r="P100" t="str">
        <x:v>Falha elétrica</x:v>
      </x:c>
      <x:c r="Q100"/>
      <x:c r="R100" t="str">
        <x:v>Condomínio Alameda</x:v>
      </x:c>
      <x:c r="S100" t="str">
        <x:v>Não</x:v>
      </x:c>
      <x:c r="T100" t="str">
        <x:v>Não</x:v>
      </x:c>
      <x:c r="U100" t="str">
        <x:v>CT-2026-004</x:v>
      </x:c>
      <x:c r="V100" t="str">
        <x:v>SP-Sul</x:v>
      </x:c>
      <x:c r="W100" t="str">
        <x:v>Carlos Souza</x:v>
      </x:c>
      <x:c r="X100" t="str">
        <x:v>Supervisor B</x:v>
      </x:c>
      <x:c r="Y100" t="str">
        <x:v>Rota Sul 04</x:v>
      </x:c>
      <x:c r="Z100" t="str">
        <x:v>R. das Acácias, 420 - São Paulo/SP</x:v>
      </x:c>
      <x:c r="AA100" t="str">
        <x:v>São Paulo</x:v>
      </x:c>
      <x:c r="AB100" s="50" t="n">
        <x:v>46273.372916666696</x:v>
      </x:c>
      <x:c r="AC100" s="50" t="n">
        <x:v>46273.3756944445</x:v>
      </x:c>
      <x:c r="AD100" s="50" t="n">
        <x:v>46273.3784722222</x:v>
      </x:c>
      <x:c r="AE100" s="50" t="n">
        <x:v>46273.39930555559</x:v>
      </x:c>
      <x:c r="AF100" s="50"/>
      <x:c r="AG100" t="n">
        <x:v>38</x:v>
      </x:c>
      <x:c r="AH100"/>
      <x:c r="AI100" t="str">
        <x:v>Não</x:v>
      </x:c>
      <x:c r="AJ100" t="str">
        <x:v>Não</x:v>
      </x:c>
      <x:c r="AK100" t="n">
        <x:v>180</x:v>
      </x:c>
      <x:c r="AL100" t="n">
        <x:v>0</x:v>
      </x:c>
      <x:c r="AM100" s="64" t="n">
        <x:v>0.6833</x:v>
      </x:c>
      <x:c r="AN100" t="n">
        <x:v>0</x:v>
      </x:c>
      <x:c r="AO100" t="str">
        <x:v>Amarelo</x:v>
      </x:c>
      <x:c r="AP100" t="str">
        <x:v>atenção: tempo acumulado ≥ 55% do SLA</x:v>
      </x:c>
      <x:c r="AQ100" t="str">
        <x:v>Acompanhar sinais em Elétrica; correlacionar histórico e SLA antes de recomendar intervenção.</x:v>
      </x:c>
      <x:c r="AR100" s="62" t="n">
        <x:v>897</x:v>
      </x:c>
      <x:c r="AS100" t="str">
        <x:v>Médio</x:v>
      </x:c>
      <x:c r="AT100" s="50" t="n">
        <x:v>46273.458333333336</x:v>
      </x:c>
      <x:c r="AU100" t="str">
        <x:v>T04</x:v>
      </x:c>
      <x:c r="AV100" t="str">
        <x:v>T2 original + evolução sintética posterior</x:v>
      </x:c>
    </x:row>
    <x:row r="101">
      <x:c r="A101" t="str">
        <x:v>CH-20260908-023</x:v>
      </x:c>
      <x:c r="B101" t="str">
        <x:v>Botão de Chamada</x:v>
      </x:c>
      <x:c r="C101" t="str">
        <x:v>Botão não responde</x:v>
      </x:c>
      <x:c r="D101" t="str">
        <x:v>Botão de chamada não registra comando.</x:v>
      </x:c>
      <x:c r="E101" t="str">
        <x:v>Em atendimento</x:v>
      </x:c>
      <x:c r="F101" t="str">
        <x:v>Aplicativo Cliente</x:v>
      </x:c>
      <x:c r="G101" t="str">
        <x:v>E-123</x:v>
      </x:c>
      <x:c r="H101" t="str">
        <x:v>Elevador Social</x:v>
      </x:c>
      <x:c r="I101" t="str">
        <x:v>Microprocessado</x:v>
      </x:c>
      <x:c r="J101" t="str">
        <x:v>Gearless</x:v>
      </x:c>
      <x:c r="K101" t="str">
        <x:v>OTIS</x:v>
      </x:c>
      <x:c r="L101" t="str">
        <x:v>ROT-063</x:v>
      </x:c>
      <x:c r="M101" t="str">
        <x:v>Botoeira</x:v>
      </x:c>
      <x:c r="N101" t="str">
        <x:v>Contato</x:v>
      </x:c>
      <x:c r="O101" t="str">
        <x:v>Mau contato</x:v>
      </x:c>
      <x:c r="P101" t="str">
        <x:v>Falha de comando</x:v>
      </x:c>
      <x:c r="Q101"/>
      <x:c r="R101" t="str">
        <x:v>Aeroporto Terminal 3</x:v>
      </x:c>
      <x:c r="S101" t="str">
        <x:v>Sim</x:v>
      </x:c>
      <x:c r="T101" t="str">
        <x:v>Sim</x:v>
      </x:c>
      <x:c r="U101" t="str">
        <x:v>CT-2026-005</x:v>
      </x:c>
      <x:c r="V101" t="str">
        <x:v>GRU</x:v>
      </x:c>
      <x:c r="W101" t="str">
        <x:v>Renata Alves</x:v>
      </x:c>
      <x:c r="X101" t="str">
        <x:v>Supervisor C</x:v>
      </x:c>
      <x:c r="Y101" t="str">
        <x:v>Rota GRU 05</x:v>
      </x:c>
      <x:c r="Z101" t="str">
        <x:v>Rod. Hélio Smidt, s/n - Guarulhos/SP</x:v>
      </x:c>
      <x:c r="AA101" t="str">
        <x:v>São Paulo</x:v>
      </x:c>
      <x:c r="AB101" s="50" t="n">
        <x:v>46273.3784722222</x:v>
      </x:c>
      <x:c r="AC101" s="50" t="n">
        <x:v>46273.3819444444</x:v>
      </x:c>
      <x:c r="AD101" s="50" t="n">
        <x:v>46273.386111111104</x:v>
      </x:c>
      <x:c r="AE101" s="50" t="n">
        <x:v>46273.41249999998</x:v>
      </x:c>
      <x:c r="AF101" s="50"/>
      <x:c r="AG101" t="n">
        <x:v>49</x:v>
      </x:c>
      <x:c r="AH101"/>
      <x:c r="AI101" t="str">
        <x:v>Não</x:v>
      </x:c>
      <x:c r="AJ101" t="str">
        <x:v>Não</x:v>
      </x:c>
      <x:c r="AK101" t="n">
        <x:v>45</x:v>
      </x:c>
      <x:c r="AL101" t="n">
        <x:v>0</x:v>
      </x:c>
      <x:c r="AM101" s="64" t="n">
        <x:v>2.5556</x:v>
      </x:c>
      <x:c r="AN101" t="n">
        <x:v>2</x:v>
      </x:c>
      <x:c r="AO101" t="str">
        <x:v>Vermelho</x:v>
      </x:c>
      <x:c r="AP101" t="str">
        <x:v>SLA sintético excedido (tempo acumulado ≥ 100% do SLA)</x:v>
      </x:c>
      <x:c r="AQ101" t="str">
        <x:v>Priorizar avaliação do chamado em Botoeira; SLA demonstrativo comprometido. Supervisor decide o encaminhamento.</x:v>
      </x:c>
      <x:c r="AR101" s="62" t="n">
        <x:v>545</x:v>
      </x:c>
      <x:c r="AS101" t="str">
        <x:v>Baixo</x:v>
      </x:c>
      <x:c r="AT101" s="50" t="n">
        <x:v>46273.458333333336</x:v>
      </x:c>
      <x:c r="AU101" t="str">
        <x:v>T04</x:v>
      </x:c>
      <x:c r="AV101" t="str">
        <x:v>T2 original + evolução sintética posterior</x:v>
      </x:c>
    </x:row>
    <x:row r="102">
      <x:c r="A102" t="str">
        <x:v>CH-20260908-024</x:v>
      </x:c>
      <x:c r="B102" t="str">
        <x:v>Parada Intermitente</x:v>
      </x:c>
      <x:c r="C102" t="str">
        <x:v>Paradas aleatórias</x:v>
      </x:c>
      <x:c r="D102" t="str">
        <x:v>Equipamento interrompe operação de forma intermitente.</x:v>
      </x:c>
      <x:c r="E102" t="str">
        <x:v>Em atendimento</x:v>
      </x:c>
      <x:c r="F102" t="str">
        <x:v>Monitoramento Remoto</x:v>
      </x:c>
      <x:c r="G102" t="str">
        <x:v>E-124</x:v>
      </x:c>
      <x:c r="H102" t="str">
        <x:v>Elevador Social</x:v>
      </x:c>
      <x:c r="I102" t="str">
        <x:v>Microprocessado</x:v>
      </x:c>
      <x:c r="J102" t="str">
        <x:v>Gearless</x:v>
      </x:c>
      <x:c r="K102" t="str">
        <x:v>OTIS</x:v>
      </x:c>
      <x:c r="L102" t="str">
        <x:v>ROT-074</x:v>
      </x:c>
      <x:c r="M102" t="str">
        <x:v>Painel/Comando</x:v>
      </x:c>
      <x:c r="N102" t="str">
        <x:v>Placa</x:v>
      </x:c>
      <x:c r="O102" t="str">
        <x:v>Intermitência</x:v>
      </x:c>
      <x:c r="P102" t="str">
        <x:v>Falha intermitente</x:v>
      </x:c>
      <x:c r="Q102"/>
      <x:c r="R102" t="str">
        <x:v>Universidade Central</x:v>
      </x:c>
      <x:c r="S102" t="str">
        <x:v>Não</x:v>
      </x:c>
      <x:c r="T102" t="str">
        <x:v>Sim</x:v>
      </x:c>
      <x:c r="U102" t="str">
        <x:v>CT-2026-006</x:v>
      </x:c>
      <x:c r="V102" t="str">
        <x:v>SP-Leste</x:v>
      </x:c>
      <x:c r="W102" t="str">
        <x:v>Paulo Mendes</x:v>
      </x:c>
      <x:c r="X102" t="str">
        <x:v>Supervisor D</x:v>
      </x:c>
      <x:c r="Y102" t="str">
        <x:v>Rota Leste 06</x:v>
      </x:c>
      <x:c r="Z102" t="str">
        <x:v>Av. Central, 850 - São Paulo/SP</x:v>
      </x:c>
      <x:c r="AA102" t="str">
        <x:v>São Paulo</x:v>
      </x:c>
      <x:c r="AB102" s="50" t="n">
        <x:v>46273.3854166667</x:v>
      </x:c>
      <x:c r="AC102" s="50" t="n">
        <x:v>46273.3895833333</x:v>
      </x:c>
      <x:c r="AD102" s="50" t="n">
        <x:v>46273.3909722222</x:v>
      </x:c>
      <x:c r="AE102" s="50" t="n">
        <x:v>46273.423611111146</x:v>
      </x:c>
      <x:c r="AF102" s="50"/>
      <x:c r="AG102" t="n">
        <x:v>55</x:v>
      </x:c>
      <x:c r="AH102"/>
      <x:c r="AI102" t="str">
        <x:v>Não</x:v>
      </x:c>
      <x:c r="AJ102" t="str">
        <x:v>Sim</x:v>
      </x:c>
      <x:c r="AK102" t="n">
        <x:v>120</x:v>
      </x:c>
      <x:c r="AL102" t="n">
        <x:v>0</x:v>
      </x:c>
      <x:c r="AM102" s="64" t="n">
        <x:v>0.875</x:v>
      </x:c>
      <x:c r="AN102" t="n">
        <x:v>4</x:v>
      </x:c>
      <x:c r="AO102" t="str">
        <x:v>Laranja</x:v>
      </x:c>
      <x:c r="AP102" t="str">
        <x:v>janela de intervenção: tempo acumulado ≥ 80% do SLA</x:v>
      </x:c>
      <x:c r="AQ102" t="str">
        <x:v>Janela de intervenção em Painel/Comando; revisar recorrências (4/30d) e contexto antes de escalar.</x:v>
      </x:c>
      <x:c r="AR102" s="62" t="n">
        <x:v>1386</x:v>
      </x:c>
      <x:c r="AS102" t="str">
        <x:v>Alto</x:v>
      </x:c>
      <x:c r="AT102" s="50" t="n">
        <x:v>46273.458333333336</x:v>
      </x:c>
      <x:c r="AU102" t="str">
        <x:v>T04</x:v>
      </x:c>
      <x:c r="AV102" t="str">
        <x:v>T2 original + evolução sintética posterior</x:v>
      </x:c>
    </x:row>
    <x:row r="103">
      <x:c r="A103" t="str">
        <x:v>CH-20260908-025</x:v>
      </x:c>
      <x:c r="B103" t="str">
        <x:v>Falha de Tração</x:v>
      </x:c>
      <x:c r="C103" t="str">
        <x:v>Movimento irregular</x:v>
      </x:c>
      <x:c r="D103" t="str">
        <x:v>Equipamento apresenta perda de tração.</x:v>
      </x:c>
      <x:c r="E103" t="str">
        <x:v>Concluído</x:v>
      </x:c>
      <x:c r="F103" t="str">
        <x:v>Central de Atendimento</x:v>
      </x:c>
      <x:c r="G103" t="str">
        <x:v>E-125</x:v>
      </x:c>
      <x:c r="H103" t="str">
        <x:v>Elevador Social</x:v>
      </x:c>
      <x:c r="I103" t="str">
        <x:v>Microprocessado</x:v>
      </x:c>
      <x:c r="J103" t="str">
        <x:v>Gearless</x:v>
      </x:c>
      <x:c r="K103" t="str">
        <x:v>OTIS</x:v>
      </x:c>
      <x:c r="L103" t="str">
        <x:v>ROT-041</x:v>
      </x:c>
      <x:c r="M103" t="str">
        <x:v>Máquina de Tração</x:v>
      </x:c>
      <x:c r="N103" t="str">
        <x:v>Inversor</x:v>
      </x:c>
      <x:c r="O103" t="str">
        <x:v>Oscilação</x:v>
      </x:c>
      <x:c r="P103" t="str">
        <x:v>Falha de movimento</x:v>
      </x:c>
      <x:c r="Q103" t="str">
        <x:v>Diagnóstico e teste funcional simulados em Máquina de Tração; encerramento demonstrativo, sem movimentação de estoque comprovada.</x:v>
      </x:c>
      <x:c r="R103" t="str">
        <x:v>Aeroporto Terminal 3</x:v>
      </x:c>
      <x:c r="S103" t="str">
        <x:v>Sim</x:v>
      </x:c>
      <x:c r="T103" t="str">
        <x:v>Sim</x:v>
      </x:c>
      <x:c r="U103" t="str">
        <x:v>CT-2026-005</x:v>
      </x:c>
      <x:c r="V103" t="str">
        <x:v>GRU</x:v>
      </x:c>
      <x:c r="W103" t="str">
        <x:v>Renata Alves</x:v>
      </x:c>
      <x:c r="X103" t="str">
        <x:v>Supervisor A</x:v>
      </x:c>
      <x:c r="Y103" t="str">
        <x:v>Rota GRU 05</x:v>
      </x:c>
      <x:c r="Z103" t="str">
        <x:v>Rod. Hélio Smidt, s/n - Guarulhos/SP</x:v>
      </x:c>
      <x:c r="AA103" t="str">
        <x:v>São Paulo</x:v>
      </x:c>
      <x:c r="AB103" s="50" t="n">
        <x:v>46273.4</x:v>
      </x:c>
      <x:c r="AC103" s="50" t="n">
        <x:v>46273.402083333334</x:v>
      </x:c>
      <x:c r="AD103" s="50" t="n">
        <x:v>46273.40555555555</x:v>
      </x:c>
      <x:c r="AE103" s="50" t="n">
        <x:v>46273.427083333336</x:v>
      </x:c>
      <x:c r="AF103" s="50"/>
      <x:c r="AG103" t="n">
        <x:v>39</x:v>
      </x:c>
      <x:c r="AH103" t="n">
        <x:v>45</x:v>
      </x:c>
      <x:c r="AI103" t="str">
        <x:v>Não</x:v>
      </x:c>
      <x:c r="AJ103" t="str">
        <x:v>Sim</x:v>
      </x:c>
      <x:c r="AK103" t="n">
        <x:v>45</x:v>
      </x:c>
      <x:c r="AL103" t="n">
        <x:v>0</x:v>
      </x:c>
      <x:c r="AM103" s="64" t="n">
        <x:v>1.8667</x:v>
      </x:c>
      <x:c r="AN103" t="n">
        <x:v>1</x:v>
      </x:c>
      <x:c r="AO103" t="str">
        <x:v>Vermelho</x:v>
      </x:c>
      <x:c r="AP103" t="str">
        <x:v>SLA sintético excedido (tempo acumulado ≥ 100% do SLA)</x:v>
      </x:c>
      <x:c r="AQ103" t="str">
        <x:v>Encerramento demonstrativo de Máquina de Tração; verificar fechamento e histórico para aprendizado. Sem despacho automático.</x:v>
      </x:c>
      <x:c r="AR103" s="62" t="n">
        <x:v>1297.5</x:v>
      </x:c>
      <x:c r="AS103" t="str">
        <x:v>Alto</x:v>
      </x:c>
      <x:c r="AT103" s="50" t="n">
        <x:v>46273.458333333336</x:v>
      </x:c>
      <x:c r="AU103" t="str">
        <x:v>T04</x:v>
      </x:c>
      <x:c r="AV103" t="str">
        <x:v>Ocorrência adicional sintética; perfil inspirado em CH-20260908-005</x:v>
      </x:c>
    </x:row>
    <x:row r="104">
      <x:c r="A104" t="str">
        <x:v>CH-20260908-026</x:v>
      </x:c>
      <x:c r="B104" t="str">
        <x:v>Painel sem comunicação</x:v>
      </x:c>
      <x:c r="C104" t="str">
        <x:v>Falha de comunicação</x:v>
      </x:c>
      <x:c r="D104" t="str">
        <x:v>Painel não responde aos comandos.</x:v>
      </x:c>
      <x:c r="E104" t="str">
        <x:v>Em atendimento</x:v>
      </x:c>
      <x:c r="F104" t="str">
        <x:v>Monitoramento Remoto</x:v>
      </x:c>
      <x:c r="G104" t="str">
        <x:v>E-126</x:v>
      </x:c>
      <x:c r="H104" t="str">
        <x:v>Elevador Social</x:v>
      </x:c>
      <x:c r="I104" t="str">
        <x:v>Microprocessado</x:v>
      </x:c>
      <x:c r="J104" t="str">
        <x:v>Gearless</x:v>
      </x:c>
      <x:c r="K104" t="str">
        <x:v>OTIS</x:v>
      </x:c>
      <x:c r="L104" t="str">
        <x:v>ROT-033</x:v>
      </x:c>
      <x:c r="M104" t="str">
        <x:v>Painel/Comando</x:v>
      </x:c>
      <x:c r="N104" t="str">
        <x:v>Interface</x:v>
      </x:c>
      <x:c r="O104" t="str">
        <x:v>Sem comunicação</x:v>
      </x:c>
      <x:c r="P104" t="str">
        <x:v>Falha lógica</x:v>
      </x:c>
      <x:c r="Q104"/>
      <x:c r="R104" t="str">
        <x:v>Universidade Central</x:v>
      </x:c>
      <x:c r="S104" t="str">
        <x:v>Não</x:v>
      </x:c>
      <x:c r="T104" t="str">
        <x:v>Sim</x:v>
      </x:c>
      <x:c r="U104" t="str">
        <x:v>CT-2026-006</x:v>
      </x:c>
      <x:c r="V104" t="str">
        <x:v>SP-Leste</x:v>
      </x:c>
      <x:c r="W104" t="str">
        <x:v>Paulo Mendes</x:v>
      </x:c>
      <x:c r="X104" t="str">
        <x:v>Supervisor D</x:v>
      </x:c>
      <x:c r="Y104" t="str">
        <x:v>Rota Leste 06</x:v>
      </x:c>
      <x:c r="Z104" t="str">
        <x:v>Av. Central, 850 - São Paulo/SP</x:v>
      </x:c>
      <x:c r="AA104" t="str">
        <x:v>São Paulo</x:v>
      </x:c>
      <x:c r="AB104" s="50" t="n">
        <x:v>46273.40972222222</x:v>
      </x:c>
      <x:c r="AC104" s="50" t="n">
        <x:v>46273.4125</x:v>
      </x:c>
      <x:c r="AD104" s="50" t="n">
        <x:v>46273.416666666664</x:v>
      </x:c>
      <x:c r="AE104" s="50" t="n">
        <x:v>46273.44583333333</x:v>
      </x:c>
      <x:c r="AF104" s="50"/>
      <x:c r="AG104" t="n">
        <x:v>52</x:v>
      </x:c>
      <x:c r="AH104"/>
      <x:c r="AI104" t="str">
        <x:v>Não</x:v>
      </x:c>
      <x:c r="AJ104" t="str">
        <x:v>Não</x:v>
      </x:c>
      <x:c r="AK104" t="n">
        <x:v>120</x:v>
      </x:c>
      <x:c r="AL104" t="n">
        <x:v>0</x:v>
      </x:c>
      <x:c r="AM104" s="64" t="n">
        <x:v>0.5833</x:v>
      </x:c>
      <x:c r="AN104" t="n">
        <x:v>3</x:v>
      </x:c>
      <x:c r="AO104" t="str">
        <x:v>Amarelo</x:v>
      </x:c>
      <x:c r="AP104" t="str">
        <x:v>atenção: tempo acumulado ≥ 55% do SLA</x:v>
      </x:c>
      <x:c r="AQ104" t="str">
        <x:v>Acompanhar sinais em Painel/Comando; correlacionar histórico e SLA antes de recomendar intervenção.</x:v>
      </x:c>
      <x:c r="AR104" s="62" t="n">
        <x:v>1357</x:v>
      </x:c>
      <x:c r="AS104" t="str">
        <x:v>Alto</x:v>
      </x:c>
      <x:c r="AT104" s="50" t="n">
        <x:v>46273.458333333336</x:v>
      </x:c>
      <x:c r="AU104" t="str">
        <x:v>T04</x:v>
      </x:c>
      <x:c r="AV104" t="str">
        <x:v>Ocorrência adicional sintética; perfil inspirado em CH-20260908-012</x:v>
      </x:c>
    </x:row>
    <x:row r="105">
      <x:c r="A105" t="str">
        <x:v>CH-20260908-027</x:v>
      </x:c>
      <x:c r="B105" t="str">
        <x:v>Porta não fecha</x:v>
      </x:c>
      <x:c r="C105" t="str">
        <x:v>Falha no fechamento</x:v>
      </x:c>
      <x:c r="D105" t="str">
        <x:v>Porta permanece aberta e impede partida.</x:v>
      </x:c>
      <x:c r="E105" t="str">
        <x:v>Técnico a caminho</x:v>
      </x:c>
      <x:c r="F105" t="str">
        <x:v>Aplicativo Cliente</x:v>
      </x:c>
      <x:c r="G105" t="str">
        <x:v>E-127</x:v>
      </x:c>
      <x:c r="H105" t="str">
        <x:v>Elevador Social</x:v>
      </x:c>
      <x:c r="I105" t="str">
        <x:v>Microprocessado</x:v>
      </x:c>
      <x:c r="J105" t="str">
        <x:v>Gearless</x:v>
      </x:c>
      <x:c r="K105" t="str">
        <x:v>OTIS</x:v>
      </x:c>
      <x:c r="L105" t="str">
        <x:v>ROT-021</x:v>
      </x:c>
      <x:c r="M105" t="str">
        <x:v>Operador de Porta</x:v>
      </x:c>
      <x:c r="N105" t="str">
        <x:v>Sensor de porta</x:v>
      </x:c>
      <x:c r="O105" t="str">
        <x:v>Falha de leitura</x:v>
      </x:c>
      <x:c r="P105" t="str">
        <x:v>Porta aberta</x:v>
      </x:c>
      <x:c r="Q105"/>
      <x:c r="R105" t="str">
        <x:v>Hospital São Paulo</x:v>
      </x:c>
      <x:c r="S105" t="str">
        <x:v>Sim</x:v>
      </x:c>
      <x:c r="T105" t="str">
        <x:v>Sim</x:v>
      </x:c>
      <x:c r="U105" t="str">
        <x:v>CT-2026-001</x:v>
      </x:c>
      <x:c r="V105" t="str">
        <x:v>SP-Centro</x:v>
      </x:c>
      <x:c r="W105" t="str">
        <x:v>João Silva</x:v>
      </x:c>
      <x:c r="X105" t="str">
        <x:v>Supervisor C</x:v>
      </x:c>
      <x:c r="Y105" t="str">
        <x:v>Rota Centro 01</x:v>
      </x:c>
      <x:c r="Z105" t="str">
        <x:v>Av. Paulista, 1000 - São Paulo/SP</x:v>
      </x:c>
      <x:c r="AA105" t="str">
        <x:v>São Paulo</x:v>
      </x:c>
      <x:c r="AB105" s="50" t="n">
        <x:v>46273.419444444444</x:v>
      </x:c>
      <x:c r="AC105" s="50" t="n">
        <x:v>46273.42291666667</x:v>
      </x:c>
      <x:c r="AD105" s="50" t="n">
        <x:v>46273.427777777775</x:v>
      </x:c>
      <x:c r="AE105" s="50"/>
      <x:c r="AF105" s="50"/>
      <x:c r="AG105"/>
      <x:c r="AH105"/>
      <x:c r="AI105" t="str">
        <x:v>Não</x:v>
      </x:c>
      <x:c r="AJ105" t="str">
        <x:v>Não</x:v>
      </x:c>
      <x:c r="AK105" t="n">
        <x:v>60</x:v>
      </x:c>
      <x:c r="AL105" t="n">
        <x:v>9</x:v>
      </x:c>
      <x:c r="AM105" s="64" t="n">
        <x:v>0.9333</x:v>
      </x:c>
      <x:c r="AN105" t="n">
        <x:v>2</x:v>
      </x:c>
      <x:c r="AO105" t="str">
        <x:v>Laranja</x:v>
      </x:c>
      <x:c r="AP105" t="str">
        <x:v>janela de intervenção: tempo acumulado ≥ 80% do SLA</x:v>
      </x:c>
      <x:c r="AQ105" t="str">
        <x:v>Janela de intervenção em Operador de Porta; revisar recorrências (2/30d) e contexto antes de escalar.</x:v>
      </x:c>
      <x:c r="AR105" s="62" t="n">
        <x:v>833.5</x:v>
      </x:c>
      <x:c r="AS105" t="str">
        <x:v>Baixo</x:v>
      </x:c>
      <x:c r="AT105" s="50" t="n">
        <x:v>46273.458333333336</x:v>
      </x:c>
      <x:c r="AU105" t="str">
        <x:v>T04</x:v>
      </x:c>
      <x:c r="AV105" t="str">
        <x:v>Ocorrência adicional sintética; perfil inspirado em CH-20260908-019</x:v>
      </x:c>
    </x:row>
    <x:row r="106">
      <x:c r="A106" t="str">
        <x:v>CH-20260908-028</x:v>
      </x:c>
      <x:c r="B106" t="str">
        <x:v>Falha de Nivelamento</x:v>
      </x:c>
      <x:c r="C106" t="str">
        <x:v>Cabine desnivelada</x:v>
      </x:c>
      <x:c r="D106" t="str">
        <x:v>Cabine parou fora do nível do pavimento.</x:v>
      </x:c>
      <x:c r="E106" t="str">
        <x:v>Em atendimento</x:v>
      </x:c>
      <x:c r="F106" t="str">
        <x:v>IoT</x:v>
      </x:c>
      <x:c r="G106" t="str">
        <x:v>E-128</x:v>
      </x:c>
      <x:c r="H106" t="str">
        <x:v>Elevador Social</x:v>
      </x:c>
      <x:c r="I106" t="str">
        <x:v>Microprocessado</x:v>
      </x:c>
      <x:c r="J106" t="str">
        <x:v>Gearless</x:v>
      </x:c>
      <x:c r="K106" t="str">
        <x:v>OTIS</x:v>
      </x:c>
      <x:c r="L106" t="str">
        <x:v>ROT-014</x:v>
      </x:c>
      <x:c r="M106" t="str">
        <x:v>Sensor de Nível</x:v>
      </x:c>
      <x:c r="N106" t="str">
        <x:v>Sensor</x:v>
      </x:c>
      <x:c r="O106" t="str">
        <x:v>Leitura inconsistente</x:v>
      </x:c>
      <x:c r="P106" t="str">
        <x:v>Falha de nivelamento</x:v>
      </x:c>
      <x:c r="Q106"/>
      <x:c r="R106" t="str">
        <x:v>Shopping Center Norte</x:v>
      </x:c>
      <x:c r="S106" t="str">
        <x:v>Não</x:v>
      </x:c>
      <x:c r="T106" t="str">
        <x:v>Sim</x:v>
      </x:c>
      <x:c r="U106" t="str">
        <x:v>CT-2026-002</x:v>
      </x:c>
      <x:c r="V106" t="str">
        <x:v>SP-Norte</x:v>
      </x:c>
      <x:c r="W106" t="str">
        <x:v>Marcos Lima</x:v>
      </x:c>
      <x:c r="X106" t="str">
        <x:v>Supervisor B</x:v>
      </x:c>
      <x:c r="Y106" t="str">
        <x:v>Rota Norte 02</x:v>
      </x:c>
      <x:c r="Z106" t="str">
        <x:v>Av. Otto Baumgart, 245 - São Paulo/SP</x:v>
      </x:c>
      <x:c r="AA106" t="str">
        <x:v>São Paulo</x:v>
      </x:c>
      <x:c r="AB106" s="50" t="n">
        <x:v>46273.43125</x:v>
      </x:c>
      <x:c r="AC106" s="50" t="n">
        <x:v>46273.43263888889</x:v>
      </x:c>
      <x:c r="AD106" s="50" t="n">
        <x:v>46273.43819444445</x:v>
      </x:c>
      <x:c r="AE106" s="50" t="n">
        <x:v>46273.45</x:v>
      </x:c>
      <x:c r="AF106" s="50"/>
      <x:c r="AG106" t="n">
        <x:v>27</x:v>
      </x:c>
      <x:c r="AH106"/>
      <x:c r="AI106" t="str">
        <x:v>Não</x:v>
      </x:c>
      <x:c r="AJ106" t="str">
        <x:v>Não</x:v>
      </x:c>
      <x:c r="AK106" t="n">
        <x:v>90</x:v>
      </x:c>
      <x:c r="AL106" t="n">
        <x:v>0</x:v>
      </x:c>
      <x:c r="AM106" s="64" t="n">
        <x:v>0.4333</x:v>
      </x:c>
      <x:c r="AN106" t="n">
        <x:v>1</x:v>
      </x:c>
      <x:c r="AO106" t="str">
        <x:v>Verde</x:v>
      </x:c>
      <x:c r="AP106" t="str">
        <x:v>operação dentro dos limiares sintéticos da demonstração</x:v>
      </x:c>
      <x:c r="AQ106" t="str">
        <x:v>Manter acompanhamento do componente Sensor de Nível e dos indicadores operacionais.</x:v>
      </x:c>
      <x:c r="AR106" s="62" t="n">
        <x:v>818</x:v>
      </x:c>
      <x:c r="AS106" t="str">
        <x:v>Baixo</x:v>
      </x:c>
      <x:c r="AT106" s="50" t="n">
        <x:v>46273.458333333336</x:v>
      </x:c>
      <x:c r="AU106" t="str">
        <x:v>T04</x:v>
      </x:c>
      <x:c r="AV106" t="str">
        <x:v>Ocorrência adicional sintética; perfil inspirado em CH-20260908-002</x:v>
      </x:c>
    </x:row>
    <x:row r="107">
      <x:c r="A107" t="str">
        <x:v>CH-20260908-029</x:v>
      </x:c>
      <x:c r="B107" t="str">
        <x:v>Passageiro Preso</x:v>
      </x:c>
      <x:c r="C107" t="str">
        <x:v>Elevador parado entre andares</x:v>
      </x:c>
      <x:c r="D107" t="str">
        <x:v>Cabine imobilizada com passageiro no interior.</x:v>
      </x:c>
      <x:c r="E107" t="str">
        <x:v>Técnico a caminho</x:v>
      </x:c>
      <x:c r="F107" t="str">
        <x:v>Central de Atendimento</x:v>
      </x:c>
      <x:c r="G107" t="str">
        <x:v>E-108</x:v>
      </x:c>
      <x:c r="H107" t="str">
        <x:v>Elevador Social</x:v>
      </x:c>
      <x:c r="I107" t="str">
        <x:v>Microprocessado</x:v>
      </x:c>
      <x:c r="J107" t="str">
        <x:v>Gearless</x:v>
      </x:c>
      <x:c r="K107" t="str">
        <x:v>OTIS</x:v>
      </x:c>
      <x:c r="L107" t="str">
        <x:v>ROT-001</x:v>
      </x:c>
      <x:c r="M107" t="str">
        <x:v>Tração</x:v>
      </x:c>
      <x:c r="N107" t="str">
        <x:v>Freio</x:v>
      </x:c>
      <x:c r="O107" t="str">
        <x:v>Travamento</x:v>
      </x:c>
      <x:c r="P107" t="str">
        <x:v>Parada total</x:v>
      </x:c>
      <x:c r="Q107"/>
      <x:c r="R107" t="str">
        <x:v>Edifício Corporate</x:v>
      </x:c>
      <x:c r="S107" t="str">
        <x:v>Não</x:v>
      </x:c>
      <x:c r="T107" t="str">
        <x:v>Sim</x:v>
      </x:c>
      <x:c r="U107" t="str">
        <x:v>CT-2026-003</x:v>
      </x:c>
      <x:c r="V107" t="str">
        <x:v>SP-Oeste</x:v>
      </x:c>
      <x:c r="W107" t="str">
        <x:v>Ana Costa</x:v>
      </x:c>
      <x:c r="X107" t="str">
        <x:v>Supervisor A</x:v>
      </x:c>
      <x:c r="Y107" t="str">
        <x:v>Rota Oeste 03</x:v>
      </x:c>
      <x:c r="Z107" t="str">
        <x:v>Av. Faria Lima, 3500 - São Paulo/SP</x:v>
      </x:c>
      <x:c r="AA107" t="str">
        <x:v>São Paulo</x:v>
      </x:c>
      <x:c r="AB107" s="50" t="n">
        <x:v>46273.44097222222</x:v>
      </x:c>
      <x:c r="AC107" s="50" t="n">
        <x:v>46273.44305555556</x:v>
      </x:c>
      <x:c r="AD107" s="50" t="n">
        <x:v>46273.44930555556</x:v>
      </x:c>
      <x:c r="AE107" s="50"/>
      <x:c r="AF107" s="50"/>
      <x:c r="AG107"/>
      <x:c r="AH107"/>
      <x:c r="AI107" t="str">
        <x:v>Sim</x:v>
      </x:c>
      <x:c r="AJ107" t="str">
        <x:v>Sim</x:v>
      </x:c>
      <x:c r="AK107" t="n">
        <x:v>120</x:v>
      </x:c>
      <x:c r="AL107" t="n">
        <x:v>15</x:v>
      </x:c>
      <x:c r="AM107" s="64" t="n">
        <x:v>0.2083</x:v>
      </x:c>
      <x:c r="AN107" t="n">
        <x:v>2</x:v>
      </x:c>
      <x:c r="AO107" t="str">
        <x:v>Amarelo</x:v>
      </x:c>
      <x:c r="AP107" t="str">
        <x:v>atenção: recorrências em 30 dias</x:v>
      </x:c>
      <x:c r="AQ107" t="str">
        <x:v>Acompanhar sinais em Tração; correlacionar histórico e SLA antes de recomendar intervenção.</x:v>
      </x:c>
      <x:c r="AR107" s="62" t="n">
        <x:v>1162.5</x:v>
      </x:c>
      <x:c r="AS107" t="str">
        <x:v>Médio</x:v>
      </x:c>
      <x:c r="AT107" s="50" t="n">
        <x:v>46273.458333333336</x:v>
      </x:c>
      <x:c r="AU107" t="str">
        <x:v>T04</x:v>
      </x:c>
      <x:c r="AV107" t="str">
        <x:v>Ocorrência adicional sintética; perfil inspirado em CH-20260908-009</x:v>
      </x:c>
    </x:row>
    <x:row r="108">
      <x:c r="A108" t="str">
        <x:v>CH-20260908-030</x:v>
      </x:c>
      <x:c r="B108" t="str">
        <x:v>Parada Intermitente</x:v>
      </x:c>
      <x:c r="C108" t="str">
        <x:v>Paradas aleatórias</x:v>
      </x:c>
      <x:c r="D108" t="str">
        <x:v>Equipamento interrompe operação de forma intermitente.</x:v>
      </x:c>
      <x:c r="E108" t="str">
        <x:v>Técnico a caminho</x:v>
      </x:c>
      <x:c r="F108" t="str">
        <x:v>Monitoramento Remoto</x:v>
      </x:c>
      <x:c r="G108" t="str">
        <x:v>E-130</x:v>
      </x:c>
      <x:c r="H108" t="str">
        <x:v>Elevador Social</x:v>
      </x:c>
      <x:c r="I108" t="str">
        <x:v>Microprocessado</x:v>
      </x:c>
      <x:c r="J108" t="str">
        <x:v>Gearless</x:v>
      </x:c>
      <x:c r="K108" t="str">
        <x:v>OTIS</x:v>
      </x:c>
      <x:c r="L108" t="str">
        <x:v>ROT-074</x:v>
      </x:c>
      <x:c r="M108" t="str">
        <x:v>Painel/Comando</x:v>
      </x:c>
      <x:c r="N108" t="str">
        <x:v>Placa</x:v>
      </x:c>
      <x:c r="O108" t="str">
        <x:v>Intermitência</x:v>
      </x:c>
      <x:c r="P108" t="str">
        <x:v>Falha intermitente</x:v>
      </x:c>
      <x:c r="Q108"/>
      <x:c r="R108" t="str">
        <x:v>Condomínio Alameda</x:v>
      </x:c>
      <x:c r="S108" t="str">
        <x:v>Não</x:v>
      </x:c>
      <x:c r="T108" t="str">
        <x:v>Não</x:v>
      </x:c>
      <x:c r="U108" t="str">
        <x:v>CT-2026-004</x:v>
      </x:c>
      <x:c r="V108" t="str">
        <x:v>SP-Sul</x:v>
      </x:c>
      <x:c r="W108" t="str">
        <x:v>Carlos Souza</x:v>
      </x:c>
      <x:c r="X108" t="str">
        <x:v>Supervisor D</x:v>
      </x:c>
      <x:c r="Y108" t="str">
        <x:v>Rota Sul 04</x:v>
      </x:c>
      <x:c r="Z108" t="str">
        <x:v>R. das Acácias, 420 - São Paulo/SP</x:v>
      </x:c>
      <x:c r="AA108" t="str">
        <x:v>São Paulo</x:v>
      </x:c>
      <x:c r="AB108" s="50" t="n">
        <x:v>46273.450694444444</x:v>
      </x:c>
      <x:c r="AC108" s="50" t="n">
        <x:v>46273.45347222222</x:v>
      </x:c>
      <x:c r="AD108" s="50" t="n">
        <x:v>46273.45625</x:v>
      </x:c>
      <x:c r="AE108" s="50"/>
      <x:c r="AF108" s="50"/>
      <x:c r="AG108"/>
      <x:c r="AH108"/>
      <x:c r="AI108" t="str">
        <x:v>Não</x:v>
      </x:c>
      <x:c r="AJ108" t="str">
        <x:v>Sim</x:v>
      </x:c>
      <x:c r="AK108" t="n">
        <x:v>180</x:v>
      </x:c>
      <x:c r="AL108" t="n">
        <x:v>42</x:v>
      </x:c>
      <x:c r="AM108" s="64" t="n">
        <x:v>0.0611</x:v>
      </x:c>
      <x:c r="AN108" t="n">
        <x:v>4</x:v>
      </x:c>
      <x:c r="AO108" t="str">
        <x:v>Laranja</x:v>
      </x:c>
      <x:c r="AP108" t="str">
        <x:v>janela de intervenção: recorrência ≥ 4/30d e equipamento parado</x:v>
      </x:c>
      <x:c r="AQ108" t="str">
        <x:v>Janela de intervenção em Painel/Comando; revisar recorrências (4/30d) e contexto antes de escalar.</x:v>
      </x:c>
      <x:c r="AR108" s="62" t="n">
        <x:v>1795</x:v>
      </x:c>
      <x:c r="AS108" t="str">
        <x:v>Alto</x:v>
      </x:c>
      <x:c r="AT108" s="50" t="n">
        <x:v>46273.458333333336</x:v>
      </x:c>
      <x:c r="AU108" t="str">
        <x:v>T04</x:v>
      </x:c>
      <x:c r="AV108" t="str">
        <x:v>Ocorrência adicional sintética; perfil inspirado em CH-20260908-016</x:v>
      </x:c>
    </x:row>
    <x:row r="109">
      <x:c r="A109" t="str">
        <x:v>CH-20260908-001</x:v>
      </x:c>
      <x:c r="B109" t="str">
        <x:v>Passageiro Preso</x:v>
      </x:c>
      <x:c r="C109" t="str">
        <x:v>Elevador parado entre andares</x:v>
      </x:c>
      <x:c r="D109" t="str">
        <x:v>Cabine imobilizada com passageiro no interior.</x:v>
      </x:c>
      <x:c r="E109" t="str">
        <x:v>Concluído</x:v>
      </x:c>
      <x:c r="F109" t="str">
        <x:v>Central de Atendimento</x:v>
      </x:c>
      <x:c r="G109" t="str">
        <x:v>E-101</x:v>
      </x:c>
      <x:c r="H109" t="str">
        <x:v>Elevador Social</x:v>
      </x:c>
      <x:c r="I109" t="str">
        <x:v>Microprocessado</x:v>
      </x:c>
      <x:c r="J109" t="str">
        <x:v>Gearless</x:v>
      </x:c>
      <x:c r="K109" t="str">
        <x:v>OTIS</x:v>
      </x:c>
      <x:c r="L109" t="str">
        <x:v>ROT-001</x:v>
      </x:c>
      <x:c r="M109" t="str">
        <x:v>Tração</x:v>
      </x:c>
      <x:c r="N109" t="str">
        <x:v>Freio</x:v>
      </x:c>
      <x:c r="O109" t="str">
        <x:v>Travamento</x:v>
      </x:c>
      <x:c r="P109" t="str">
        <x:v>Parada total</x:v>
      </x:c>
      <x:c r="Q109" t="str">
        <x:v>Resgate concluído e equipamento normalizado</x:v>
      </x:c>
      <x:c r="R109" t="str">
        <x:v>Hospital São Paulo</x:v>
      </x:c>
      <x:c r="S109" t="str">
        <x:v>Sim</x:v>
      </x:c>
      <x:c r="T109" t="str">
        <x:v>Sim</x:v>
      </x:c>
      <x:c r="U109" t="str">
        <x:v>CT-2026-001</x:v>
      </x:c>
      <x:c r="V109" t="str">
        <x:v>SP-Centro</x:v>
      </x:c>
      <x:c r="W109" t="str">
        <x:v>João Silva</x:v>
      </x:c>
      <x:c r="X109" t="str">
        <x:v>Supervisor A</x:v>
      </x:c>
      <x:c r="Y109" t="str">
        <x:v>Rota Centro 01</x:v>
      </x:c>
      <x:c r="Z109" t="str">
        <x:v>Av. Paulista, 1000 - São Paulo/SP</x:v>
      </x:c>
      <x:c r="AA109" t="str">
        <x:v>São Paulo</x:v>
      </x:c>
      <x:c r="AB109" s="50" t="n">
        <x:v>46273.3055555556</x:v>
      </x:c>
      <x:c r="AC109" s="50" t="n">
        <x:v>46273.3076388889</x:v>
      </x:c>
      <x:c r="AD109" s="50" t="n">
        <x:v>46273.3104166667</x:v>
      </x:c>
      <x:c r="AE109" s="50" t="n">
        <x:v>46273.3201388889</x:v>
      </x:c>
      <x:c r="AF109" s="50" t="n">
        <x:v>46273.3430555556</x:v>
      </x:c>
      <x:c r="AG109" t="n">
        <x:v>21</x:v>
      </x:c>
      <x:c r="AH109" t="n">
        <x:v>28</x:v>
      </x:c>
      <x:c r="AI109" t="str">
        <x:v>Sim</x:v>
      </x:c>
      <x:c r="AJ109" t="str">
        <x:v>Sim</x:v>
      </x:c>
      <x:c r="AK109" t="n">
        <x:v>60</x:v>
      </x:c>
      <x:c r="AL109" t="n">
        <x:v>0</x:v>
      </x:c>
      <x:c r="AM109" s="64" t="n">
        <x:v>0.8167</x:v>
      </x:c>
      <x:c r="AN109" t="n">
        <x:v>0</x:v>
      </x:c>
      <x:c r="AO109" t="str">
        <x:v>Amarelo</x:v>
      </x:c>
      <x:c r="AP109" t="str">
        <x:v>passageiro preso; SLA acima de 80%; carro parado</x:v>
      </x:c>
      <x:c r="AQ109" t="str">
        <x:v>Sem recorrência relevante; acompanhar evolução de Tração.</x:v>
      </x:c>
      <x:c r="AR109" s="62" t="n">
        <x:v>882</x:v>
      </x:c>
      <x:c r="AS109" t="str">
        <x:v>Médio</x:v>
      </x:c>
      <x:c r="AT109" s="50" t="n">
        <x:v>46273.489583333336</x:v>
      </x:c>
      <x:c r="AU109" t="str">
        <x:v>T05</x:v>
      </x:c>
      <x:c r="AV109" t="str">
        <x:v>T2 original + evolução sintética posterior</x:v>
      </x:c>
    </x:row>
    <x:row r="110">
      <x:c r="A110" t="str">
        <x:v>CH-20260908-002</x:v>
      </x:c>
      <x:c r="B110" t="str">
        <x:v>Falha de Nivelamento</x:v>
      </x:c>
      <x:c r="C110" t="str">
        <x:v>Cabine desnivelada</x:v>
      </x:c>
      <x:c r="D110" t="str">
        <x:v>Cabine parou fora do nível do pavimento.</x:v>
      </x:c>
      <x:c r="E110" t="str">
        <x:v>Concluído</x:v>
      </x:c>
      <x:c r="F110" t="str">
        <x:v>IoT</x:v>
      </x:c>
      <x:c r="G110" t="str">
        <x:v>E-102</x:v>
      </x:c>
      <x:c r="H110" t="str">
        <x:v>Elevador Social</x:v>
      </x:c>
      <x:c r="I110" t="str">
        <x:v>Microprocessado</x:v>
      </x:c>
      <x:c r="J110" t="str">
        <x:v>Gearless</x:v>
      </x:c>
      <x:c r="K110" t="str">
        <x:v>OTIS</x:v>
      </x:c>
      <x:c r="L110" t="str">
        <x:v>ROT-014</x:v>
      </x:c>
      <x:c r="M110" t="str">
        <x:v>Sensor de Nível</x:v>
      </x:c>
      <x:c r="N110" t="str">
        <x:v>Sensor</x:v>
      </x:c>
      <x:c r="O110" t="str">
        <x:v>Leitura inconsistente</x:v>
      </x:c>
      <x:c r="P110" t="str">
        <x:v>Falha de nivelamento</x:v>
      </x:c>
      <x:c r="Q110" t="str">
        <x:v>Sensor ajustado/substituído</x:v>
      </x:c>
      <x:c r="R110" t="str">
        <x:v>Shopping Center Norte</x:v>
      </x:c>
      <x:c r="S110" t="str">
        <x:v>Não</x:v>
      </x:c>
      <x:c r="T110" t="str">
        <x:v>Sim</x:v>
      </x:c>
      <x:c r="U110" t="str">
        <x:v>CT-2026-002</x:v>
      </x:c>
      <x:c r="V110" t="str">
        <x:v>SP-Norte</x:v>
      </x:c>
      <x:c r="W110" t="str">
        <x:v>Marcos Lima</x:v>
      </x:c>
      <x:c r="X110" t="str">
        <x:v>Supervisor B</x:v>
      </x:c>
      <x:c r="Y110" t="str">
        <x:v>Rota Norte 02</x:v>
      </x:c>
      <x:c r="Z110" t="str">
        <x:v>Av. Otto Baumgart, 245 - São Paulo/SP</x:v>
      </x:c>
      <x:c r="AA110" t="str">
        <x:v>São Paulo</x:v>
      </x:c>
      <x:c r="AB110" s="50" t="n">
        <x:v>46273.3090277778</x:v>
      </x:c>
      <x:c r="AC110" s="50" t="n">
        <x:v>46273.3118055556</x:v>
      </x:c>
      <x:c r="AD110" s="50" t="n">
        <x:v>46273.3159722222</x:v>
      </x:c>
      <x:c r="AE110" s="50" t="n">
        <x:v>46273.3340277778</x:v>
      </x:c>
      <x:c r="AF110" s="50" t="n">
        <x:v>46273.3652777778</x:v>
      </x:c>
      <x:c r="AG110" t="n">
        <x:v>36</x:v>
      </x:c>
      <x:c r="AH110" t="n">
        <x:v>40</x:v>
      </x:c>
      <x:c r="AI110" t="str">
        <x:v>Não</x:v>
      </x:c>
      <x:c r="AJ110" t="str">
        <x:v>Não</x:v>
      </x:c>
      <x:c r="AK110" t="n">
        <x:v>90</x:v>
      </x:c>
      <x:c r="AL110" t="n">
        <x:v>0</x:v>
      </x:c>
      <x:c r="AM110" s="64" t="n">
        <x:v>0.8444</x:v>
      </x:c>
      <x:c r="AN110" t="n">
        <x:v>1</x:v>
      </x:c>
      <x:c r="AO110" t="str">
        <x:v>Amarelo</x:v>
      </x:c>
      <x:c r="AP110" t="str">
        <x:v>SLA acima de 80%</x:v>
      </x:c>
      <x:c r="AQ110" t="str">
        <x:v>Há ocorrência recente semelhante; comparar solução anterior de Sensor de Nível.</x:v>
      </x:c>
      <x:c r="AR110" s="62" t="n">
        <x:v>664</x:v>
      </x:c>
      <x:c r="AS110" t="str">
        <x:v>Baixo</x:v>
      </x:c>
      <x:c r="AT110" s="50" t="n">
        <x:v>46273.489583333336</x:v>
      </x:c>
      <x:c r="AU110" t="str">
        <x:v>T05</x:v>
      </x:c>
      <x:c r="AV110" t="str">
        <x:v>T2 original + evolução sintética posterior</x:v>
      </x:c>
    </x:row>
    <x:row r="111">
      <x:c r="A111" t="str">
        <x:v>CH-20260908-003</x:v>
      </x:c>
      <x:c r="B111" t="str">
        <x:v>Porta não fecha</x:v>
      </x:c>
      <x:c r="C111" t="str">
        <x:v>Falha no fechamento</x:v>
      </x:c>
      <x:c r="D111" t="str">
        <x:v>Porta permanece aberta e impede partida.</x:v>
      </x:c>
      <x:c r="E111" t="str">
        <x:v>Concluído</x:v>
      </x:c>
      <x:c r="F111" t="str">
        <x:v>Aplicativo Cliente</x:v>
      </x:c>
      <x:c r="G111" t="str">
        <x:v>E-103</x:v>
      </x:c>
      <x:c r="H111" t="str">
        <x:v>Elevador Social</x:v>
      </x:c>
      <x:c r="I111" t="str">
        <x:v>Microprocessado</x:v>
      </x:c>
      <x:c r="J111" t="str">
        <x:v>Gearless</x:v>
      </x:c>
      <x:c r="K111" t="str">
        <x:v>OTIS</x:v>
      </x:c>
      <x:c r="L111" t="str">
        <x:v>ROT-021</x:v>
      </x:c>
      <x:c r="M111" t="str">
        <x:v>Operador de Porta</x:v>
      </x:c>
      <x:c r="N111" t="str">
        <x:v>Sensor de porta</x:v>
      </x:c>
      <x:c r="O111" t="str">
        <x:v>Falha de leitura</x:v>
      </x:c>
      <x:c r="P111" t="str">
        <x:v>Porta aberta</x:v>
      </x:c>
      <x:c r="Q111" t="str">
        <x:v>Sensor de porta ajustado</x:v>
      </x:c>
      <x:c r="R111" t="str">
        <x:v>Edifício Corporate</x:v>
      </x:c>
      <x:c r="S111" t="str">
        <x:v>Não</x:v>
      </x:c>
      <x:c r="T111" t="str">
        <x:v>Sim</x:v>
      </x:c>
      <x:c r="U111" t="str">
        <x:v>CT-2026-003</x:v>
      </x:c>
      <x:c r="V111" t="str">
        <x:v>SP-Oeste</x:v>
      </x:c>
      <x:c r="W111" t="str">
        <x:v>Ana Costa</x:v>
      </x:c>
      <x:c r="X111" t="str">
        <x:v>Supervisor C</x:v>
      </x:c>
      <x:c r="Y111" t="str">
        <x:v>Rota Oeste 03</x:v>
      </x:c>
      <x:c r="Z111" t="str">
        <x:v>Av. Faria Lima, 3500 - São Paulo/SP</x:v>
      </x:c>
      <x:c r="AA111" t="str">
        <x:v>São Paulo</x:v>
      </x:c>
      <x:c r="AB111" s="50" t="n">
        <x:v>46273.3118055556</x:v>
      </x:c>
      <x:c r="AC111" s="50" t="n">
        <x:v>46273.3152777778</x:v>
      </x:c>
      <x:c r="AD111" s="50" t="n">
        <x:v>46273.3166666667</x:v>
      </x:c>
      <x:c r="AE111" s="50" t="n">
        <x:v>46273.3395833333</x:v>
      </x:c>
      <x:c r="AF111" s="50" t="n">
        <x:v>46273.3784722222</x:v>
      </x:c>
      <x:c r="AG111" t="n">
        <x:v>40</x:v>
      </x:c>
      <x:c r="AH111" t="n">
        <x:v>51</x:v>
      </x:c>
      <x:c r="AI111" t="str">
        <x:v>Não</x:v>
      </x:c>
      <x:c r="AJ111" t="str">
        <x:v>Não</x:v>
      </x:c>
      <x:c r="AK111" t="n">
        <x:v>120</x:v>
      </x:c>
      <x:c r="AL111" t="n">
        <x:v>0</x:v>
      </x:c>
      <x:c r="AM111" s="64" t="n">
        <x:v>0.7583</x:v>
      </x:c>
      <x:c r="AN111" t="n">
        <x:v>2</x:v>
      </x:c>
      <x:c r="AO111" t="str">
        <x:v>Amarelo</x:v>
      </x:c>
      <x:c r="AP111" t="str">
        <x:v>2 recorrências/30d; SLA acima de 55%</x:v>
      </x:c>
      <x:c r="AQ111" t="str">
        <x:v>Há ocorrência recente semelhante; comparar solução anterior de Operador de Porta.</x:v>
      </x:c>
      <x:c r="AR111" s="62" t="n">
        <x:v>769</x:v>
      </x:c>
      <x:c r="AS111" t="str">
        <x:v>Médio</x:v>
      </x:c>
      <x:c r="AT111" s="50" t="n">
        <x:v>46273.489583333336</x:v>
      </x:c>
      <x:c r="AU111" t="str">
        <x:v>T05</x:v>
      </x:c>
      <x:c r="AV111" t="str">
        <x:v>T2 original + evolução sintética posterior</x:v>
      </x:c>
    </x:row>
    <x:row r="112">
      <x:c r="A112" t="str">
        <x:v>CH-20260908-004</x:v>
      </x:c>
      <x:c r="B112" t="str">
        <x:v>Painel sem comunicação</x:v>
      </x:c>
      <x:c r="C112" t="str">
        <x:v>Falha de comunicação</x:v>
      </x:c>
      <x:c r="D112" t="str">
        <x:v>Painel não responde aos comandos.</x:v>
      </x:c>
      <x:c r="E112" t="str">
        <x:v>Concluído</x:v>
      </x:c>
      <x:c r="F112" t="str">
        <x:v>Monitoramento Remoto</x:v>
      </x:c>
      <x:c r="G112" t="str">
        <x:v>E-104</x:v>
      </x:c>
      <x:c r="H112" t="str">
        <x:v>Elevador Social</x:v>
      </x:c>
      <x:c r="I112" t="str">
        <x:v>Microprocessado</x:v>
      </x:c>
      <x:c r="J112" t="str">
        <x:v>Gearless</x:v>
      </x:c>
      <x:c r="K112" t="str">
        <x:v>OTIS</x:v>
      </x:c>
      <x:c r="L112" t="str">
        <x:v>ROT-033</x:v>
      </x:c>
      <x:c r="M112" t="str">
        <x:v>Painel/Comando</x:v>
      </x:c>
      <x:c r="N112" t="str">
        <x:v>Interface</x:v>
      </x:c>
      <x:c r="O112" t="str">
        <x:v>Sem comunicação</x:v>
      </x:c>
      <x:c r="P112" t="str">
        <x:v>Falha lógica</x:v>
      </x:c>
      <x:c r="Q112" t="str">
        <x:v>Interface reinicializada/substituída</x:v>
      </x:c>
      <x:c r="R112" t="str">
        <x:v>Condomínio Alameda</x:v>
      </x:c>
      <x:c r="S112" t="str">
        <x:v>Não</x:v>
      </x:c>
      <x:c r="T112" t="str">
        <x:v>Não</x:v>
      </x:c>
      <x:c r="U112" t="str">
        <x:v>CT-2026-004</x:v>
      </x:c>
      <x:c r="V112" t="str">
        <x:v>SP-Sul</x:v>
      </x:c>
      <x:c r="W112" t="str">
        <x:v>Carlos Souza</x:v>
      </x:c>
      <x:c r="X112" t="str">
        <x:v>Supervisor D</x:v>
      </x:c>
      <x:c r="Y112" t="str">
        <x:v>Rota Sul 04</x:v>
      </x:c>
      <x:c r="Z112" t="str">
        <x:v>R. das Acácias, 420 - São Paulo/SP</x:v>
      </x:c>
      <x:c r="AA112" t="str">
        <x:v>São Paulo</x:v>
      </x:c>
      <x:c r="AB112" s="50" t="n">
        <x:v>46273.3145833333</x:v>
      </x:c>
      <x:c r="AC112" s="50" t="n">
        <x:v>46273.31875</x:v>
      </x:c>
      <x:c r="AD112" s="50" t="n">
        <x:v>46273.3215277778</x:v>
      </x:c>
      <x:c r="AE112" s="50" t="n">
        <x:v>46273.3493055556</x:v>
      </x:c>
      <x:c r="AF112" s="50" t="n">
        <x:v>46273.3958333333</x:v>
      </x:c>
      <x:c r="AG112" t="n">
        <x:v>50</x:v>
      </x:c>
      <x:c r="AH112" t="n">
        <x:v>62</x:v>
      </x:c>
      <x:c r="AI112" t="str">
        <x:v>Não</x:v>
      </x:c>
      <x:c r="AJ112" t="str">
        <x:v>Não</x:v>
      </x:c>
      <x:c r="AK112" t="n">
        <x:v>180</x:v>
      </x:c>
      <x:c r="AL112" t="n">
        <x:v>0</x:v>
      </x:c>
      <x:c r="AM112" s="64" t="n">
        <x:v>0.6222</x:v>
      </x:c>
      <x:c r="AN112" t="n">
        <x:v>3</x:v>
      </x:c>
      <x:c r="AO112" t="str">
        <x:v>Verde</x:v>
      </x:c>
      <x:c r="AP112" t="str">
        <x:v>3 recorrências/30d; SLA acima de 55%</x:v>
      </x:c>
      <x:c r="AQ112" t="str">
        <x:v>Recorrência elevada: verificar padrão histórico em Painel/Comando/Interface.</x:v>
      </x:c>
      <x:c r="AR112" s="62" t="n">
        <x:v>1594</x:v>
      </x:c>
      <x:c r="AS112" t="str">
        <x:v>Alto</x:v>
      </x:c>
      <x:c r="AT112" s="50" t="n">
        <x:v>46273.489583333336</x:v>
      </x:c>
      <x:c r="AU112" t="str">
        <x:v>T05</x:v>
      </x:c>
      <x:c r="AV112" t="str">
        <x:v>T2 original + evolução sintética posterior</x:v>
      </x:c>
    </x:row>
    <x:row r="113">
      <x:c r="A113" t="str">
        <x:v>CH-20260908-005</x:v>
      </x:c>
      <x:c r="B113" t="str">
        <x:v>Falha de Tração</x:v>
      </x:c>
      <x:c r="C113" t="str">
        <x:v>Movimento irregular</x:v>
      </x:c>
      <x:c r="D113" t="str">
        <x:v>Equipamento apresenta perda de tração.</x:v>
      </x:c>
      <x:c r="E113" t="str">
        <x:v>Concluído</x:v>
      </x:c>
      <x:c r="F113" t="str">
        <x:v>Central de Atendimento</x:v>
      </x:c>
      <x:c r="G113" t="str">
        <x:v>E-105</x:v>
      </x:c>
      <x:c r="H113" t="str">
        <x:v>Elevador Social</x:v>
      </x:c>
      <x:c r="I113" t="str">
        <x:v>Microprocessado</x:v>
      </x:c>
      <x:c r="J113" t="str">
        <x:v>Gearless</x:v>
      </x:c>
      <x:c r="K113" t="str">
        <x:v>OTIS</x:v>
      </x:c>
      <x:c r="L113" t="str">
        <x:v>ROT-041</x:v>
      </x:c>
      <x:c r="M113" t="str">
        <x:v>Máquina de Tração</x:v>
      </x:c>
      <x:c r="N113" t="str">
        <x:v>Inversor</x:v>
      </x:c>
      <x:c r="O113" t="str">
        <x:v>Oscilação</x:v>
      </x:c>
      <x:c r="P113" t="str">
        <x:v>Falha de movimento</x:v>
      </x:c>
      <x:c r="Q113" t="str">
        <x:v>Parâmetros do inversor corrigidos</x:v>
      </x:c>
      <x:c r="R113" t="str">
        <x:v>Aeroporto Terminal 3</x:v>
      </x:c>
      <x:c r="S113" t="str">
        <x:v>Sim</x:v>
      </x:c>
      <x:c r="T113" t="str">
        <x:v>Sim</x:v>
      </x:c>
      <x:c r="U113" t="str">
        <x:v>CT-2026-005</x:v>
      </x:c>
      <x:c r="V113" t="str">
        <x:v>GRU</x:v>
      </x:c>
      <x:c r="W113" t="str">
        <x:v>Renata Alves</x:v>
      </x:c>
      <x:c r="X113" t="str">
        <x:v>Supervisor A</x:v>
      </x:c>
      <x:c r="Y113" t="str">
        <x:v>Rota GRU 05</x:v>
      </x:c>
      <x:c r="Z113" t="str">
        <x:v>Rod. Hélio Smidt, s/n - Guarulhos/SP</x:v>
      </x:c>
      <x:c r="AA113" t="str">
        <x:v>São Paulo</x:v>
      </x:c>
      <x:c r="AB113" s="50" t="n">
        <x:v>46273.3180555556</x:v>
      </x:c>
      <x:c r="AC113" s="50" t="n">
        <x:v>46273.3194444444</x:v>
      </x:c>
      <x:c r="AD113" s="50" t="n">
        <x:v>46273.3236111111</x:v>
      </x:c>
      <x:c r="AE113" s="50" t="n">
        <x:v>46273.3319444444</x:v>
      </x:c>
      <x:c r="AF113" s="50" t="n">
        <x:v>46273.3861111111</x:v>
      </x:c>
      <x:c r="AG113" t="n">
        <x:v>20</x:v>
      </x:c>
      <x:c r="AH113" t="n">
        <x:v>73</x:v>
      </x:c>
      <x:c r="AI113" t="str">
        <x:v>Não</x:v>
      </x:c>
      <x:c r="AJ113" t="str">
        <x:v>Sim</x:v>
      </x:c>
      <x:c r="AK113" t="n">
        <x:v>45</x:v>
      </x:c>
      <x:c r="AL113" t="n">
        <x:v>0</x:v>
      </x:c>
      <x:c r="AM113" s="64" t="n">
        <x:v>2.0667</x:v>
      </x:c>
      <x:c r="AN113" t="n">
        <x:v>1</x:v>
      </x:c>
      <x:c r="AO113" t="str">
        <x:v>Vermelho</x:v>
      </x:c>
      <x:c r="AP113" t="str">
        <x:v>SLA estourado; carro parado</x:v>
      </x:c>
      <x:c r="AQ113" t="str">
        <x:v>Há ocorrência recente semelhante; comparar solução anterior de Máquina de Tração.</x:v>
      </x:c>
      <x:c r="AR113" s="62" t="n">
        <x:v>1259</x:v>
      </x:c>
      <x:c r="AS113" t="str">
        <x:v>Alto</x:v>
      </x:c>
      <x:c r="AT113" s="50" t="n">
        <x:v>46273.489583333336</x:v>
      </x:c>
      <x:c r="AU113" t="str">
        <x:v>T05</x:v>
      </x:c>
      <x:c r="AV113" t="str">
        <x:v>T2 original + evolução sintética posterior</x:v>
      </x:c>
    </x:row>
    <x:row r="114">
      <x:c r="A114" t="str">
        <x:v>CH-20260908-006</x:v>
      </x:c>
      <x:c r="B114" t="str">
        <x:v>Iluminação de Cabine</x:v>
      </x:c>
      <x:c r="C114" t="str">
        <x:v>Iluminação inoperante</x:v>
      </x:c>
      <x:c r="D114" t="str">
        <x:v>Cabine com iluminação parcial ou total indisponível.</x:v>
      </x:c>
      <x:c r="E114" t="str">
        <x:v>Concluído</x:v>
      </x:c>
      <x:c r="F114" t="str">
        <x:v>IoT</x:v>
      </x:c>
      <x:c r="G114" t="str">
        <x:v>E-106</x:v>
      </x:c>
      <x:c r="H114" t="str">
        <x:v>Elevador Social</x:v>
      </x:c>
      <x:c r="I114" t="str">
        <x:v>Microprocessado</x:v>
      </x:c>
      <x:c r="J114" t="str">
        <x:v>Gearless</x:v>
      </x:c>
      <x:c r="K114" t="str">
        <x:v>OTIS</x:v>
      </x:c>
      <x:c r="L114" t="str">
        <x:v>ROT-052</x:v>
      </x:c>
      <x:c r="M114" t="str">
        <x:v>Elétrica</x:v>
      </x:c>
      <x:c r="N114" t="str">
        <x:v>Fonte</x:v>
      </x:c>
      <x:c r="O114" t="str">
        <x:v>Sem alimentação</x:v>
      </x:c>
      <x:c r="P114" t="str">
        <x:v>Falha elétrica</x:v>
      </x:c>
      <x:c r="Q114" t="str">
        <x:v>Fonte substituída</x:v>
      </x:c>
      <x:c r="R114" t="str">
        <x:v>Universidade Central</x:v>
      </x:c>
      <x:c r="S114" t="str">
        <x:v>Não</x:v>
      </x:c>
      <x:c r="T114" t="str">
        <x:v>Sim</x:v>
      </x:c>
      <x:c r="U114" t="str">
        <x:v>CT-2026-006</x:v>
      </x:c>
      <x:c r="V114" t="str">
        <x:v>SP-Leste</x:v>
      </x:c>
      <x:c r="W114" t="str">
        <x:v>Paulo Mendes</x:v>
      </x:c>
      <x:c r="X114" t="str">
        <x:v>Supervisor B</x:v>
      </x:c>
      <x:c r="Y114" t="str">
        <x:v>Rota Leste 06</x:v>
      </x:c>
      <x:c r="Z114" t="str">
        <x:v>Av. Central, 850 - São Paulo/SP</x:v>
      </x:c>
      <x:c r="AA114" t="str">
        <x:v>São Paulo</x:v>
      </x:c>
      <x:c r="AB114" s="50" t="n">
        <x:v>46273.3215277778</x:v>
      </x:c>
      <x:c r="AC114" s="50" t="n">
        <x:v>46273.3236111111</x:v>
      </x:c>
      <x:c r="AD114" s="50" t="n">
        <x:v>46273.325</x:v>
      </x:c>
      <x:c r="AE114" s="50" t="n">
        <x:v>46273.3388888889</x:v>
      </x:c>
      <x:c r="AF114" s="50" t="n">
        <x:v>46273.3569444444</x:v>
      </x:c>
      <x:c r="AG114" t="n">
        <x:v>25</x:v>
      </x:c>
      <x:c r="AH114" t="n">
        <x:v>21</x:v>
      </x:c>
      <x:c r="AI114" t="str">
        <x:v>Não</x:v>
      </x:c>
      <x:c r="AJ114" t="str">
        <x:v>Não</x:v>
      </x:c>
      <x:c r="AK114" t="n">
        <x:v>120</x:v>
      </x:c>
      <x:c r="AL114" t="n">
        <x:v>0</x:v>
      </x:c>
      <x:c r="AM114" s="64" t="n">
        <x:v>0.3833</x:v>
      </x:c>
      <x:c r="AN114" t="n">
        <x:v>0</x:v>
      </x:c>
      <x:c r="AO114" t="str">
        <x:v>Verde</x:v>
      </x:c>
      <x:c r="AP114" t="str">
        <x:v>operação dentro do esperado</x:v>
      </x:c>
      <x:c r="AQ114" t="str">
        <x:v>Sem recorrência relevante; acompanhar evolução de Elétrica.</x:v>
      </x:c>
      <x:c r="AR114" s="62" t="n">
        <x:v>507</x:v>
      </x:c>
      <x:c r="AS114" t="str">
        <x:v>Baixo</x:v>
      </x:c>
      <x:c r="AT114" s="50" t="n">
        <x:v>46273.489583333336</x:v>
      </x:c>
      <x:c r="AU114" t="str">
        <x:v>T05</x:v>
      </x:c>
      <x:c r="AV114" t="str">
        <x:v>T2 original + evolução sintética posterior</x:v>
      </x:c>
    </x:row>
    <x:row r="115">
      <x:c r="A115" t="str">
        <x:v>CH-20260908-007</x:v>
      </x:c>
      <x:c r="B115" t="str">
        <x:v>Botão de Chamada</x:v>
      </x:c>
      <x:c r="C115" t="str">
        <x:v>Botão não responde</x:v>
      </x:c>
      <x:c r="D115" t="str">
        <x:v>Botão de chamada não registra comando.</x:v>
      </x:c>
      <x:c r="E115" t="str">
        <x:v>Concluído</x:v>
      </x:c>
      <x:c r="F115" t="str">
        <x:v>Aplicativo Cliente</x:v>
      </x:c>
      <x:c r="G115" t="str">
        <x:v>E-107</x:v>
      </x:c>
      <x:c r="H115" t="str">
        <x:v>Elevador Social</x:v>
      </x:c>
      <x:c r="I115" t="str">
        <x:v>Microprocessado</x:v>
      </x:c>
      <x:c r="J115" t="str">
        <x:v>Gearless</x:v>
      </x:c>
      <x:c r="K115" t="str">
        <x:v>OTIS</x:v>
      </x:c>
      <x:c r="L115" t="str">
        <x:v>ROT-063</x:v>
      </x:c>
      <x:c r="M115" t="str">
        <x:v>Botoeira</x:v>
      </x:c>
      <x:c r="N115" t="str">
        <x:v>Contato</x:v>
      </x:c>
      <x:c r="O115" t="str">
        <x:v>Mau contato</x:v>
      </x:c>
      <x:c r="P115" t="str">
        <x:v>Falha de comando</x:v>
      </x:c>
      <x:c r="Q115" t="str">
        <x:v>Contato reparado</x:v>
      </x:c>
      <x:c r="R115" t="str">
        <x:v>Hospital São Paulo</x:v>
      </x:c>
      <x:c r="S115" t="str">
        <x:v>Sim</x:v>
      </x:c>
      <x:c r="T115" t="str">
        <x:v>Sim</x:v>
      </x:c>
      <x:c r="U115" t="str">
        <x:v>CT-2026-001</x:v>
      </x:c>
      <x:c r="V115" t="str">
        <x:v>SP-Centro</x:v>
      </x:c>
      <x:c r="W115" t="str">
        <x:v>João Silva</x:v>
      </x:c>
      <x:c r="X115" t="str">
        <x:v>Supervisor C</x:v>
      </x:c>
      <x:c r="Y115" t="str">
        <x:v>Rota Centro 01</x:v>
      </x:c>
      <x:c r="Z115" t="str">
        <x:v>Av. Paulista, 1000 - São Paulo/SP</x:v>
      </x:c>
      <x:c r="AA115" t="str">
        <x:v>São Paulo</x:v>
      </x:c>
      <x:c r="AB115" s="50" t="n">
        <x:v>46273.3243055556</x:v>
      </x:c>
      <x:c r="AC115" s="50" t="n">
        <x:v>46273.3270833333</x:v>
      </x:c>
      <x:c r="AD115" s="50" t="n">
        <x:v>46273.3298611111</x:v>
      </x:c>
      <x:c r="AE115" s="50" t="n">
        <x:v>46273.3486111111</x:v>
      </x:c>
      <x:c r="AF115" s="50" t="n">
        <x:v>46273.3743055556</x:v>
      </x:c>
      <x:c r="AG115" t="n">
        <x:v>35</x:v>
      </x:c>
      <x:c r="AH115" t="n">
        <x:v>32</x:v>
      </x:c>
      <x:c r="AI115" t="str">
        <x:v>Não</x:v>
      </x:c>
      <x:c r="AJ115" t="str">
        <x:v>Não</x:v>
      </x:c>
      <x:c r="AK115" t="n">
        <x:v>60</x:v>
      </x:c>
      <x:c r="AL115" t="n">
        <x:v>0</x:v>
      </x:c>
      <x:c r="AM115" s="64" t="n">
        <x:v>1.1167</x:v>
      </x:c>
      <x:c r="AN115" t="n">
        <x:v>2</x:v>
      </x:c>
      <x:c r="AO115" t="str">
        <x:v>Vermelho</x:v>
      </x:c>
      <x:c r="AP115" t="str">
        <x:v>2 recorrências/30d; SLA estourado</x:v>
      </x:c>
      <x:c r="AQ115" t="str">
        <x:v>Há ocorrência recente semelhante; comparar solução anterior de Botoeira.</x:v>
      </x:c>
      <x:c r="AR115" s="62" t="n">
        <x:v>612</x:v>
      </x:c>
      <x:c r="AS115" t="str">
        <x:v>Baixo</x:v>
      </x:c>
      <x:c r="AT115" s="50" t="n">
        <x:v>46273.489583333336</x:v>
      </x:c>
      <x:c r="AU115" t="str">
        <x:v>T05</x:v>
      </x:c>
      <x:c r="AV115" t="str">
        <x:v>T2 original + evolução sintética posterior</x:v>
      </x:c>
    </x:row>
    <x:row r="116">
      <x:c r="A116" t="str">
        <x:v>CH-20260908-008</x:v>
      </x:c>
      <x:c r="B116" t="str">
        <x:v>Parada Intermitente</x:v>
      </x:c>
      <x:c r="C116" t="str">
        <x:v>Paradas aleatórias</x:v>
      </x:c>
      <x:c r="D116" t="str">
        <x:v>Equipamento interrompe operação de forma intermitente.</x:v>
      </x:c>
      <x:c r="E116" t="str">
        <x:v>Concluído</x:v>
      </x:c>
      <x:c r="F116" t="str">
        <x:v>Monitoramento Remoto</x:v>
      </x:c>
      <x:c r="G116" t="str">
        <x:v>E-108</x:v>
      </x:c>
      <x:c r="H116" t="str">
        <x:v>Elevador Social</x:v>
      </x:c>
      <x:c r="I116" t="str">
        <x:v>Microprocessado</x:v>
      </x:c>
      <x:c r="J116" t="str">
        <x:v>Gearless</x:v>
      </x:c>
      <x:c r="K116" t="str">
        <x:v>OTIS</x:v>
      </x:c>
      <x:c r="L116" t="str">
        <x:v>ROT-074</x:v>
      </x:c>
      <x:c r="M116" t="str">
        <x:v>Painel/Comando</x:v>
      </x:c>
      <x:c r="N116" t="str">
        <x:v>Placa</x:v>
      </x:c>
      <x:c r="O116" t="str">
        <x:v>Intermitência</x:v>
      </x:c>
      <x:c r="P116" t="str">
        <x:v>Falha intermitente</x:v>
      </x:c>
      <x:c r="Q116" t="str">
        <x:v>Placa revisada e teste funcional</x:v>
      </x:c>
      <x:c r="R116" t="str">
        <x:v>Shopping Center Norte</x:v>
      </x:c>
      <x:c r="S116" t="str">
        <x:v>Não</x:v>
      </x:c>
      <x:c r="T116" t="str">
        <x:v>Sim</x:v>
      </x:c>
      <x:c r="U116" t="str">
        <x:v>CT-2026-002</x:v>
      </x:c>
      <x:c r="V116" t="str">
        <x:v>SP-Norte</x:v>
      </x:c>
      <x:c r="W116" t="str">
        <x:v>Marcos Lima</x:v>
      </x:c>
      <x:c r="X116" t="str">
        <x:v>Supervisor D</x:v>
      </x:c>
      <x:c r="Y116" t="str">
        <x:v>Rota Norte 02</x:v>
      </x:c>
      <x:c r="Z116" t="str">
        <x:v>Av. Otto Baumgart, 245 - São Paulo/SP</x:v>
      </x:c>
      <x:c r="AA116" t="str">
        <x:v>São Paulo</x:v>
      </x:c>
      <x:c r="AB116" s="50" t="n">
        <x:v>46273.3270833333</x:v>
      </x:c>
      <x:c r="AC116" s="50" t="n">
        <x:v>46273.3305555556</x:v>
      </x:c>
      <x:c r="AD116" s="50" t="n">
        <x:v>46273.3347222222</x:v>
      </x:c>
      <x:c r="AE116" s="50" t="n">
        <x:v>46273.3583333333</x:v>
      </x:c>
      <x:c r="AF116" s="50" t="n">
        <x:v>46273.3916666667</x:v>
      </x:c>
      <x:c r="AG116" t="n">
        <x:v>45</x:v>
      </x:c>
      <x:c r="AH116" t="n">
        <x:v>43</x:v>
      </x:c>
      <x:c r="AI116" t="str">
        <x:v>Não</x:v>
      </x:c>
      <x:c r="AJ116" t="str">
        <x:v>Sim</x:v>
      </x:c>
      <x:c r="AK116" t="n">
        <x:v>90</x:v>
      </x:c>
      <x:c r="AL116" t="n">
        <x:v>0</x:v>
      </x:c>
      <x:c r="AM116" s="64" t="n">
        <x:v>0.9778</x:v>
      </x:c>
      <x:c r="AN116" t="n">
        <x:v>4</x:v>
      </x:c>
      <x:c r="AO116" t="str">
        <x:v>Laranja</x:v>
      </x:c>
      <x:c r="AP116" t="str">
        <x:v>4 recorrências/30d; SLA acima de 80%; carro parado</x:v>
      </x:c>
      <x:c r="AQ116" t="str">
        <x:v>Recorrência elevada: verificar padrão histórico em Painel/Comando/Placa.</x:v>
      </x:c>
      <x:c r="AR116" s="62" t="n">
        <x:v>1437</x:v>
      </x:c>
      <x:c r="AS116" t="str">
        <x:v>Alto</x:v>
      </x:c>
      <x:c r="AT116" s="50" t="n">
        <x:v>46273.489583333336</x:v>
      </x:c>
      <x:c r="AU116" t="str">
        <x:v>T05</x:v>
      </x:c>
      <x:c r="AV116" t="str">
        <x:v>T2 original + evolução sintética posterior</x:v>
      </x:c>
    </x:row>
    <x:row r="117">
      <x:c r="A117" t="str">
        <x:v>CH-20260908-009</x:v>
      </x:c>
      <x:c r="B117" t="str">
        <x:v>Passageiro Preso</x:v>
      </x:c>
      <x:c r="C117" t="str">
        <x:v>Elevador parado entre andares</x:v>
      </x:c>
      <x:c r="D117" t="str">
        <x:v>Cabine imobilizada com passageiro no interior.</x:v>
      </x:c>
      <x:c r="E117" t="str">
        <x:v>Concluído</x:v>
      </x:c>
      <x:c r="F117" t="str">
        <x:v>Central de Atendimento</x:v>
      </x:c>
      <x:c r="G117" t="str">
        <x:v>E-109</x:v>
      </x:c>
      <x:c r="H117" t="str">
        <x:v>Elevador Social</x:v>
      </x:c>
      <x:c r="I117" t="str">
        <x:v>Microprocessado</x:v>
      </x:c>
      <x:c r="J117" t="str">
        <x:v>Gearless</x:v>
      </x:c>
      <x:c r="K117" t="str">
        <x:v>OTIS</x:v>
      </x:c>
      <x:c r="L117" t="str">
        <x:v>ROT-001</x:v>
      </x:c>
      <x:c r="M117" t="str">
        <x:v>Tração</x:v>
      </x:c>
      <x:c r="N117" t="str">
        <x:v>Freio</x:v>
      </x:c>
      <x:c r="O117" t="str">
        <x:v>Travamento</x:v>
      </x:c>
      <x:c r="P117" t="str">
        <x:v>Parada total</x:v>
      </x:c>
      <x:c r="Q117" t="str">
        <x:v>Resgate concluído e equipamento normalizado</x:v>
      </x:c>
      <x:c r="R117" t="str">
        <x:v>Edifício Corporate</x:v>
      </x:c>
      <x:c r="S117" t="str">
        <x:v>Não</x:v>
      </x:c>
      <x:c r="T117" t="str">
        <x:v>Sim</x:v>
      </x:c>
      <x:c r="U117" t="str">
        <x:v>CT-2026-003</x:v>
      </x:c>
      <x:c r="V117" t="str">
        <x:v>SP-Oeste</x:v>
      </x:c>
      <x:c r="W117" t="str">
        <x:v>Ana Costa</x:v>
      </x:c>
      <x:c r="X117" t="str">
        <x:v>Supervisor A</x:v>
      </x:c>
      <x:c r="Y117" t="str">
        <x:v>Rota Oeste 03</x:v>
      </x:c>
      <x:c r="Z117" t="str">
        <x:v>Av. Faria Lima, 3500 - São Paulo/SP</x:v>
      </x:c>
      <x:c r="AA117" t="str">
        <x:v>São Paulo</x:v>
      </x:c>
      <x:c r="AB117" s="50" t="n">
        <x:v>46273.3298611111</x:v>
      </x:c>
      <x:c r="AC117" s="50" t="n">
        <x:v>46273.3340277778</x:v>
      </x:c>
      <x:c r="AD117" s="50" t="n">
        <x:v>46273.3354166667</x:v>
      </x:c>
      <x:c r="AE117" s="50" t="n">
        <x:v>46273.3604166667</x:v>
      </x:c>
      <x:c r="AF117" s="50" t="n">
        <x:v>46273.3833333333</x:v>
      </x:c>
      <x:c r="AG117" t="n">
        <x:v>44</x:v>
      </x:c>
      <x:c r="AH117" t="n">
        <x:v>28</x:v>
      </x:c>
      <x:c r="AI117" t="str">
        <x:v>Sim</x:v>
      </x:c>
      <x:c r="AJ117" t="str">
        <x:v>Sim</x:v>
      </x:c>
      <x:c r="AK117" t="n">
        <x:v>120</x:v>
      </x:c>
      <x:c r="AL117" t="n">
        <x:v>0</x:v>
      </x:c>
      <x:c r="AM117" s="64" t="n">
        <x:v>0.6</x:v>
      </x:c>
      <x:c r="AN117" t="n">
        <x:v>0</x:v>
      </x:c>
      <x:c r="AO117" t="str">
        <x:v>Verde</x:v>
      </x:c>
      <x:c r="AP117" t="str">
        <x:v>passageiro preso; SLA acima de 55%; carro parado</x:v>
      </x:c>
      <x:c r="AQ117" t="str">
        <x:v>Sem recorrência relevante; acompanhar evolução de Tração.</x:v>
      </x:c>
      <x:c r="AR117" s="62" t="n">
        <x:v>970</x:v>
      </x:c>
      <x:c r="AS117" t="str">
        <x:v>Médio</x:v>
      </x:c>
      <x:c r="AT117" s="50" t="n">
        <x:v>46273.489583333336</x:v>
      </x:c>
      <x:c r="AU117" t="str">
        <x:v>T05</x:v>
      </x:c>
      <x:c r="AV117" t="str">
        <x:v>T2 original + evolução sintética posterior</x:v>
      </x:c>
    </x:row>
    <x:row r="118">
      <x:c r="A118" t="str">
        <x:v>CH-20260908-010</x:v>
      </x:c>
      <x:c r="B118" t="str">
        <x:v>Falha de Nivelamento</x:v>
      </x:c>
      <x:c r="C118" t="str">
        <x:v>Cabine desnivelada</x:v>
      </x:c>
      <x:c r="D118" t="str">
        <x:v>Cabine parou fora do nível do pavimento.</x:v>
      </x:c>
      <x:c r="E118" t="str">
        <x:v>Concluído</x:v>
      </x:c>
      <x:c r="F118" t="str">
        <x:v>IoT</x:v>
      </x:c>
      <x:c r="G118" t="str">
        <x:v>E-110</x:v>
      </x:c>
      <x:c r="H118" t="str">
        <x:v>Elevador Social</x:v>
      </x:c>
      <x:c r="I118" t="str">
        <x:v>Microprocessado</x:v>
      </x:c>
      <x:c r="J118" t="str">
        <x:v>Gearless</x:v>
      </x:c>
      <x:c r="K118" t="str">
        <x:v>OTIS</x:v>
      </x:c>
      <x:c r="L118" t="str">
        <x:v>ROT-014</x:v>
      </x:c>
      <x:c r="M118" t="str">
        <x:v>Sensor de Nível</x:v>
      </x:c>
      <x:c r="N118" t="str">
        <x:v>Sensor</x:v>
      </x:c>
      <x:c r="O118" t="str">
        <x:v>Leitura inconsistente</x:v>
      </x:c>
      <x:c r="P118" t="str">
        <x:v>Falha de nivelamento</x:v>
      </x:c>
      <x:c r="Q118" t="str">
        <x:v>Sensor ajustado/substituído</x:v>
      </x:c>
      <x:c r="R118" t="str">
        <x:v>Condomínio Alameda</x:v>
      </x:c>
      <x:c r="S118" t="str">
        <x:v>Não</x:v>
      </x:c>
      <x:c r="T118" t="str">
        <x:v>Não</x:v>
      </x:c>
      <x:c r="U118" t="str">
        <x:v>CT-2026-004</x:v>
      </x:c>
      <x:c r="V118" t="str">
        <x:v>SP-Sul</x:v>
      </x:c>
      <x:c r="W118" t="str">
        <x:v>Carlos Souza</x:v>
      </x:c>
      <x:c r="X118" t="str">
        <x:v>Supervisor B</x:v>
      </x:c>
      <x:c r="Y118" t="str">
        <x:v>Rota Sul 04</x:v>
      </x:c>
      <x:c r="Z118" t="str">
        <x:v>R. das Acácias, 420 - São Paulo/SP</x:v>
      </x:c>
      <x:c r="AA118" t="str">
        <x:v>São Paulo</x:v>
      </x:c>
      <x:c r="AB118" s="50" t="n">
        <x:v>46273.3326388889</x:v>
      </x:c>
      <x:c r="AC118" s="50" t="n">
        <x:v>46273.3340277778</x:v>
      </x:c>
      <x:c r="AD118" s="50" t="n">
        <x:v>46273.3368055556</x:v>
      </x:c>
      <x:c r="AE118" s="50" t="n">
        <x:v>46273.3465277778</x:v>
      </x:c>
      <x:c r="AF118" s="50" t="n">
        <x:v>46273.3951388889</x:v>
      </x:c>
      <x:c r="AG118" t="n">
        <x:v>20</x:v>
      </x:c>
      <x:c r="AH118" t="n">
        <x:v>65</x:v>
      </x:c>
      <x:c r="AI118" t="str">
        <x:v>Não</x:v>
      </x:c>
      <x:c r="AJ118" t="str">
        <x:v>Não</x:v>
      </x:c>
      <x:c r="AK118" t="n">
        <x:v>180</x:v>
      </x:c>
      <x:c r="AL118" t="n">
        <x:v>0</x:v>
      </x:c>
      <x:c r="AM118" s="64" t="n">
        <x:v>0.4722</x:v>
      </x:c>
      <x:c r="AN118" t="n">
        <x:v>1</x:v>
      </x:c>
      <x:c r="AO118" t="str">
        <x:v>Verde</x:v>
      </x:c>
      <x:c r="AP118" t="str">
        <x:v>operação dentro do esperado</x:v>
      </x:c>
      <x:c r="AQ118" t="str">
        <x:v>Há ocorrência recente semelhante; comparar solução anterior de Sensor de Nível.</x:v>
      </x:c>
      <x:c r="AR118" s="62" t="n">
        <x:v>791</x:v>
      </x:c>
      <x:c r="AS118" t="str">
        <x:v>Médio</x:v>
      </x:c>
      <x:c r="AT118" s="50" t="n">
        <x:v>46273.489583333336</x:v>
      </x:c>
      <x:c r="AU118" t="str">
        <x:v>T05</x:v>
      </x:c>
      <x:c r="AV118" t="str">
        <x:v>T2 original + evolução sintética posterior</x:v>
      </x:c>
    </x:row>
    <x:row r="119">
      <x:c r="A119" t="str">
        <x:v>CH-20260908-011</x:v>
      </x:c>
      <x:c r="B119" t="str">
        <x:v>Porta não fecha</x:v>
      </x:c>
      <x:c r="C119" t="str">
        <x:v>Falha no fechamento</x:v>
      </x:c>
      <x:c r="D119" t="str">
        <x:v>Porta permanece aberta e impede partida.</x:v>
      </x:c>
      <x:c r="E119" t="str">
        <x:v>Concluído</x:v>
      </x:c>
      <x:c r="F119" t="str">
        <x:v>Aplicativo Cliente</x:v>
      </x:c>
      <x:c r="G119" t="str">
        <x:v>E-111</x:v>
      </x:c>
      <x:c r="H119" t="str">
        <x:v>Elevador Social</x:v>
      </x:c>
      <x:c r="I119" t="str">
        <x:v>Microprocessado</x:v>
      </x:c>
      <x:c r="J119" t="str">
        <x:v>Gearless</x:v>
      </x:c>
      <x:c r="K119" t="str">
        <x:v>OTIS</x:v>
      </x:c>
      <x:c r="L119" t="str">
        <x:v>ROT-021</x:v>
      </x:c>
      <x:c r="M119" t="str">
        <x:v>Operador de Porta</x:v>
      </x:c>
      <x:c r="N119" t="str">
        <x:v>Sensor de porta</x:v>
      </x:c>
      <x:c r="O119" t="str">
        <x:v>Falha de leitura</x:v>
      </x:c>
      <x:c r="P119" t="str">
        <x:v>Porta aberta</x:v>
      </x:c>
      <x:c r="Q119" t="str">
        <x:v>Inspeção técnica e normalização demonstrativas de Operador de Porta; resolução sintética, sem confirmação de consumo de peças.</x:v>
      </x:c>
      <x:c r="R119" t="str">
        <x:v>Aeroporto Terminal 3</x:v>
      </x:c>
      <x:c r="S119" t="str">
        <x:v>Sim</x:v>
      </x:c>
      <x:c r="T119" t="str">
        <x:v>Sim</x:v>
      </x:c>
      <x:c r="U119" t="str">
        <x:v>CT-2026-005</x:v>
      </x:c>
      <x:c r="V119" t="str">
        <x:v>GRU</x:v>
      </x:c>
      <x:c r="W119" t="str">
        <x:v>Renata Alves</x:v>
      </x:c>
      <x:c r="X119" t="str">
        <x:v>Supervisor C</x:v>
      </x:c>
      <x:c r="Y119" t="str">
        <x:v>Rota GRU 05</x:v>
      </x:c>
      <x:c r="Z119" t="str">
        <x:v>Rod. Hélio Smidt, s/n - Guarulhos/SP</x:v>
      </x:c>
      <x:c r="AA119" t="str">
        <x:v>São Paulo</x:v>
      </x:c>
      <x:c r="AB119" s="50" t="n">
        <x:v>46273.3354166667</x:v>
      </x:c>
      <x:c r="AC119" s="50" t="n">
        <x:v>46273.3375</x:v>
      </x:c>
      <x:c r="AD119" s="50" t="n">
        <x:v>46273.341666666696</x:v>
      </x:c>
      <x:c r="AE119" s="50" t="n">
        <x:v>46273.3534722222</x:v>
      </x:c>
      <x:c r="AF119" s="50" t="n">
        <x:v>46273.41875</x:v>
      </x:c>
      <x:c r="AG119" t="n">
        <x:v>26</x:v>
      </x:c>
      <x:c r="AH119" t="n">
        <x:v>89</x:v>
      </x:c>
      <x:c r="AI119" t="str">
        <x:v>Não</x:v>
      </x:c>
      <x:c r="AJ119" t="str">
        <x:v>Não</x:v>
      </x:c>
      <x:c r="AK119" t="n">
        <x:v>45</x:v>
      </x:c>
      <x:c r="AL119" t="n">
        <x:v>0</x:v>
      </x:c>
      <x:c r="AM119" s="64" t="n">
        <x:v>2.5556</x:v>
      </x:c>
      <x:c r="AN119" t="n">
        <x:v>2</x:v>
      </x:c>
      <x:c r="AO119" t="str">
        <x:v>Vermelho</x:v>
      </x:c>
      <x:c r="AP119" t="str">
        <x:v>SLA sintético excedido (tempo acumulado ≥ 100% do SLA)</x:v>
      </x:c>
      <x:c r="AQ119" t="str">
        <x:v>Encerramento demonstrativo de Operador de Porta; verificar fechamento e histórico para aprendizado. Sem despacho automático.</x:v>
      </x:c>
      <x:c r="AR119" s="62" t="n">
        <x:v>880</x:v>
      </x:c>
      <x:c r="AS119" t="str">
        <x:v>Médio</x:v>
      </x:c>
      <x:c r="AT119" s="50" t="n">
        <x:v>46273.489583333336</x:v>
      </x:c>
      <x:c r="AU119" t="str">
        <x:v>T05</x:v>
      </x:c>
      <x:c r="AV119" t="str">
        <x:v>T2 original + evolução sintética posterior</x:v>
      </x:c>
    </x:row>
    <x:row r="120">
      <x:c r="A120" t="str">
        <x:v>CH-20260908-012</x:v>
      </x:c>
      <x:c r="B120" t="str">
        <x:v>Painel sem comunicação</x:v>
      </x:c>
      <x:c r="C120" t="str">
        <x:v>Falha de comunicação</x:v>
      </x:c>
      <x:c r="D120" t="str">
        <x:v>Painel não responde aos comandos.</x:v>
      </x:c>
      <x:c r="E120" t="str">
        <x:v>Concluído</x:v>
      </x:c>
      <x:c r="F120" t="str">
        <x:v>Monitoramento Remoto</x:v>
      </x:c>
      <x:c r="G120" t="str">
        <x:v>E-112</x:v>
      </x:c>
      <x:c r="H120" t="str">
        <x:v>Elevador Social</x:v>
      </x:c>
      <x:c r="I120" t="str">
        <x:v>Microprocessado</x:v>
      </x:c>
      <x:c r="J120" t="str">
        <x:v>Gearless</x:v>
      </x:c>
      <x:c r="K120" t="str">
        <x:v>OTIS</x:v>
      </x:c>
      <x:c r="L120" t="str">
        <x:v>ROT-033</x:v>
      </x:c>
      <x:c r="M120" t="str">
        <x:v>Painel/Comando</x:v>
      </x:c>
      <x:c r="N120" t="str">
        <x:v>Interface</x:v>
      </x:c>
      <x:c r="O120" t="str">
        <x:v>Sem comunicação</x:v>
      </x:c>
      <x:c r="P120" t="str">
        <x:v>Falha lógica</x:v>
      </x:c>
      <x:c r="Q120" t="str">
        <x:v>Interface reinicializada/substituída</x:v>
      </x:c>
      <x:c r="R120" t="str">
        <x:v>Universidade Central</x:v>
      </x:c>
      <x:c r="S120" t="str">
        <x:v>Não</x:v>
      </x:c>
      <x:c r="T120" t="str">
        <x:v>Sim</x:v>
      </x:c>
      <x:c r="U120" t="str">
        <x:v>CT-2026-006</x:v>
      </x:c>
      <x:c r="V120" t="str">
        <x:v>SP-Leste</x:v>
      </x:c>
      <x:c r="W120" t="str">
        <x:v>Paulo Mendes</x:v>
      </x:c>
      <x:c r="X120" t="str">
        <x:v>Supervisor D</x:v>
      </x:c>
      <x:c r="Y120" t="str">
        <x:v>Rota Leste 06</x:v>
      </x:c>
      <x:c r="Z120" t="str">
        <x:v>Av. Central, 850 - São Paulo/SP</x:v>
      </x:c>
      <x:c r="AA120" t="str">
        <x:v>São Paulo</x:v>
      </x:c>
      <x:c r="AB120" s="50" t="n">
        <x:v>46273.3381944444</x:v>
      </x:c>
      <x:c r="AC120" s="50" t="n">
        <x:v>46273.3409722222</x:v>
      </x:c>
      <x:c r="AD120" s="50" t="n">
        <x:v>46273.3423611111</x:v>
      </x:c>
      <x:c r="AE120" s="50" t="n">
        <x:v>46273.3618055556</x:v>
      </x:c>
      <x:c r="AF120" s="50" t="n">
        <x:v>46273.3819444444</x:v>
      </x:c>
      <x:c r="AG120" t="n">
        <x:v>34</x:v>
      </x:c>
      <x:c r="AH120" t="n">
        <x:v>24</x:v>
      </x:c>
      <x:c r="AI120" t="str">
        <x:v>Não</x:v>
      </x:c>
      <x:c r="AJ120" t="str">
        <x:v>Não</x:v>
      </x:c>
      <x:c r="AK120" t="n">
        <x:v>120</x:v>
      </x:c>
      <x:c r="AL120" t="n">
        <x:v>0</x:v>
      </x:c>
      <x:c r="AM120" s="64" t="n">
        <x:v>0.4833</x:v>
      </x:c>
      <x:c r="AN120" t="n">
        <x:v>3</x:v>
      </x:c>
      <x:c r="AO120" t="str">
        <x:v>Verde</x:v>
      </x:c>
      <x:c r="AP120" t="str">
        <x:v>3 recorrências/30d</x:v>
      </x:c>
      <x:c r="AQ120" t="str">
        <x:v>Recorrência elevada: verificar padrão histórico em Painel/Comando/Interface.</x:v>
      </x:c>
      <x:c r="AR120" s="62" t="n">
        <x:v>1280</x:v>
      </x:c>
      <x:c r="AS120" t="str">
        <x:v>Alto</x:v>
      </x:c>
      <x:c r="AT120" s="50" t="n">
        <x:v>46273.489583333336</x:v>
      </x:c>
      <x:c r="AU120" t="str">
        <x:v>T05</x:v>
      </x:c>
      <x:c r="AV120" t="str">
        <x:v>T2 original + evolução sintética posterior</x:v>
      </x:c>
    </x:row>
    <x:row r="121">
      <x:c r="A121" t="str">
        <x:v>CH-20260908-013</x:v>
      </x:c>
      <x:c r="B121" t="str">
        <x:v>Falha de Tração</x:v>
      </x:c>
      <x:c r="C121" t="str">
        <x:v>Movimento irregular</x:v>
      </x:c>
      <x:c r="D121" t="str">
        <x:v>Equipamento apresenta perda de tração.</x:v>
      </x:c>
      <x:c r="E121" t="str">
        <x:v>Concluído</x:v>
      </x:c>
      <x:c r="F121" t="str">
        <x:v>Central de Atendimento</x:v>
      </x:c>
      <x:c r="G121" t="str">
        <x:v>E-113</x:v>
      </x:c>
      <x:c r="H121" t="str">
        <x:v>Elevador Social</x:v>
      </x:c>
      <x:c r="I121" t="str">
        <x:v>Microprocessado</x:v>
      </x:c>
      <x:c r="J121" t="str">
        <x:v>Gearless</x:v>
      </x:c>
      <x:c r="K121" t="str">
        <x:v>OTIS</x:v>
      </x:c>
      <x:c r="L121" t="str">
        <x:v>ROT-041</x:v>
      </x:c>
      <x:c r="M121" t="str">
        <x:v>Máquina de Tração</x:v>
      </x:c>
      <x:c r="N121" t="str">
        <x:v>Inversor</x:v>
      </x:c>
      <x:c r="O121" t="str">
        <x:v>Oscilação</x:v>
      </x:c>
      <x:c r="P121" t="str">
        <x:v>Falha de movimento</x:v>
      </x:c>
      <x:c r="Q121" t="str">
        <x:v>Inspeção técnica e normalização demonstrativas de Máquina de Tração; resolução sintética, sem confirmação de consumo de peças.</x:v>
      </x:c>
      <x:c r="R121" t="str">
        <x:v>Hospital São Paulo</x:v>
      </x:c>
      <x:c r="S121" t="str">
        <x:v>Sim</x:v>
      </x:c>
      <x:c r="T121" t="str">
        <x:v>Sim</x:v>
      </x:c>
      <x:c r="U121" t="str">
        <x:v>CT-2026-001</x:v>
      </x:c>
      <x:c r="V121" t="str">
        <x:v>SP-Centro</x:v>
      </x:c>
      <x:c r="W121" t="str">
        <x:v>João Silva</x:v>
      </x:c>
      <x:c r="X121" t="str">
        <x:v>Supervisor A</x:v>
      </x:c>
      <x:c r="Y121" t="str">
        <x:v>Rota Centro 01</x:v>
      </x:c>
      <x:c r="Z121" t="str">
        <x:v>Av. Paulista, 1000 - São Paulo/SP</x:v>
      </x:c>
      <x:c r="AA121" t="str">
        <x:v>São Paulo</x:v>
      </x:c>
      <x:c r="AB121" s="50" t="n">
        <x:v>46273.341666666696</x:v>
      </x:c>
      <x:c r="AC121" s="50" t="n">
        <x:v>46273.3451388889</x:v>
      </x:c>
      <x:c r="AD121" s="50" t="n">
        <x:v>46273.3479166667</x:v>
      </x:c>
      <x:c r="AE121" s="50" t="n">
        <x:v>46273.3722222222</x:v>
      </x:c>
      <x:c r="AF121" s="50" t="n">
        <x:v>46273.43124999998</x:v>
      </x:c>
      <x:c r="AG121" t="n">
        <x:v>44</x:v>
      </x:c>
      <x:c r="AH121" t="n">
        <x:v>80</x:v>
      </x:c>
      <x:c r="AI121" t="str">
        <x:v>Não</x:v>
      </x:c>
      <x:c r="AJ121" t="str">
        <x:v>Sim</x:v>
      </x:c>
      <x:c r="AK121" t="n">
        <x:v>60</x:v>
      </x:c>
      <x:c r="AL121" t="n">
        <x:v>0</x:v>
      </x:c>
      <x:c r="AM121" s="64" t="n">
        <x:v>2.0667</x:v>
      </x:c>
      <x:c r="AN121" t="n">
        <x:v>1</x:v>
      </x:c>
      <x:c r="AO121" t="str">
        <x:v>Vermelho</x:v>
      </x:c>
      <x:c r="AP121" t="str">
        <x:v>SLA sintético excedido (tempo acumulado ≥ 100% do SLA)</x:v>
      </x:c>
      <x:c r="AQ121" t="str">
        <x:v>Encerramento demonstrativo de Máquina de Tração; verificar fechamento e histórico para aprendizado. Sem despacho automático.</x:v>
      </x:c>
      <x:c r="AR121" s="62" t="n">
        <x:v>1085</x:v>
      </x:c>
      <x:c r="AS121" t="str">
        <x:v>Médio</x:v>
      </x:c>
      <x:c r="AT121" s="50" t="n">
        <x:v>46273.489583333336</x:v>
      </x:c>
      <x:c r="AU121" t="str">
        <x:v>T05</x:v>
      </x:c>
      <x:c r="AV121" t="str">
        <x:v>T2 original + evolução sintética posterior</x:v>
      </x:c>
    </x:row>
    <x:row r="122">
      <x:c r="A122" t="str">
        <x:v>CH-20260908-014</x:v>
      </x:c>
      <x:c r="B122" t="str">
        <x:v>Iluminação de Cabine</x:v>
      </x:c>
      <x:c r="C122" t="str">
        <x:v>Iluminação inoperante</x:v>
      </x:c>
      <x:c r="D122" t="str">
        <x:v>Cabine com iluminação parcial ou total indisponível.</x:v>
      </x:c>
      <x:c r="E122" t="str">
        <x:v>Concluído</x:v>
      </x:c>
      <x:c r="F122" t="str">
        <x:v>IoT</x:v>
      </x:c>
      <x:c r="G122" t="str">
        <x:v>E-114</x:v>
      </x:c>
      <x:c r="H122" t="str">
        <x:v>Elevador Social</x:v>
      </x:c>
      <x:c r="I122" t="str">
        <x:v>Microprocessado</x:v>
      </x:c>
      <x:c r="J122" t="str">
        <x:v>Gearless</x:v>
      </x:c>
      <x:c r="K122" t="str">
        <x:v>OTIS</x:v>
      </x:c>
      <x:c r="L122" t="str">
        <x:v>ROT-052</x:v>
      </x:c>
      <x:c r="M122" t="str">
        <x:v>Elétrica</x:v>
      </x:c>
      <x:c r="N122" t="str">
        <x:v>Fonte</x:v>
      </x:c>
      <x:c r="O122" t="str">
        <x:v>Sem alimentação</x:v>
      </x:c>
      <x:c r="P122" t="str">
        <x:v>Falha elétrica</x:v>
      </x:c>
      <x:c r="Q122" t="str">
        <x:v>Inspeção técnica e normalização demonstrativas de Elétrica; resolução sintética, sem confirmação de consumo de peças.</x:v>
      </x:c>
      <x:c r="R122" t="str">
        <x:v>Shopping Center Norte</x:v>
      </x:c>
      <x:c r="S122" t="str">
        <x:v>Não</x:v>
      </x:c>
      <x:c r="T122" t="str">
        <x:v>Sim</x:v>
      </x:c>
      <x:c r="U122" t="str">
        <x:v>CT-2026-002</x:v>
      </x:c>
      <x:c r="V122" t="str">
        <x:v>SP-Norte</x:v>
      </x:c>
      <x:c r="W122" t="str">
        <x:v>Marcos Lima</x:v>
      </x:c>
      <x:c r="X122" t="str">
        <x:v>Supervisor B</x:v>
      </x:c>
      <x:c r="Y122" t="str">
        <x:v>Rota Norte 02</x:v>
      </x:c>
      <x:c r="Z122" t="str">
        <x:v>Av. Otto Baumgart, 245 - São Paulo/SP</x:v>
      </x:c>
      <x:c r="AA122" t="str">
        <x:v>São Paulo</x:v>
      </x:c>
      <x:c r="AB122" s="50" t="n">
        <x:v>46273.3451388889</x:v>
      </x:c>
      <x:c r="AC122" s="50" t="n">
        <x:v>46273.3493055556</x:v>
      </x:c>
      <x:c r="AD122" s="50" t="n">
        <x:v>46273.3534722222</x:v>
      </x:c>
      <x:c r="AE122" s="50" t="n">
        <x:v>46273.3826388889</x:v>
      </x:c>
      <x:c r="AF122" s="50" t="n">
        <x:v>46273.4451388889</x:v>
      </x:c>
      <x:c r="AG122" t="n">
        <x:v>54</x:v>
      </x:c>
      <x:c r="AH122" t="n">
        <x:v>85</x:v>
      </x:c>
      <x:c r="AI122" t="str">
        <x:v>Não</x:v>
      </x:c>
      <x:c r="AJ122" t="str">
        <x:v>Não</x:v>
      </x:c>
      <x:c r="AK122" t="n">
        <x:v>90</x:v>
      </x:c>
      <x:c r="AL122" t="n">
        <x:v>0</x:v>
      </x:c>
      <x:c r="AM122" s="64" t="n">
        <x:v>1.5444</x:v>
      </x:c>
      <x:c r="AN122" t="n">
        <x:v>0</x:v>
      </x:c>
      <x:c r="AO122" t="str">
        <x:v>Vermelho</x:v>
      </x:c>
      <x:c r="AP122" t="str">
        <x:v>SLA sintético excedido (tempo acumulado ≥ 100% do SLA)</x:v>
      </x:c>
      <x:c r="AQ122" t="str">
        <x:v>Encerramento demonstrativo de Elétrica; verificar fechamento e histórico para aprendizado. Sem despacho automático.</x:v>
      </x:c>
      <x:c r="AR122" s="62" t="n">
        <x:v>770</x:v>
      </x:c>
      <x:c r="AS122" t="str">
        <x:v>Médio</x:v>
      </x:c>
      <x:c r="AT122" s="50" t="n">
        <x:v>46273.489583333336</x:v>
      </x:c>
      <x:c r="AU122" t="str">
        <x:v>T05</x:v>
      </x:c>
      <x:c r="AV122" t="str">
        <x:v>T2 original + evolução sintética posterior</x:v>
      </x:c>
    </x:row>
    <x:row r="123">
      <x:c r="A123" t="str">
        <x:v>CH-20260908-015</x:v>
      </x:c>
      <x:c r="B123" t="str">
        <x:v>Botão de Chamada</x:v>
      </x:c>
      <x:c r="C123" t="str">
        <x:v>Botão não responde</x:v>
      </x:c>
      <x:c r="D123" t="str">
        <x:v>Botão de chamada não registra comando.</x:v>
      </x:c>
      <x:c r="E123" t="str">
        <x:v>Concluído</x:v>
      </x:c>
      <x:c r="F123" t="str">
        <x:v>Aplicativo Cliente</x:v>
      </x:c>
      <x:c r="G123" t="str">
        <x:v>E-115</x:v>
      </x:c>
      <x:c r="H123" t="str">
        <x:v>Elevador Social</x:v>
      </x:c>
      <x:c r="I123" t="str">
        <x:v>Microprocessado</x:v>
      </x:c>
      <x:c r="J123" t="str">
        <x:v>Gearless</x:v>
      </x:c>
      <x:c r="K123" t="str">
        <x:v>OTIS</x:v>
      </x:c>
      <x:c r="L123" t="str">
        <x:v>ROT-063</x:v>
      </x:c>
      <x:c r="M123" t="str">
        <x:v>Botoeira</x:v>
      </x:c>
      <x:c r="N123" t="str">
        <x:v>Contato</x:v>
      </x:c>
      <x:c r="O123" t="str">
        <x:v>Mau contato</x:v>
      </x:c>
      <x:c r="P123" t="str">
        <x:v>Falha de comando</x:v>
      </x:c>
      <x:c r="Q123" t="str">
        <x:v>Inspeção técnica e normalização demonstrativas de Botoeira; resolução sintética, sem confirmação de consumo de peças.</x:v>
      </x:c>
      <x:c r="R123" t="str">
        <x:v>Edifício Corporate</x:v>
      </x:c>
      <x:c r="S123" t="str">
        <x:v>Não</x:v>
      </x:c>
      <x:c r="T123" t="str">
        <x:v>Sim</x:v>
      </x:c>
      <x:c r="U123" t="str">
        <x:v>CT-2026-003</x:v>
      </x:c>
      <x:c r="V123" t="str">
        <x:v>SP-Oeste</x:v>
      </x:c>
      <x:c r="W123" t="str">
        <x:v>Ana Costa</x:v>
      </x:c>
      <x:c r="X123" t="str">
        <x:v>Supervisor C</x:v>
      </x:c>
      <x:c r="Y123" t="str">
        <x:v>Rota Oeste 03</x:v>
      </x:c>
      <x:c r="Z123" t="str">
        <x:v>Av. Faria Lima, 3500 - São Paulo/SP</x:v>
      </x:c>
      <x:c r="AA123" t="str">
        <x:v>São Paulo</x:v>
      </x:c>
      <x:c r="AB123" s="50" t="n">
        <x:v>46273.3486111111</x:v>
      </x:c>
      <x:c r="AC123" s="50" t="n">
        <x:v>46273.35</x:v>
      </x:c>
      <x:c r="AD123" s="50" t="n">
        <x:v>46273.3513888889</x:v>
      </x:c>
      <x:c r="AE123" s="50" t="n">
        <x:v>46273.3618055556</x:v>
      </x:c>
      <x:c r="AF123" s="50" t="n">
        <x:v>46273.42152777778</x:v>
      </x:c>
      <x:c r="AG123" t="n">
        <x:v>19</x:v>
      </x:c>
      <x:c r="AH123" t="n">
        <x:v>81</x:v>
      </x:c>
      <x:c r="AI123" t="str">
        <x:v>Não</x:v>
      </x:c>
      <x:c r="AJ123" t="str">
        <x:v>Não</x:v>
      </x:c>
      <x:c r="AK123" t="n">
        <x:v>120</x:v>
      </x:c>
      <x:c r="AL123" t="n">
        <x:v>0</x:v>
      </x:c>
      <x:c r="AM123" s="64" t="n">
        <x:v>0.8333</x:v>
      </x:c>
      <x:c r="AN123" t="n">
        <x:v>2</x:v>
      </x:c>
      <x:c r="AO123" t="str">
        <x:v>Laranja</x:v>
      </x:c>
      <x:c r="AP123" t="str">
        <x:v>janela de intervenção: tempo acumulado ≥ 80% do SLA</x:v>
      </x:c>
      <x:c r="AQ123" t="str">
        <x:v>Encerramento demonstrativo de Botoeira; verificar fechamento e histórico para aprendizado. Sem despacho automático.</x:v>
      </x:c>
      <x:c r="AR123" s="62" t="n">
        <x:v>739</x:v>
      </x:c>
      <x:c r="AS123" t="str">
        <x:v>Baixo</x:v>
      </x:c>
      <x:c r="AT123" s="50" t="n">
        <x:v>46273.489583333336</x:v>
      </x:c>
      <x:c r="AU123" t="str">
        <x:v>T05</x:v>
      </x:c>
      <x:c r="AV123" t="str">
        <x:v>T2 original + evolução sintética posterior</x:v>
      </x:c>
    </x:row>
    <x:row r="124">
      <x:c r="A124" t="str">
        <x:v>CH-20260908-016</x:v>
      </x:c>
      <x:c r="B124" t="str">
        <x:v>Parada Intermitente</x:v>
      </x:c>
      <x:c r="C124" t="str">
        <x:v>Paradas aleatórias</x:v>
      </x:c>
      <x:c r="D124" t="str">
        <x:v>Equipamento interrompe operação de forma intermitente.</x:v>
      </x:c>
      <x:c r="E124" t="str">
        <x:v>Concluído</x:v>
      </x:c>
      <x:c r="F124" t="str">
        <x:v>Monitoramento Remoto</x:v>
      </x:c>
      <x:c r="G124" t="str">
        <x:v>E-116</x:v>
      </x:c>
      <x:c r="H124" t="str">
        <x:v>Elevador Social</x:v>
      </x:c>
      <x:c r="I124" t="str">
        <x:v>Microprocessado</x:v>
      </x:c>
      <x:c r="J124" t="str">
        <x:v>Gearless</x:v>
      </x:c>
      <x:c r="K124" t="str">
        <x:v>OTIS</x:v>
      </x:c>
      <x:c r="L124" t="str">
        <x:v>ROT-074</x:v>
      </x:c>
      <x:c r="M124" t="str">
        <x:v>Painel/Comando</x:v>
      </x:c>
      <x:c r="N124" t="str">
        <x:v>Placa</x:v>
      </x:c>
      <x:c r="O124" t="str">
        <x:v>Intermitência</x:v>
      </x:c>
      <x:c r="P124" t="str">
        <x:v>Falha intermitente</x:v>
      </x:c>
      <x:c r="Q124" t="str">
        <x:v>Inspeção técnica e normalização demonstrativas de Painel/Comando; resolução sintética, sem confirmação de consumo de peças.</x:v>
      </x:c>
      <x:c r="R124" t="str">
        <x:v>Condomínio Alameda</x:v>
      </x:c>
      <x:c r="S124" t="str">
        <x:v>Não</x:v>
      </x:c>
      <x:c r="T124" t="str">
        <x:v>Não</x:v>
      </x:c>
      <x:c r="U124" t="str">
        <x:v>CT-2026-004</x:v>
      </x:c>
      <x:c r="V124" t="str">
        <x:v>SP-Sul</x:v>
      </x:c>
      <x:c r="W124" t="str">
        <x:v>Carlos Souza</x:v>
      </x:c>
      <x:c r="X124" t="str">
        <x:v>Supervisor D</x:v>
      </x:c>
      <x:c r="Y124" t="str">
        <x:v>Rota Sul 04</x:v>
      </x:c>
      <x:c r="Z124" t="str">
        <x:v>R. das Acácias, 420 - São Paulo/SP</x:v>
      </x:c>
      <x:c r="AA124" t="str">
        <x:v>São Paulo</x:v>
      </x:c>
      <x:c r="AB124" s="50" t="n">
        <x:v>46273.3520833333</x:v>
      </x:c>
      <x:c r="AC124" s="50" t="n">
        <x:v>46273.3541666667</x:v>
      </x:c>
      <x:c r="AD124" s="50" t="n">
        <x:v>46273.3569444444</x:v>
      </x:c>
      <x:c r="AE124" s="50" t="n">
        <x:v>46273.3722222222</x:v>
      </x:c>
      <x:c r="AF124" s="50" t="n">
        <x:v>46273.46249999998</x:v>
      </x:c>
      <x:c r="AG124" t="n">
        <x:v>29</x:v>
      </x:c>
      <x:c r="AH124" t="n">
        <x:v>125</x:v>
      </x:c>
      <x:c r="AI124" t="str">
        <x:v>Não</x:v>
      </x:c>
      <x:c r="AJ124" t="str">
        <x:v>Sim</x:v>
      </x:c>
      <x:c r="AK124" t="n">
        <x:v>180</x:v>
      </x:c>
      <x:c r="AL124" t="n">
        <x:v>0</x:v>
      </x:c>
      <x:c r="AM124" s="64" t="n">
        <x:v>0.8556</x:v>
      </x:c>
      <x:c r="AN124" t="n">
        <x:v>4</x:v>
      </x:c>
      <x:c r="AO124" t="str">
        <x:v>Laranja</x:v>
      </x:c>
      <x:c r="AP124" t="str">
        <x:v>janela de intervenção: tempo acumulado ≥ 80% do SLA</x:v>
      </x:c>
      <x:c r="AQ124" t="str">
        <x:v>Encerramento demonstrativo de Painel/Comando; verificar fechamento e histórico para aprendizado. Sem despacho automático.</x:v>
      </x:c>
      <x:c r="AR124" s="62" t="n">
        <x:v>1564</x:v>
      </x:c>
      <x:c r="AS124" t="str">
        <x:v>Alto</x:v>
      </x:c>
      <x:c r="AT124" s="50" t="n">
        <x:v>46273.489583333336</x:v>
      </x:c>
      <x:c r="AU124" t="str">
        <x:v>T05</x:v>
      </x:c>
      <x:c r="AV124" t="str">
        <x:v>T2 original + evolução sintética posterior</x:v>
      </x:c>
    </x:row>
    <x:row r="125">
      <x:c r="A125" t="str">
        <x:v>CH-20260908-017</x:v>
      </x:c>
      <x:c r="B125" t="str">
        <x:v>Passageiro Preso</x:v>
      </x:c>
      <x:c r="C125" t="str">
        <x:v>Elevador parado entre andares</x:v>
      </x:c>
      <x:c r="D125" t="str">
        <x:v>Cabine imobilizada com passageiro no interior.</x:v>
      </x:c>
      <x:c r="E125" t="str">
        <x:v>Concluído</x:v>
      </x:c>
      <x:c r="F125" t="str">
        <x:v>Central de Atendimento</x:v>
      </x:c>
      <x:c r="G125" t="str">
        <x:v>E-117</x:v>
      </x:c>
      <x:c r="H125" t="str">
        <x:v>Elevador Social</x:v>
      </x:c>
      <x:c r="I125" t="str">
        <x:v>Microprocessado</x:v>
      </x:c>
      <x:c r="J125" t="str">
        <x:v>Gearless</x:v>
      </x:c>
      <x:c r="K125" t="str">
        <x:v>OTIS</x:v>
      </x:c>
      <x:c r="L125" t="str">
        <x:v>ROT-001</x:v>
      </x:c>
      <x:c r="M125" t="str">
        <x:v>Tração</x:v>
      </x:c>
      <x:c r="N125" t="str">
        <x:v>Freio</x:v>
      </x:c>
      <x:c r="O125" t="str">
        <x:v>Travamento</x:v>
      </x:c>
      <x:c r="P125" t="str">
        <x:v>Parada total</x:v>
      </x:c>
      <x:c r="Q125" t="str">
        <x:v>Resgate concluído e equipamento normalizado</x:v>
      </x:c>
      <x:c r="R125" t="str">
        <x:v>Aeroporto Terminal 3</x:v>
      </x:c>
      <x:c r="S125" t="str">
        <x:v>Sim</x:v>
      </x:c>
      <x:c r="T125" t="str">
        <x:v>Sim</x:v>
      </x:c>
      <x:c r="U125" t="str">
        <x:v>CT-2026-005</x:v>
      </x:c>
      <x:c r="V125" t="str">
        <x:v>GRU</x:v>
      </x:c>
      <x:c r="W125" t="str">
        <x:v>Renata Alves</x:v>
      </x:c>
      <x:c r="X125" t="str">
        <x:v>Supervisor A</x:v>
      </x:c>
      <x:c r="Y125" t="str">
        <x:v>Rota GRU 05</x:v>
      </x:c>
      <x:c r="Z125" t="str">
        <x:v>Rod. Hélio Smidt, s/n - Guarulhos/SP</x:v>
      </x:c>
      <x:c r="AA125" t="str">
        <x:v>São Paulo</x:v>
      </x:c>
      <x:c r="AB125" s="50" t="n">
        <x:v>46273.3555555556</x:v>
      </x:c>
      <x:c r="AC125" s="50" t="n">
        <x:v>46273.3583333333</x:v>
      </x:c>
      <x:c r="AD125" s="50" t="n">
        <x:v>46273.3625</x:v>
      </x:c>
      <x:c r="AE125" s="50" t="n">
        <x:v>46273.3763888889</x:v>
      </x:c>
      <x:c r="AF125" s="50" t="n">
        <x:v>46273.3993055556</x:v>
      </x:c>
      <x:c r="AG125" t="n">
        <x:v>30</x:v>
      </x:c>
      <x:c r="AH125" t="n">
        <x:v>28</x:v>
      </x:c>
      <x:c r="AI125" t="str">
        <x:v>Sim</x:v>
      </x:c>
      <x:c r="AJ125" t="str">
        <x:v>Sim</x:v>
      </x:c>
      <x:c r="AK125" t="n">
        <x:v>45</x:v>
      </x:c>
      <x:c r="AL125" t="n">
        <x:v>0</x:v>
      </x:c>
      <x:c r="AM125" s="64" t="n">
        <x:v>1.2889</x:v>
      </x:c>
      <x:c r="AN125" t="n">
        <x:v>0</x:v>
      </x:c>
      <x:c r="AO125" t="str">
        <x:v>Vermelho</x:v>
      </x:c>
      <x:c r="AP125" t="str">
        <x:v>passageiro preso; SLA estourado; carro parado</x:v>
      </x:c>
      <x:c r="AQ125" t="str">
        <x:v>Sem recorrência relevante; acompanhar evolução de Tração.</x:v>
      </x:c>
      <x:c r="AR125" s="62" t="n">
        <x:v>906</x:v>
      </x:c>
      <x:c r="AS125" t="str">
        <x:v>Médio</x:v>
      </x:c>
      <x:c r="AT125" s="50" t="n">
        <x:v>46273.489583333336</x:v>
      </x:c>
      <x:c r="AU125" t="str">
        <x:v>T05</x:v>
      </x:c>
      <x:c r="AV125" t="str">
        <x:v>T2 original + evolução sintética posterior</x:v>
      </x:c>
    </x:row>
    <x:row r="126">
      <x:c r="A126" t="str">
        <x:v>CH-20260908-018</x:v>
      </x:c>
      <x:c r="B126" t="str">
        <x:v>Falha de Nivelamento</x:v>
      </x:c>
      <x:c r="C126" t="str">
        <x:v>Cabine desnivelada</x:v>
      </x:c>
      <x:c r="D126" t="str">
        <x:v>Cabine parou fora do nível do pavimento.</x:v>
      </x:c>
      <x:c r="E126" t="str">
        <x:v>Concluído</x:v>
      </x:c>
      <x:c r="F126" t="str">
        <x:v>IoT</x:v>
      </x:c>
      <x:c r="G126" t="str">
        <x:v>E-118</x:v>
      </x:c>
      <x:c r="H126" t="str">
        <x:v>Elevador Social</x:v>
      </x:c>
      <x:c r="I126" t="str">
        <x:v>Microprocessado</x:v>
      </x:c>
      <x:c r="J126" t="str">
        <x:v>Gearless</x:v>
      </x:c>
      <x:c r="K126" t="str">
        <x:v>OTIS</x:v>
      </x:c>
      <x:c r="L126" t="str">
        <x:v>ROT-014</x:v>
      </x:c>
      <x:c r="M126" t="str">
        <x:v>Sensor de Nível</x:v>
      </x:c>
      <x:c r="N126" t="str">
        <x:v>Sensor</x:v>
      </x:c>
      <x:c r="O126" t="str">
        <x:v>Leitura inconsistente</x:v>
      </x:c>
      <x:c r="P126" t="str">
        <x:v>Falha de nivelamento</x:v>
      </x:c>
      <x:c r="Q126" t="str">
        <x:v>Inspeção técnica e normalização demonstrativas de Sensor de Nível; resolução sintética, sem confirmação de consumo de peças.</x:v>
      </x:c>
      <x:c r="R126" t="str">
        <x:v>Universidade Central</x:v>
      </x:c>
      <x:c r="S126" t="str">
        <x:v>Não</x:v>
      </x:c>
      <x:c r="T126" t="str">
        <x:v>Sim</x:v>
      </x:c>
      <x:c r="U126" t="str">
        <x:v>CT-2026-006</x:v>
      </x:c>
      <x:c r="V126" t="str">
        <x:v>SP-Leste</x:v>
      </x:c>
      <x:c r="W126" t="str">
        <x:v>Paulo Mendes</x:v>
      </x:c>
      <x:c r="X126" t="str">
        <x:v>Supervisor B</x:v>
      </x:c>
      <x:c r="Y126" t="str">
        <x:v>Rota Leste 06</x:v>
      </x:c>
      <x:c r="Z126" t="str">
        <x:v>Av. Central, 850 - São Paulo/SP</x:v>
      </x:c>
      <x:c r="AA126" t="str">
        <x:v>São Paulo</x:v>
      </x:c>
      <x:c r="AB126" s="50" t="n">
        <x:v>46273.3590277778</x:v>
      </x:c>
      <x:c r="AC126" s="50" t="n">
        <x:v>46273.3625</x:v>
      </x:c>
      <x:c r="AD126" s="50" t="n">
        <x:v>46273.363888888896</x:v>
      </x:c>
      <x:c r="AE126" s="50" t="n">
        <x:v>46273.3888888889</x:v>
      </x:c>
      <x:c r="AF126" s="50" t="n">
        <x:v>46273.437500000015</x:v>
      </x:c>
      <x:c r="AG126" t="n">
        <x:v>43</x:v>
      </x:c>
      <x:c r="AH126" t="n">
        <x:v>65</x:v>
      </x:c>
      <x:c r="AI126" t="str">
        <x:v>Não</x:v>
      </x:c>
      <x:c r="AJ126" t="str">
        <x:v>Não</x:v>
      </x:c>
      <x:c r="AK126" t="n">
        <x:v>120</x:v>
      </x:c>
      <x:c r="AL126" t="n">
        <x:v>0</x:v>
      </x:c>
      <x:c r="AM126" s="64" t="n">
        <x:v>0.9</x:v>
      </x:c>
      <x:c r="AN126" t="n">
        <x:v>1</x:v>
      </x:c>
      <x:c r="AO126" t="str">
        <x:v>Laranja</x:v>
      </x:c>
      <x:c r="AP126" t="str">
        <x:v>janela de intervenção: tempo acumulado ≥ 80% do SLA</x:v>
      </x:c>
      <x:c r="AQ126" t="str">
        <x:v>Encerramento demonstrativo de Sensor de Nível; verificar fechamento e histórico para aprendizado. Sem despacho automático.</x:v>
      </x:c>
      <x:c r="AR126" s="62" t="n">
        <x:v>613</x:v>
      </x:c>
      <x:c r="AS126" t="str">
        <x:v>Baixo</x:v>
      </x:c>
      <x:c r="AT126" s="50" t="n">
        <x:v>46273.489583333336</x:v>
      </x:c>
      <x:c r="AU126" t="str">
        <x:v>T05</x:v>
      </x:c>
      <x:c r="AV126" t="str">
        <x:v>T2 original + evolução sintética posterior</x:v>
      </x:c>
    </x:row>
    <x:row r="127">
      <x:c r="A127" t="str">
        <x:v>CH-20260908-019</x:v>
      </x:c>
      <x:c r="B127" t="str">
        <x:v>Porta não fecha</x:v>
      </x:c>
      <x:c r="C127" t="str">
        <x:v>Falha no fechamento</x:v>
      </x:c>
      <x:c r="D127" t="str">
        <x:v>Porta permanece aberta e impede partida.</x:v>
      </x:c>
      <x:c r="E127" t="str">
        <x:v>Concluído</x:v>
      </x:c>
      <x:c r="F127" t="str">
        <x:v>Aplicativo Cliente</x:v>
      </x:c>
      <x:c r="G127" t="str">
        <x:v>E-119</x:v>
      </x:c>
      <x:c r="H127" t="str">
        <x:v>Elevador Social</x:v>
      </x:c>
      <x:c r="I127" t="str">
        <x:v>Microprocessado</x:v>
      </x:c>
      <x:c r="J127" t="str">
        <x:v>Gearless</x:v>
      </x:c>
      <x:c r="K127" t="str">
        <x:v>OTIS</x:v>
      </x:c>
      <x:c r="L127" t="str">
        <x:v>ROT-021</x:v>
      </x:c>
      <x:c r="M127" t="str">
        <x:v>Operador de Porta</x:v>
      </x:c>
      <x:c r="N127" t="str">
        <x:v>Sensor de porta</x:v>
      </x:c>
      <x:c r="O127" t="str">
        <x:v>Falha de leitura</x:v>
      </x:c>
      <x:c r="P127" t="str">
        <x:v>Porta aberta</x:v>
      </x:c>
      <x:c r="Q127" t="str">
        <x:v>Inspeção técnica e normalização demonstrativas de Operador de Porta; resolução sintética, sem confirmação de consumo de peças.</x:v>
      </x:c>
      <x:c r="R127" t="str">
        <x:v>Hospital São Paulo</x:v>
      </x:c>
      <x:c r="S127" t="str">
        <x:v>Sim</x:v>
      </x:c>
      <x:c r="T127" t="str">
        <x:v>Sim</x:v>
      </x:c>
      <x:c r="U127" t="str">
        <x:v>CT-2026-001</x:v>
      </x:c>
      <x:c r="V127" t="str">
        <x:v>SP-Centro</x:v>
      </x:c>
      <x:c r="W127" t="str">
        <x:v>João Silva</x:v>
      </x:c>
      <x:c r="X127" t="str">
        <x:v>Supervisor C</x:v>
      </x:c>
      <x:c r="Y127" t="str">
        <x:v>Rota Centro 01</x:v>
      </x:c>
      <x:c r="Z127" t="str">
        <x:v>Av. Paulista, 1000 - São Paulo/SP</x:v>
      </x:c>
      <x:c r="AA127" t="str">
        <x:v>São Paulo</x:v>
      </x:c>
      <x:c r="AB127" s="50" t="n">
        <x:v>46273.3625</x:v>
      </x:c>
      <x:c r="AC127" s="50" t="n">
        <x:v>46273.3666666667</x:v>
      </x:c>
      <x:c r="AD127" s="50" t="n">
        <x:v>46273.3694444444</x:v>
      </x:c>
      <x:c r="AE127" s="50" t="n">
        <x:v>46273.399305555555</x:v>
      </x:c>
      <x:c r="AF127" s="50" t="n">
        <x:v>46273.48263888889</x:v>
      </x:c>
      <x:c r="AG127" t="n">
        <x:v>53</x:v>
      </x:c>
      <x:c r="AH127" t="n">
        <x:v>115</x:v>
      </x:c>
      <x:c r="AI127" t="str">
        <x:v>Não</x:v>
      </x:c>
      <x:c r="AJ127" t="str">
        <x:v>Não</x:v>
      </x:c>
      <x:c r="AK127" t="n">
        <x:v>60</x:v>
      </x:c>
      <x:c r="AL127" t="n">
        <x:v>0</x:v>
      </x:c>
      <x:c r="AM127" s="64" t="n">
        <x:v>2.8</x:v>
      </x:c>
      <x:c r="AN127" t="n">
        <x:v>2</x:v>
      </x:c>
      <x:c r="AO127" t="str">
        <x:v>Vermelho</x:v>
      </x:c>
      <x:c r="AP127" t="str">
        <x:v>SLA sintético excedido (tempo acumulado ≥ 100% do SLA)</x:v>
      </x:c>
      <x:c r="AQ127" t="str">
        <x:v>Encerramento demonstrativo de Operador de Porta; verificar fechamento e histórico para aprendizado. Sem despacho automático.</x:v>
      </x:c>
      <x:c r="AR127" s="62" t="n">
        <x:v>718</x:v>
      </x:c>
      <x:c r="AS127" t="str">
        <x:v>Baixo</x:v>
      </x:c>
      <x:c r="AT127" s="50" t="n">
        <x:v>46273.489583333336</x:v>
      </x:c>
      <x:c r="AU127" t="str">
        <x:v>T05</x:v>
      </x:c>
      <x:c r="AV127" t="str">
        <x:v>T2 original + evolução sintética posterior</x:v>
      </x:c>
    </x:row>
    <x:row r="128">
      <x:c r="A128" t="str">
        <x:v>CH-20260908-020</x:v>
      </x:c>
      <x:c r="B128" t="str">
        <x:v>Painel sem comunicação</x:v>
      </x:c>
      <x:c r="C128" t="str">
        <x:v>Falha de comunicação</x:v>
      </x:c>
      <x:c r="D128" t="str">
        <x:v>Painel não responde aos comandos.</x:v>
      </x:c>
      <x:c r="E128" t="str">
        <x:v>Concluído</x:v>
      </x:c>
      <x:c r="F128" t="str">
        <x:v>Monitoramento Remoto</x:v>
      </x:c>
      <x:c r="G128" t="str">
        <x:v>E-120</x:v>
      </x:c>
      <x:c r="H128" t="str">
        <x:v>Elevador Social</x:v>
      </x:c>
      <x:c r="I128" t="str">
        <x:v>Microprocessado</x:v>
      </x:c>
      <x:c r="J128" t="str">
        <x:v>Gearless</x:v>
      </x:c>
      <x:c r="K128" t="str">
        <x:v>OTIS</x:v>
      </x:c>
      <x:c r="L128" t="str">
        <x:v>ROT-033</x:v>
      </x:c>
      <x:c r="M128" t="str">
        <x:v>Painel/Comando</x:v>
      </x:c>
      <x:c r="N128" t="str">
        <x:v>Interface</x:v>
      </x:c>
      <x:c r="O128" t="str">
        <x:v>Sem comunicação</x:v>
      </x:c>
      <x:c r="P128" t="str">
        <x:v>Falha lógica</x:v>
      </x:c>
      <x:c r="Q128" t="str">
        <x:v>Inspeção técnica e normalização demonstrativas de Painel/Comando; resolução sintética, sem confirmação de consumo de peças.</x:v>
      </x:c>
      <x:c r="R128" t="str">
        <x:v>Shopping Center Norte</x:v>
      </x:c>
      <x:c r="S128" t="str">
        <x:v>Não</x:v>
      </x:c>
      <x:c r="T128" t="str">
        <x:v>Sim</x:v>
      </x:c>
      <x:c r="U128" t="str">
        <x:v>CT-2026-002</x:v>
      </x:c>
      <x:c r="V128" t="str">
        <x:v>SP-Norte</x:v>
      </x:c>
      <x:c r="W128" t="str">
        <x:v>Marcos Lima</x:v>
      </x:c>
      <x:c r="X128" t="str">
        <x:v>Supervisor D</x:v>
      </x:c>
      <x:c r="Y128" t="str">
        <x:v>Rota Norte 02</x:v>
      </x:c>
      <x:c r="Z128" t="str">
        <x:v>Av. Otto Baumgart, 245 - São Paulo/SP</x:v>
      </x:c>
      <x:c r="AA128" t="str">
        <x:v>São Paulo</x:v>
      </x:c>
      <x:c r="AB128" s="50" t="n">
        <x:v>46273.3659722222</x:v>
      </x:c>
      <x:c r="AC128" s="50" t="n">
        <x:v>46273.3673611111</x:v>
      </x:c>
      <x:c r="AD128" s="50" t="n">
        <x:v>46273.3715277778</x:v>
      </x:c>
      <x:c r="AE128" s="50" t="n">
        <x:v>46273.3826388889</x:v>
      </x:c>
      <x:c r="AF128" s="50" t="n">
        <x:v>46273.4763888889</x:v>
      </x:c>
      <x:c r="AG128" t="n">
        <x:v>24</x:v>
      </x:c>
      <x:c r="AH128" t="n">
        <x:v>130</x:v>
      </x:c>
      <x:c r="AI128" t="str">
        <x:v>Não</x:v>
      </x:c>
      <x:c r="AJ128" t="str">
        <x:v>Não</x:v>
      </x:c>
      <x:c r="AK128" t="n">
        <x:v>90</x:v>
      </x:c>
      <x:c r="AL128" t="n">
        <x:v>0</x:v>
      </x:c>
      <x:c r="AM128" s="64" t="n">
        <x:v>1.7111</x:v>
      </x:c>
      <x:c r="AN128" t="n">
        <x:v>3</x:v>
      </x:c>
      <x:c r="AO128" t="str">
        <x:v>Vermelho</x:v>
      </x:c>
      <x:c r="AP128" t="str">
        <x:v>SLA sintético excedido (tempo acumulado ≥ 100% do SLA)</x:v>
      </x:c>
      <x:c r="AQ128" t="str">
        <x:v>Encerramento demonstrativo de Painel/Comando; verificar fechamento e histórico para aprendizado. Sem despacho automático.</x:v>
      </x:c>
      <x:c r="AR128" s="62" t="n">
        <x:v>1407</x:v>
      </x:c>
      <x:c r="AS128" t="str">
        <x:v>Alto</x:v>
      </x:c>
      <x:c r="AT128" s="50" t="n">
        <x:v>46273.489583333336</x:v>
      </x:c>
      <x:c r="AU128" t="str">
        <x:v>T05</x:v>
      </x:c>
      <x:c r="AV128" t="str">
        <x:v>T2 original + evolução sintética posterior</x:v>
      </x:c>
    </x:row>
    <x:row r="129">
      <x:c r="A129" t="str">
        <x:v>CH-20260908-021</x:v>
      </x:c>
      <x:c r="B129" t="str">
        <x:v>Falha de Tração</x:v>
      </x:c>
      <x:c r="C129" t="str">
        <x:v>Movimento irregular</x:v>
      </x:c>
      <x:c r="D129" t="str">
        <x:v>Equipamento apresenta perda de tração.</x:v>
      </x:c>
      <x:c r="E129" t="str">
        <x:v>Concluído</x:v>
      </x:c>
      <x:c r="F129" t="str">
        <x:v>Central de Atendimento</x:v>
      </x:c>
      <x:c r="G129" t="str">
        <x:v>E-121</x:v>
      </x:c>
      <x:c r="H129" t="str">
        <x:v>Elevador Social</x:v>
      </x:c>
      <x:c r="I129" t="str">
        <x:v>Microprocessado</x:v>
      </x:c>
      <x:c r="J129" t="str">
        <x:v>Gearless</x:v>
      </x:c>
      <x:c r="K129" t="str">
        <x:v>OTIS</x:v>
      </x:c>
      <x:c r="L129" t="str">
        <x:v>ROT-041</x:v>
      </x:c>
      <x:c r="M129" t="str">
        <x:v>Máquina de Tração</x:v>
      </x:c>
      <x:c r="N129" t="str">
        <x:v>Inversor</x:v>
      </x:c>
      <x:c r="O129" t="str">
        <x:v>Oscilação</x:v>
      </x:c>
      <x:c r="P129" t="str">
        <x:v>Falha de movimento</x:v>
      </x:c>
      <x:c r="Q129" t="str">
        <x:v>Inspeção técnica e normalização demonstrativas de Máquina de Tração; resolução sintética, sem confirmação de consumo de peças.</x:v>
      </x:c>
      <x:c r="R129" t="str">
        <x:v>Edifício Corporate</x:v>
      </x:c>
      <x:c r="S129" t="str">
        <x:v>Não</x:v>
      </x:c>
      <x:c r="T129" t="str">
        <x:v>Sim</x:v>
      </x:c>
      <x:c r="U129" t="str">
        <x:v>CT-2026-003</x:v>
      </x:c>
      <x:c r="V129" t="str">
        <x:v>SP-Oeste</x:v>
      </x:c>
      <x:c r="W129" t="str">
        <x:v>Ana Costa</x:v>
      </x:c>
      <x:c r="X129" t="str">
        <x:v>Supervisor A</x:v>
      </x:c>
      <x:c r="Y129" t="str">
        <x:v>Rota Oeste 03</x:v>
      </x:c>
      <x:c r="Z129" t="str">
        <x:v>Av. Faria Lima, 3500 - São Paulo/SP</x:v>
      </x:c>
      <x:c r="AA129" t="str">
        <x:v>São Paulo</x:v>
      </x:c>
      <x:c r="AB129" s="50" t="n">
        <x:v>46273.3694444444</x:v>
      </x:c>
      <x:c r="AC129" s="50" t="n">
        <x:v>46273.3715277778</x:v>
      </x:c>
      <x:c r="AD129" s="50" t="n">
        <x:v>46273.372916666696</x:v>
      </x:c>
      <x:c r="AE129" s="50" t="n">
        <x:v>46273.3888888889</x:v>
      </x:c>
      <x:c r="AF129" s="50" t="n">
        <x:v>46273.44791666668</x:v>
      </x:c>
      <x:c r="AG129" t="n">
        <x:v>28</x:v>
      </x:c>
      <x:c r="AH129" t="n">
        <x:v>80</x:v>
      </x:c>
      <x:c r="AI129" t="str">
        <x:v>Não</x:v>
      </x:c>
      <x:c r="AJ129" t="str">
        <x:v>Sim</x:v>
      </x:c>
      <x:c r="AK129" t="n">
        <x:v>120</x:v>
      </x:c>
      <x:c r="AL129" t="n">
        <x:v>0</x:v>
      </x:c>
      <x:c r="AM129" s="64" t="n">
        <x:v>0.9</x:v>
      </x:c>
      <x:c r="AN129" t="n">
        <x:v>1</x:v>
      </x:c>
      <x:c r="AO129" t="str">
        <x:v>Laranja</x:v>
      </x:c>
      <x:c r="AP129" t="str">
        <x:v>janela de intervenção: tempo acumulado ≥ 80% do SLA</x:v>
      </x:c>
      <x:c r="AQ129" t="str">
        <x:v>Encerramento demonstrativo de Máquina de Tração; verificar fechamento e histórico para aprendizado. Sem despacho automático.</x:v>
      </x:c>
      <x:c r="AR129" s="62" t="n">
        <x:v>1212</x:v>
      </x:c>
      <x:c r="AS129" t="str">
        <x:v>Alto</x:v>
      </x:c>
      <x:c r="AT129" s="50" t="n">
        <x:v>46273.489583333336</x:v>
      </x:c>
      <x:c r="AU129" t="str">
        <x:v>T05</x:v>
      </x:c>
      <x:c r="AV129" t="str">
        <x:v>T2 original + evolução sintética posterior</x:v>
      </x:c>
    </x:row>
    <x:row r="130">
      <x:c r="A130" t="str">
        <x:v>CH-20260908-022</x:v>
      </x:c>
      <x:c r="B130" t="str">
        <x:v>Iluminação de Cabine</x:v>
      </x:c>
      <x:c r="C130" t="str">
        <x:v>Iluminação inoperante</x:v>
      </x:c>
      <x:c r="D130" t="str">
        <x:v>Cabine com iluminação parcial ou total indisponível.</x:v>
      </x:c>
      <x:c r="E130" t="str">
        <x:v>Concluído</x:v>
      </x:c>
      <x:c r="F130" t="str">
        <x:v>IoT</x:v>
      </x:c>
      <x:c r="G130" t="str">
        <x:v>E-122</x:v>
      </x:c>
      <x:c r="H130" t="str">
        <x:v>Elevador Social</x:v>
      </x:c>
      <x:c r="I130" t="str">
        <x:v>Microprocessado</x:v>
      </x:c>
      <x:c r="J130" t="str">
        <x:v>Gearless</x:v>
      </x:c>
      <x:c r="K130" t="str">
        <x:v>OTIS</x:v>
      </x:c>
      <x:c r="L130" t="str">
        <x:v>ROT-052</x:v>
      </x:c>
      <x:c r="M130" t="str">
        <x:v>Elétrica</x:v>
      </x:c>
      <x:c r="N130" t="str">
        <x:v>Fonte</x:v>
      </x:c>
      <x:c r="O130" t="str">
        <x:v>Sem alimentação</x:v>
      </x:c>
      <x:c r="P130" t="str">
        <x:v>Falha elétrica</x:v>
      </x:c>
      <x:c r="Q130" t="str">
        <x:v>Inspeção técnica e normalização demonstrativas de Elétrica; resolução sintética, sem confirmação de consumo de peças.</x:v>
      </x:c>
      <x:c r="R130" t="str">
        <x:v>Condomínio Alameda</x:v>
      </x:c>
      <x:c r="S130" t="str">
        <x:v>Não</x:v>
      </x:c>
      <x:c r="T130" t="str">
        <x:v>Não</x:v>
      </x:c>
      <x:c r="U130" t="str">
        <x:v>CT-2026-004</x:v>
      </x:c>
      <x:c r="V130" t="str">
        <x:v>SP-Sul</x:v>
      </x:c>
      <x:c r="W130" t="str">
        <x:v>Carlos Souza</x:v>
      </x:c>
      <x:c r="X130" t="str">
        <x:v>Supervisor B</x:v>
      </x:c>
      <x:c r="Y130" t="str">
        <x:v>Rota Sul 04</x:v>
      </x:c>
      <x:c r="Z130" t="str">
        <x:v>R. das Acácias, 420 - São Paulo/SP</x:v>
      </x:c>
      <x:c r="AA130" t="str">
        <x:v>São Paulo</x:v>
      </x:c>
      <x:c r="AB130" s="50" t="n">
        <x:v>46273.372916666696</x:v>
      </x:c>
      <x:c r="AC130" s="50" t="n">
        <x:v>46273.3756944445</x:v>
      </x:c>
      <x:c r="AD130" s="50" t="n">
        <x:v>46273.3784722222</x:v>
      </x:c>
      <x:c r="AE130" s="50" t="n">
        <x:v>46273.39930555559</x:v>
      </x:c>
      <x:c r="AF130" s="50" t="n">
        <x:v>46273.486111111146</x:v>
      </x:c>
      <x:c r="AG130" t="n">
        <x:v>38</x:v>
      </x:c>
      <x:c r="AH130" t="n">
        <x:v>120</x:v>
      </x:c>
      <x:c r="AI130" t="str">
        <x:v>Não</x:v>
      </x:c>
      <x:c r="AJ130" t="str">
        <x:v>Não</x:v>
      </x:c>
      <x:c r="AK130" t="n">
        <x:v>180</x:v>
      </x:c>
      <x:c r="AL130" t="n">
        <x:v>0</x:v>
      </x:c>
      <x:c r="AM130" s="64" t="n">
        <x:v>0.8778</x:v>
      </x:c>
      <x:c r="AN130" t="n">
        <x:v>0</x:v>
      </x:c>
      <x:c r="AO130" t="str">
        <x:v>Laranja</x:v>
      </x:c>
      <x:c r="AP130" t="str">
        <x:v>janela de intervenção: tempo acumulado ≥ 80% do SLA</x:v>
      </x:c>
      <x:c r="AQ130" t="str">
        <x:v>Encerramento demonstrativo de Elétrica; verificar fechamento e histórico para aprendizado. Sem despacho automático.</x:v>
      </x:c>
      <x:c r="AR130" s="62" t="n">
        <x:v>897</x:v>
      </x:c>
      <x:c r="AS130" t="str">
        <x:v>Médio</x:v>
      </x:c>
      <x:c r="AT130" s="50" t="n">
        <x:v>46273.489583333336</x:v>
      </x:c>
      <x:c r="AU130" t="str">
        <x:v>T05</x:v>
      </x:c>
      <x:c r="AV130" t="str">
        <x:v>T2 original + evolução sintética posterior</x:v>
      </x:c>
    </x:row>
    <x:row r="131">
      <x:c r="A131" t="str">
        <x:v>CH-20260908-023</x:v>
      </x:c>
      <x:c r="B131" t="str">
        <x:v>Botão de Chamada</x:v>
      </x:c>
      <x:c r="C131" t="str">
        <x:v>Botão não responde</x:v>
      </x:c>
      <x:c r="D131" t="str">
        <x:v>Botão de chamada não registra comando.</x:v>
      </x:c>
      <x:c r="E131" t="str">
        <x:v>Concluído</x:v>
      </x:c>
      <x:c r="F131" t="str">
        <x:v>Aplicativo Cliente</x:v>
      </x:c>
      <x:c r="G131" t="str">
        <x:v>E-123</x:v>
      </x:c>
      <x:c r="H131" t="str">
        <x:v>Elevador Social</x:v>
      </x:c>
      <x:c r="I131" t="str">
        <x:v>Microprocessado</x:v>
      </x:c>
      <x:c r="J131" t="str">
        <x:v>Gearless</x:v>
      </x:c>
      <x:c r="K131" t="str">
        <x:v>OTIS</x:v>
      </x:c>
      <x:c r="L131" t="str">
        <x:v>ROT-063</x:v>
      </x:c>
      <x:c r="M131" t="str">
        <x:v>Botoeira</x:v>
      </x:c>
      <x:c r="N131" t="str">
        <x:v>Contato</x:v>
      </x:c>
      <x:c r="O131" t="str">
        <x:v>Mau contato</x:v>
      </x:c>
      <x:c r="P131" t="str">
        <x:v>Falha de comando</x:v>
      </x:c>
      <x:c r="Q131" t="str">
        <x:v>Inspeção técnica e normalização demonstrativas de Botoeira; resolução sintética, sem confirmação de consumo de peças.</x:v>
      </x:c>
      <x:c r="R131" t="str">
        <x:v>Aeroporto Terminal 3</x:v>
      </x:c>
      <x:c r="S131" t="str">
        <x:v>Sim</x:v>
      </x:c>
      <x:c r="T131" t="str">
        <x:v>Sim</x:v>
      </x:c>
      <x:c r="U131" t="str">
        <x:v>CT-2026-005</x:v>
      </x:c>
      <x:c r="V131" t="str">
        <x:v>GRU</x:v>
      </x:c>
      <x:c r="W131" t="str">
        <x:v>Renata Alves</x:v>
      </x:c>
      <x:c r="X131" t="str">
        <x:v>Supervisor C</x:v>
      </x:c>
      <x:c r="Y131" t="str">
        <x:v>Rota GRU 05</x:v>
      </x:c>
      <x:c r="Z131" t="str">
        <x:v>Rod. Hélio Smidt, s/n - Guarulhos/SP</x:v>
      </x:c>
      <x:c r="AA131" t="str">
        <x:v>São Paulo</x:v>
      </x:c>
      <x:c r="AB131" s="50" t="n">
        <x:v>46273.3784722222</x:v>
      </x:c>
      <x:c r="AC131" s="50" t="n">
        <x:v>46273.3819444444</x:v>
      </x:c>
      <x:c r="AD131" s="50" t="n">
        <x:v>46273.386111111104</x:v>
      </x:c>
      <x:c r="AE131" s="50" t="n">
        <x:v>46273.41249999998</x:v>
      </x:c>
      <x:c r="AF131" s="50" t="n">
        <x:v>46273.48541666664</x:v>
      </x:c>
      <x:c r="AG131" t="n">
        <x:v>49</x:v>
      </x:c>
      <x:c r="AH131" t="n">
        <x:v>100</x:v>
      </x:c>
      <x:c r="AI131" t="str">
        <x:v>Não</x:v>
      </x:c>
      <x:c r="AJ131" t="str">
        <x:v>Não</x:v>
      </x:c>
      <x:c r="AK131" t="n">
        <x:v>45</x:v>
      </x:c>
      <x:c r="AL131" t="n">
        <x:v>0</x:v>
      </x:c>
      <x:c r="AM131" s="64" t="n">
        <x:v>3.3111</x:v>
      </x:c>
      <x:c r="AN131" t="n">
        <x:v>2</x:v>
      </x:c>
      <x:c r="AO131" t="str">
        <x:v>Vermelho</x:v>
      </x:c>
      <x:c r="AP131" t="str">
        <x:v>SLA sintético excedido (tempo acumulado ≥ 100% do SLA)</x:v>
      </x:c>
      <x:c r="AQ131" t="str">
        <x:v>Encerramento demonstrativo de Botoeira; verificar fechamento e histórico para aprendizado. Sem despacho automático.</x:v>
      </x:c>
      <x:c r="AR131" s="62" t="n">
        <x:v>545</x:v>
      </x:c>
      <x:c r="AS131" t="str">
        <x:v>Baixo</x:v>
      </x:c>
      <x:c r="AT131" s="50" t="n">
        <x:v>46273.489583333336</x:v>
      </x:c>
      <x:c r="AU131" t="str">
        <x:v>T05</x:v>
      </x:c>
      <x:c r="AV131" t="str">
        <x:v>T2 original + evolução sintética posterior</x:v>
      </x:c>
    </x:row>
    <x:row r="132">
      <x:c r="A132" t="str">
        <x:v>CH-20260908-024</x:v>
      </x:c>
      <x:c r="B132" t="str">
        <x:v>Parada Intermitente</x:v>
      </x:c>
      <x:c r="C132" t="str">
        <x:v>Paradas aleatórias</x:v>
      </x:c>
      <x:c r="D132" t="str">
        <x:v>Equipamento interrompe operação de forma intermitente.</x:v>
      </x:c>
      <x:c r="E132" t="str">
        <x:v>Em atendimento</x:v>
      </x:c>
      <x:c r="F132" t="str">
        <x:v>Monitoramento Remoto</x:v>
      </x:c>
      <x:c r="G132" t="str">
        <x:v>E-124</x:v>
      </x:c>
      <x:c r="H132" t="str">
        <x:v>Elevador Social</x:v>
      </x:c>
      <x:c r="I132" t="str">
        <x:v>Microprocessado</x:v>
      </x:c>
      <x:c r="J132" t="str">
        <x:v>Gearless</x:v>
      </x:c>
      <x:c r="K132" t="str">
        <x:v>OTIS</x:v>
      </x:c>
      <x:c r="L132" t="str">
        <x:v>ROT-074</x:v>
      </x:c>
      <x:c r="M132" t="str">
        <x:v>Painel/Comando</x:v>
      </x:c>
      <x:c r="N132" t="str">
        <x:v>Placa</x:v>
      </x:c>
      <x:c r="O132" t="str">
        <x:v>Intermitência</x:v>
      </x:c>
      <x:c r="P132" t="str">
        <x:v>Falha intermitente</x:v>
      </x:c>
      <x:c r="Q132"/>
      <x:c r="R132" t="str">
        <x:v>Universidade Central</x:v>
      </x:c>
      <x:c r="S132" t="str">
        <x:v>Não</x:v>
      </x:c>
      <x:c r="T132" t="str">
        <x:v>Sim</x:v>
      </x:c>
      <x:c r="U132" t="str">
        <x:v>CT-2026-006</x:v>
      </x:c>
      <x:c r="V132" t="str">
        <x:v>SP-Leste</x:v>
      </x:c>
      <x:c r="W132" t="str">
        <x:v>Paulo Mendes</x:v>
      </x:c>
      <x:c r="X132" t="str">
        <x:v>Supervisor D</x:v>
      </x:c>
      <x:c r="Y132" t="str">
        <x:v>Rota Leste 06</x:v>
      </x:c>
      <x:c r="Z132" t="str">
        <x:v>Av. Central, 850 - São Paulo/SP</x:v>
      </x:c>
      <x:c r="AA132" t="str">
        <x:v>São Paulo</x:v>
      </x:c>
      <x:c r="AB132" s="50" t="n">
        <x:v>46273.3854166667</x:v>
      </x:c>
      <x:c r="AC132" s="50" t="n">
        <x:v>46273.3895833333</x:v>
      </x:c>
      <x:c r="AD132" s="50" t="n">
        <x:v>46273.3909722222</x:v>
      </x:c>
      <x:c r="AE132" s="50" t="n">
        <x:v>46273.423611111146</x:v>
      </x:c>
      <x:c r="AF132" s="50"/>
      <x:c r="AG132" t="n">
        <x:v>55</x:v>
      </x:c>
      <x:c r="AH132"/>
      <x:c r="AI132" t="str">
        <x:v>Não</x:v>
      </x:c>
      <x:c r="AJ132" t="str">
        <x:v>Sim</x:v>
      </x:c>
      <x:c r="AK132" t="n">
        <x:v>120</x:v>
      </x:c>
      <x:c r="AL132" t="n">
        <x:v>0</x:v>
      </x:c>
      <x:c r="AM132" s="64" t="n">
        <x:v>1.25</x:v>
      </x:c>
      <x:c r="AN132" t="n">
        <x:v>4</x:v>
      </x:c>
      <x:c r="AO132" t="str">
        <x:v>Vermelho</x:v>
      </x:c>
      <x:c r="AP132" t="str">
        <x:v>SLA sintético excedido (tempo acumulado ≥ 100% do SLA)</x:v>
      </x:c>
      <x:c r="AQ132" t="str">
        <x:v>Priorizar avaliação do chamado em Painel/Comando; SLA demonstrativo comprometido. Supervisor decide o encaminhamento.</x:v>
      </x:c>
      <x:c r="AR132" s="62" t="n">
        <x:v>1386</x:v>
      </x:c>
      <x:c r="AS132" t="str">
        <x:v>Alto</x:v>
      </x:c>
      <x:c r="AT132" s="50" t="n">
        <x:v>46273.489583333336</x:v>
      </x:c>
      <x:c r="AU132" t="str">
        <x:v>T05</x:v>
      </x:c>
      <x:c r="AV132" t="str">
        <x:v>T2 original + evolução sintética posterior</x:v>
      </x:c>
    </x:row>
    <x:row r="133">
      <x:c r="A133" t="str">
        <x:v>CH-20260908-025</x:v>
      </x:c>
      <x:c r="B133" t="str">
        <x:v>Falha de Tração</x:v>
      </x:c>
      <x:c r="C133" t="str">
        <x:v>Movimento irregular</x:v>
      </x:c>
      <x:c r="D133" t="str">
        <x:v>Equipamento apresenta perda de tração.</x:v>
      </x:c>
      <x:c r="E133" t="str">
        <x:v>Concluído</x:v>
      </x:c>
      <x:c r="F133" t="str">
        <x:v>Central de Atendimento</x:v>
      </x:c>
      <x:c r="G133" t="str">
        <x:v>E-125</x:v>
      </x:c>
      <x:c r="H133" t="str">
        <x:v>Elevador Social</x:v>
      </x:c>
      <x:c r="I133" t="str">
        <x:v>Microprocessado</x:v>
      </x:c>
      <x:c r="J133" t="str">
        <x:v>Gearless</x:v>
      </x:c>
      <x:c r="K133" t="str">
        <x:v>OTIS</x:v>
      </x:c>
      <x:c r="L133" t="str">
        <x:v>ROT-041</x:v>
      </x:c>
      <x:c r="M133" t="str">
        <x:v>Máquina de Tração</x:v>
      </x:c>
      <x:c r="N133" t="str">
        <x:v>Inversor</x:v>
      </x:c>
      <x:c r="O133" t="str">
        <x:v>Oscilação</x:v>
      </x:c>
      <x:c r="P133" t="str">
        <x:v>Falha de movimento</x:v>
      </x:c>
      <x:c r="Q133" t="str">
        <x:v>Diagnóstico e teste funcional simulados em Máquina de Tração; encerramento demonstrativo, sem movimentação de estoque comprovada.</x:v>
      </x:c>
      <x:c r="R133" t="str">
        <x:v>Aeroporto Terminal 3</x:v>
      </x:c>
      <x:c r="S133" t="str">
        <x:v>Sim</x:v>
      </x:c>
      <x:c r="T133" t="str">
        <x:v>Sim</x:v>
      </x:c>
      <x:c r="U133" t="str">
        <x:v>CT-2026-005</x:v>
      </x:c>
      <x:c r="V133" t="str">
        <x:v>GRU</x:v>
      </x:c>
      <x:c r="W133" t="str">
        <x:v>Renata Alves</x:v>
      </x:c>
      <x:c r="X133" t="str">
        <x:v>Supervisor A</x:v>
      </x:c>
      <x:c r="Y133" t="str">
        <x:v>Rota GRU 05</x:v>
      </x:c>
      <x:c r="Z133" t="str">
        <x:v>Rod. Hélio Smidt, s/n - Guarulhos/SP</x:v>
      </x:c>
      <x:c r="AA133" t="str">
        <x:v>São Paulo</x:v>
      </x:c>
      <x:c r="AB133" s="50" t="n">
        <x:v>46273.4</x:v>
      </x:c>
      <x:c r="AC133" s="50" t="n">
        <x:v>46273.402083333334</x:v>
      </x:c>
      <x:c r="AD133" s="50" t="n">
        <x:v>46273.40555555555</x:v>
      </x:c>
      <x:c r="AE133" s="50" t="n">
        <x:v>46273.427083333336</x:v>
      </x:c>
      <x:c r="AF133" s="50" t="n">
        <x:v>46273.461805555555</x:v>
      </x:c>
      <x:c r="AG133" t="n">
        <x:v>39</x:v>
      </x:c>
      <x:c r="AH133" t="n">
        <x:v>45</x:v>
      </x:c>
      <x:c r="AI133" t="str">
        <x:v>Não</x:v>
      </x:c>
      <x:c r="AJ133" t="str">
        <x:v>Sim</x:v>
      </x:c>
      <x:c r="AK133" t="n">
        <x:v>45</x:v>
      </x:c>
      <x:c r="AL133" t="n">
        <x:v>0</x:v>
      </x:c>
      <x:c r="AM133" s="64" t="n">
        <x:v>1.8667</x:v>
      </x:c>
      <x:c r="AN133" t="n">
        <x:v>1</x:v>
      </x:c>
      <x:c r="AO133" t="str">
        <x:v>Vermelho</x:v>
      </x:c>
      <x:c r="AP133" t="str">
        <x:v>SLA sintético excedido (tempo acumulado ≥ 100% do SLA)</x:v>
      </x:c>
      <x:c r="AQ133" t="str">
        <x:v>Encerramento demonstrativo de Máquina de Tração; verificar fechamento e histórico para aprendizado. Sem despacho automático.</x:v>
      </x:c>
      <x:c r="AR133" s="62" t="n">
        <x:v>1297.5</x:v>
      </x:c>
      <x:c r="AS133" t="str">
        <x:v>Alto</x:v>
      </x:c>
      <x:c r="AT133" s="50" t="n">
        <x:v>46273.489583333336</x:v>
      </x:c>
      <x:c r="AU133" t="str">
        <x:v>T05</x:v>
      </x:c>
      <x:c r="AV133" t="str">
        <x:v>Ocorrência adicional sintética; perfil inspirado em CH-20260908-005</x:v>
      </x:c>
    </x:row>
    <x:row r="134">
      <x:c r="A134" t="str">
        <x:v>CH-20260908-026</x:v>
      </x:c>
      <x:c r="B134" t="str">
        <x:v>Painel sem comunicação</x:v>
      </x:c>
      <x:c r="C134" t="str">
        <x:v>Falha de comunicação</x:v>
      </x:c>
      <x:c r="D134" t="str">
        <x:v>Painel não responde aos comandos.</x:v>
      </x:c>
      <x:c r="E134" t="str">
        <x:v>Concluído</x:v>
      </x:c>
      <x:c r="F134" t="str">
        <x:v>Monitoramento Remoto</x:v>
      </x:c>
      <x:c r="G134" t="str">
        <x:v>E-126</x:v>
      </x:c>
      <x:c r="H134" t="str">
        <x:v>Elevador Social</x:v>
      </x:c>
      <x:c r="I134" t="str">
        <x:v>Microprocessado</x:v>
      </x:c>
      <x:c r="J134" t="str">
        <x:v>Gearless</x:v>
      </x:c>
      <x:c r="K134" t="str">
        <x:v>OTIS</x:v>
      </x:c>
      <x:c r="L134" t="str">
        <x:v>ROT-033</x:v>
      </x:c>
      <x:c r="M134" t="str">
        <x:v>Painel/Comando</x:v>
      </x:c>
      <x:c r="N134" t="str">
        <x:v>Interface</x:v>
      </x:c>
      <x:c r="O134" t="str">
        <x:v>Sem comunicação</x:v>
      </x:c>
      <x:c r="P134" t="str">
        <x:v>Falha lógica</x:v>
      </x:c>
      <x:c r="Q134" t="str">
        <x:v>Diagnóstico e teste funcional simulados em Painel/Comando; encerramento demonstrativo, sem movimentação de estoque comprovada.</x:v>
      </x:c>
      <x:c r="R134" t="str">
        <x:v>Universidade Central</x:v>
      </x:c>
      <x:c r="S134" t="str">
        <x:v>Não</x:v>
      </x:c>
      <x:c r="T134" t="str">
        <x:v>Sim</x:v>
      </x:c>
      <x:c r="U134" t="str">
        <x:v>CT-2026-006</x:v>
      </x:c>
      <x:c r="V134" t="str">
        <x:v>SP-Leste</x:v>
      </x:c>
      <x:c r="W134" t="str">
        <x:v>Paulo Mendes</x:v>
      </x:c>
      <x:c r="X134" t="str">
        <x:v>Supervisor D</x:v>
      </x:c>
      <x:c r="Y134" t="str">
        <x:v>Rota Leste 06</x:v>
      </x:c>
      <x:c r="Z134" t="str">
        <x:v>Av. Central, 850 - São Paulo/SP</x:v>
      </x:c>
      <x:c r="AA134" t="str">
        <x:v>São Paulo</x:v>
      </x:c>
      <x:c r="AB134" s="50" t="n">
        <x:v>46273.40972222222</x:v>
      </x:c>
      <x:c r="AC134" s="50" t="n">
        <x:v>46273.4125</x:v>
      </x:c>
      <x:c r="AD134" s="50" t="n">
        <x:v>46273.416666666664</x:v>
      </x:c>
      <x:c r="AE134" s="50" t="n">
        <x:v>46273.44583333333</x:v>
      </x:c>
      <x:c r="AF134" s="50"/>
      <x:c r="AG134" t="n">
        <x:v>52</x:v>
      </x:c>
      <x:c r="AH134" t="n">
        <x:v>62</x:v>
      </x:c>
      <x:c r="AI134" t="str">
        <x:v>Não</x:v>
      </x:c>
      <x:c r="AJ134" t="str">
        <x:v>Não</x:v>
      </x:c>
      <x:c r="AK134" t="n">
        <x:v>120</x:v>
      </x:c>
      <x:c r="AL134" t="n">
        <x:v>0</x:v>
      </x:c>
      <x:c r="AM134" s="64" t="n">
        <x:v>0.95</x:v>
      </x:c>
      <x:c r="AN134" t="n">
        <x:v>3</x:v>
      </x:c>
      <x:c r="AO134" t="str">
        <x:v>Laranja</x:v>
      </x:c>
      <x:c r="AP134" t="str">
        <x:v>janela de intervenção: tempo acumulado ≥ 80% do SLA</x:v>
      </x:c>
      <x:c r="AQ134" t="str">
        <x:v>Encerramento demonstrativo de Painel/Comando; verificar fechamento e histórico para aprendizado. Sem despacho automático.</x:v>
      </x:c>
      <x:c r="AR134" s="62" t="n">
        <x:v>1357</x:v>
      </x:c>
      <x:c r="AS134" t="str">
        <x:v>Alto</x:v>
      </x:c>
      <x:c r="AT134" s="50" t="n">
        <x:v>46273.489583333336</x:v>
      </x:c>
      <x:c r="AU134" t="str">
        <x:v>T05</x:v>
      </x:c>
      <x:c r="AV134" t="str">
        <x:v>Ocorrência adicional sintética; perfil inspirado em CH-20260908-012</x:v>
      </x:c>
    </x:row>
    <x:row r="135">
      <x:c r="A135" t="str">
        <x:v>CH-20260908-027</x:v>
      </x:c>
      <x:c r="B135" t="str">
        <x:v>Porta não fecha</x:v>
      </x:c>
      <x:c r="C135" t="str">
        <x:v>Falha no fechamento</x:v>
      </x:c>
      <x:c r="D135" t="str">
        <x:v>Porta permanece aberta e impede partida.</x:v>
      </x:c>
      <x:c r="E135" t="str">
        <x:v>Em atendimento</x:v>
      </x:c>
      <x:c r="F135" t="str">
        <x:v>Aplicativo Cliente</x:v>
      </x:c>
      <x:c r="G135" t="str">
        <x:v>E-127</x:v>
      </x:c>
      <x:c r="H135" t="str">
        <x:v>Elevador Social</x:v>
      </x:c>
      <x:c r="I135" t="str">
        <x:v>Microprocessado</x:v>
      </x:c>
      <x:c r="J135" t="str">
        <x:v>Gearless</x:v>
      </x:c>
      <x:c r="K135" t="str">
        <x:v>OTIS</x:v>
      </x:c>
      <x:c r="L135" t="str">
        <x:v>ROT-021</x:v>
      </x:c>
      <x:c r="M135" t="str">
        <x:v>Operador de Porta</x:v>
      </x:c>
      <x:c r="N135" t="str">
        <x:v>Sensor de porta</x:v>
      </x:c>
      <x:c r="O135" t="str">
        <x:v>Falha de leitura</x:v>
      </x:c>
      <x:c r="P135" t="str">
        <x:v>Porta aberta</x:v>
      </x:c>
      <x:c r="Q135"/>
      <x:c r="R135" t="str">
        <x:v>Hospital São Paulo</x:v>
      </x:c>
      <x:c r="S135" t="str">
        <x:v>Sim</x:v>
      </x:c>
      <x:c r="T135" t="str">
        <x:v>Sim</x:v>
      </x:c>
      <x:c r="U135" t="str">
        <x:v>CT-2026-001</x:v>
      </x:c>
      <x:c r="V135" t="str">
        <x:v>SP-Centro</x:v>
      </x:c>
      <x:c r="W135" t="str">
        <x:v>João Silva</x:v>
      </x:c>
      <x:c r="X135" t="str">
        <x:v>Supervisor C</x:v>
      </x:c>
      <x:c r="Y135" t="str">
        <x:v>Rota Centro 01</x:v>
      </x:c>
      <x:c r="Z135" t="str">
        <x:v>Av. Paulista, 1000 - São Paulo/SP</x:v>
      </x:c>
      <x:c r="AA135" t="str">
        <x:v>São Paulo</x:v>
      </x:c>
      <x:c r="AB135" s="50" t="n">
        <x:v>46273.419444444444</x:v>
      </x:c>
      <x:c r="AC135" s="50" t="n">
        <x:v>46273.42291666667</x:v>
      </x:c>
      <x:c r="AD135" s="50" t="n">
        <x:v>46273.427777777775</x:v>
      </x:c>
      <x:c r="AE135" s="50" t="n">
        <x:v>46273.464583333334</x:v>
      </x:c>
      <x:c r="AF135" s="50"/>
      <x:c r="AG135" t="n">
        <x:v>65</x:v>
      </x:c>
      <x:c r="AH135"/>
      <x:c r="AI135" t="str">
        <x:v>Não</x:v>
      </x:c>
      <x:c r="AJ135" t="str">
        <x:v>Não</x:v>
      </x:c>
      <x:c r="AK135" t="n">
        <x:v>60</x:v>
      </x:c>
      <x:c r="AL135" t="n">
        <x:v>0</x:v>
      </x:c>
      <x:c r="AM135" s="64" t="n">
        <x:v>1.6833</x:v>
      </x:c>
      <x:c r="AN135" t="n">
        <x:v>2</x:v>
      </x:c>
      <x:c r="AO135" t="str">
        <x:v>Vermelho</x:v>
      </x:c>
      <x:c r="AP135" t="str">
        <x:v>SLA sintético excedido (tempo acumulado ≥ 100% do SLA)</x:v>
      </x:c>
      <x:c r="AQ135" t="str">
        <x:v>Priorizar avaliação do chamado em Operador de Porta; SLA demonstrativo comprometido. Supervisor decide o encaminhamento.</x:v>
      </x:c>
      <x:c r="AR135" s="62" t="n">
        <x:v>833.5</x:v>
      </x:c>
      <x:c r="AS135" t="str">
        <x:v>Baixo</x:v>
      </x:c>
      <x:c r="AT135" s="50" t="n">
        <x:v>46273.489583333336</x:v>
      </x:c>
      <x:c r="AU135" t="str">
        <x:v>T05</x:v>
      </x:c>
      <x:c r="AV135" t="str">
        <x:v>Ocorrência adicional sintética; perfil inspirado em CH-20260908-019</x:v>
      </x:c>
    </x:row>
    <x:row r="136">
      <x:c r="A136" t="str">
        <x:v>CH-20260908-028</x:v>
      </x:c>
      <x:c r="B136" t="str">
        <x:v>Falha de Nivelamento</x:v>
      </x:c>
      <x:c r="C136" t="str">
        <x:v>Cabine desnivelada</x:v>
      </x:c>
      <x:c r="D136" t="str">
        <x:v>Cabine parou fora do nível do pavimento.</x:v>
      </x:c>
      <x:c r="E136" t="str">
        <x:v>Em atendimento</x:v>
      </x:c>
      <x:c r="F136" t="str">
        <x:v>IoT</x:v>
      </x:c>
      <x:c r="G136" t="str">
        <x:v>E-128</x:v>
      </x:c>
      <x:c r="H136" t="str">
        <x:v>Elevador Social</x:v>
      </x:c>
      <x:c r="I136" t="str">
        <x:v>Microprocessado</x:v>
      </x:c>
      <x:c r="J136" t="str">
        <x:v>Gearless</x:v>
      </x:c>
      <x:c r="K136" t="str">
        <x:v>OTIS</x:v>
      </x:c>
      <x:c r="L136" t="str">
        <x:v>ROT-014</x:v>
      </x:c>
      <x:c r="M136" t="str">
        <x:v>Sensor de Nível</x:v>
      </x:c>
      <x:c r="N136" t="str">
        <x:v>Sensor</x:v>
      </x:c>
      <x:c r="O136" t="str">
        <x:v>Leitura inconsistente</x:v>
      </x:c>
      <x:c r="P136" t="str">
        <x:v>Falha de nivelamento</x:v>
      </x:c>
      <x:c r="Q136"/>
      <x:c r="R136" t="str">
        <x:v>Shopping Center Norte</x:v>
      </x:c>
      <x:c r="S136" t="str">
        <x:v>Não</x:v>
      </x:c>
      <x:c r="T136" t="str">
        <x:v>Sim</x:v>
      </x:c>
      <x:c r="U136" t="str">
        <x:v>CT-2026-002</x:v>
      </x:c>
      <x:c r="V136" t="str">
        <x:v>SP-Norte</x:v>
      </x:c>
      <x:c r="W136" t="str">
        <x:v>Marcos Lima</x:v>
      </x:c>
      <x:c r="X136" t="str">
        <x:v>Supervisor B</x:v>
      </x:c>
      <x:c r="Y136" t="str">
        <x:v>Rota Norte 02</x:v>
      </x:c>
      <x:c r="Z136" t="str">
        <x:v>Av. Otto Baumgart, 245 - São Paulo/SP</x:v>
      </x:c>
      <x:c r="AA136" t="str">
        <x:v>São Paulo</x:v>
      </x:c>
      <x:c r="AB136" s="50" t="n">
        <x:v>46273.43125</x:v>
      </x:c>
      <x:c r="AC136" s="50" t="n">
        <x:v>46273.43263888889</x:v>
      </x:c>
      <x:c r="AD136" s="50" t="n">
        <x:v>46273.43819444445</x:v>
      </x:c>
      <x:c r="AE136" s="50" t="n">
        <x:v>46273.45</x:v>
      </x:c>
      <x:c r="AF136" s="50"/>
      <x:c r="AG136" t="n">
        <x:v>27</x:v>
      </x:c>
      <x:c r="AH136"/>
      <x:c r="AI136" t="str">
        <x:v>Não</x:v>
      </x:c>
      <x:c r="AJ136" t="str">
        <x:v>Não</x:v>
      </x:c>
      <x:c r="AK136" t="n">
        <x:v>90</x:v>
      </x:c>
      <x:c r="AL136" t="n">
        <x:v>0</x:v>
      </x:c>
      <x:c r="AM136" s="64" t="n">
        <x:v>0.9333</x:v>
      </x:c>
      <x:c r="AN136" t="n">
        <x:v>1</x:v>
      </x:c>
      <x:c r="AO136" t="str">
        <x:v>Laranja</x:v>
      </x:c>
      <x:c r="AP136" t="str">
        <x:v>janela de intervenção: tempo acumulado ≥ 80% do SLA</x:v>
      </x:c>
      <x:c r="AQ136" t="str">
        <x:v>Janela de intervenção em Sensor de Nível; revisar recorrências (1/30d) e contexto antes de escalar.</x:v>
      </x:c>
      <x:c r="AR136" s="62" t="n">
        <x:v>818</x:v>
      </x:c>
      <x:c r="AS136" t="str">
        <x:v>Baixo</x:v>
      </x:c>
      <x:c r="AT136" s="50" t="n">
        <x:v>46273.489583333336</x:v>
      </x:c>
      <x:c r="AU136" t="str">
        <x:v>T05</x:v>
      </x:c>
      <x:c r="AV136" t="str">
        <x:v>Ocorrência adicional sintética; perfil inspirado em CH-20260908-002</x:v>
      </x:c>
    </x:row>
    <x:row r="137">
      <x:c r="A137" t="str">
        <x:v>CH-20260908-029</x:v>
      </x:c>
      <x:c r="B137" t="str">
        <x:v>Passageiro Preso</x:v>
      </x:c>
      <x:c r="C137" t="str">
        <x:v>Elevador parado entre andares</x:v>
      </x:c>
      <x:c r="D137" t="str">
        <x:v>Cabine imobilizada com passageiro no interior.</x:v>
      </x:c>
      <x:c r="E137" t="str">
        <x:v>Em atendimento</x:v>
      </x:c>
      <x:c r="F137" t="str">
        <x:v>Central de Atendimento</x:v>
      </x:c>
      <x:c r="G137" t="str">
        <x:v>E-108</x:v>
      </x:c>
      <x:c r="H137" t="str">
        <x:v>Elevador Social</x:v>
      </x:c>
      <x:c r="I137" t="str">
        <x:v>Microprocessado</x:v>
      </x:c>
      <x:c r="J137" t="str">
        <x:v>Gearless</x:v>
      </x:c>
      <x:c r="K137" t="str">
        <x:v>OTIS</x:v>
      </x:c>
      <x:c r="L137" t="str">
        <x:v>ROT-001</x:v>
      </x:c>
      <x:c r="M137" t="str">
        <x:v>Tração</x:v>
      </x:c>
      <x:c r="N137" t="str">
        <x:v>Freio</x:v>
      </x:c>
      <x:c r="O137" t="str">
        <x:v>Travamento</x:v>
      </x:c>
      <x:c r="P137" t="str">
        <x:v>Parada total</x:v>
      </x:c>
      <x:c r="Q137"/>
      <x:c r="R137" t="str">
        <x:v>Edifício Corporate</x:v>
      </x:c>
      <x:c r="S137" t="str">
        <x:v>Não</x:v>
      </x:c>
      <x:c r="T137" t="str">
        <x:v>Sim</x:v>
      </x:c>
      <x:c r="U137" t="str">
        <x:v>CT-2026-003</x:v>
      </x:c>
      <x:c r="V137" t="str">
        <x:v>SP-Oeste</x:v>
      </x:c>
      <x:c r="W137" t="str">
        <x:v>Ana Costa</x:v>
      </x:c>
      <x:c r="X137" t="str">
        <x:v>Supervisor A</x:v>
      </x:c>
      <x:c r="Y137" t="str">
        <x:v>Rota Oeste 03</x:v>
      </x:c>
      <x:c r="Z137" t="str">
        <x:v>Av. Faria Lima, 3500 - São Paulo/SP</x:v>
      </x:c>
      <x:c r="AA137" t="str">
        <x:v>São Paulo</x:v>
      </x:c>
      <x:c r="AB137" s="50" t="n">
        <x:v>46273.44097222222</x:v>
      </x:c>
      <x:c r="AC137" s="50" t="n">
        <x:v>46273.44305555556</x:v>
      </x:c>
      <x:c r="AD137" s="50" t="n">
        <x:v>46273.44930555556</x:v>
      </x:c>
      <x:c r="AE137" s="50" t="n">
        <x:v>46273.46875</x:v>
      </x:c>
      <x:c r="AF137" s="50"/>
      <x:c r="AG137" t="n">
        <x:v>40</x:v>
      </x:c>
      <x:c r="AH137"/>
      <x:c r="AI137" t="str">
        <x:v>Sim</x:v>
      </x:c>
      <x:c r="AJ137" t="str">
        <x:v>Sim</x:v>
      </x:c>
      <x:c r="AK137" t="n">
        <x:v>120</x:v>
      </x:c>
      <x:c r="AL137" t="n">
        <x:v>0</x:v>
      </x:c>
      <x:c r="AM137" s="64" t="n">
        <x:v>0.5833</x:v>
      </x:c>
      <x:c r="AN137" t="n">
        <x:v>2</x:v>
      </x:c>
      <x:c r="AO137" t="str">
        <x:v>Amarelo</x:v>
      </x:c>
      <x:c r="AP137" t="str">
        <x:v>atenção: tempo acumulado ≥ 55% do SLA</x:v>
      </x:c>
      <x:c r="AQ137" t="str">
        <x:v>Acompanhar sinais em Tração; correlacionar histórico e SLA antes de recomendar intervenção.</x:v>
      </x:c>
      <x:c r="AR137" s="62" t="n">
        <x:v>1162.5</x:v>
      </x:c>
      <x:c r="AS137" t="str">
        <x:v>Médio</x:v>
      </x:c>
      <x:c r="AT137" s="50" t="n">
        <x:v>46273.489583333336</x:v>
      </x:c>
      <x:c r="AU137" t="str">
        <x:v>T05</x:v>
      </x:c>
      <x:c r="AV137" t="str">
        <x:v>Ocorrência adicional sintética; perfil inspirado em CH-20260908-009</x:v>
      </x:c>
    </x:row>
    <x:row r="138">
      <x:c r="A138" t="str">
        <x:v>CH-20260908-030</x:v>
      </x:c>
      <x:c r="B138" t="str">
        <x:v>Parada Intermitente</x:v>
      </x:c>
      <x:c r="C138" t="str">
        <x:v>Paradas aleatórias</x:v>
      </x:c>
      <x:c r="D138" t="str">
        <x:v>Equipamento interrompe operação de forma intermitente.</x:v>
      </x:c>
      <x:c r="E138" t="str">
        <x:v>Em atendimento</x:v>
      </x:c>
      <x:c r="F138" t="str">
        <x:v>Monitoramento Remoto</x:v>
      </x:c>
      <x:c r="G138" t="str">
        <x:v>E-130</x:v>
      </x:c>
      <x:c r="H138" t="str">
        <x:v>Elevador Social</x:v>
      </x:c>
      <x:c r="I138" t="str">
        <x:v>Microprocessado</x:v>
      </x:c>
      <x:c r="J138" t="str">
        <x:v>Gearless</x:v>
      </x:c>
      <x:c r="K138" t="str">
        <x:v>OTIS</x:v>
      </x:c>
      <x:c r="L138" t="str">
        <x:v>ROT-074</x:v>
      </x:c>
      <x:c r="M138" t="str">
        <x:v>Painel/Comando</x:v>
      </x:c>
      <x:c r="N138" t="str">
        <x:v>Placa</x:v>
      </x:c>
      <x:c r="O138" t="str">
        <x:v>Intermitência</x:v>
      </x:c>
      <x:c r="P138" t="str">
        <x:v>Falha intermitente</x:v>
      </x:c>
      <x:c r="Q138"/>
      <x:c r="R138" t="str">
        <x:v>Condomínio Alameda</x:v>
      </x:c>
      <x:c r="S138" t="str">
        <x:v>Não</x:v>
      </x:c>
      <x:c r="T138" t="str">
        <x:v>Não</x:v>
      </x:c>
      <x:c r="U138" t="str">
        <x:v>CT-2026-004</x:v>
      </x:c>
      <x:c r="V138" t="str">
        <x:v>SP-Sul</x:v>
      </x:c>
      <x:c r="W138" t="str">
        <x:v>Carlos Souza</x:v>
      </x:c>
      <x:c r="X138" t="str">
        <x:v>Supervisor D</x:v>
      </x:c>
      <x:c r="Y138" t="str">
        <x:v>Rota Sul 04</x:v>
      </x:c>
      <x:c r="Z138" t="str">
        <x:v>R. das Acácias, 420 - São Paulo/SP</x:v>
      </x:c>
      <x:c r="AA138" t="str">
        <x:v>São Paulo</x:v>
      </x:c>
      <x:c r="AB138" s="50" t="n">
        <x:v>46273.450694444444</x:v>
      </x:c>
      <x:c r="AC138" s="50" t="n">
        <x:v>46273.45347222222</x:v>
      </x:c>
      <x:c r="AD138" s="50" t="n">
        <x:v>46273.45625</x:v>
      </x:c>
      <x:c r="AE138" s="50" t="n">
        <x:v>46273.4875</x:v>
      </x:c>
      <x:c r="AF138" s="50"/>
      <x:c r="AG138" t="n">
        <x:v>53</x:v>
      </x:c>
      <x:c r="AH138"/>
      <x:c r="AI138" t="str">
        <x:v>Não</x:v>
      </x:c>
      <x:c r="AJ138" t="str">
        <x:v>Sim</x:v>
      </x:c>
      <x:c r="AK138" t="n">
        <x:v>180</x:v>
      </x:c>
      <x:c r="AL138" t="n">
        <x:v>0</x:v>
      </x:c>
      <x:c r="AM138" s="64" t="n">
        <x:v>0.3111</x:v>
      </x:c>
      <x:c r="AN138" t="n">
        <x:v>4</x:v>
      </x:c>
      <x:c r="AO138" t="str">
        <x:v>Laranja</x:v>
      </x:c>
      <x:c r="AP138" t="str">
        <x:v>janela de intervenção: recorrência ≥ 4/30d e equipamento parado</x:v>
      </x:c>
      <x:c r="AQ138" t="str">
        <x:v>Janela de intervenção em Painel/Comando; revisar recorrências (4/30d) e contexto antes de escalar.</x:v>
      </x:c>
      <x:c r="AR138" s="62" t="n">
        <x:v>1795</x:v>
      </x:c>
      <x:c r="AS138" t="str">
        <x:v>Alto</x:v>
      </x:c>
      <x:c r="AT138" s="50" t="n">
        <x:v>46273.489583333336</x:v>
      </x:c>
      <x:c r="AU138" t="str">
        <x:v>T05</x:v>
      </x:c>
      <x:c r="AV138" t="str">
        <x:v>Ocorrência adicional sintética; perfil inspirado em CH-20260908-016</x:v>
      </x:c>
    </x:row>
    <x:row r="139">
      <x:c r="A139" t="str">
        <x:v>CH-20260908-031</x:v>
      </x:c>
      <x:c r="B139" t="str">
        <x:v>Botão de Chamada</x:v>
      </x:c>
      <x:c r="C139" t="str">
        <x:v>Botão não responde</x:v>
      </x:c>
      <x:c r="D139" t="str">
        <x:v>Botão de chamada não registra comando.</x:v>
      </x:c>
      <x:c r="E139" t="str">
        <x:v>Técnico a caminho</x:v>
      </x:c>
      <x:c r="F139" t="str">
        <x:v>Aplicativo Cliente</x:v>
      </x:c>
      <x:c r="G139" t="str">
        <x:v>E-131</x:v>
      </x:c>
      <x:c r="H139" t="str">
        <x:v>Elevador Social</x:v>
      </x:c>
      <x:c r="I139" t="str">
        <x:v>Microprocessado</x:v>
      </x:c>
      <x:c r="J139" t="str">
        <x:v>Gearless</x:v>
      </x:c>
      <x:c r="K139" t="str">
        <x:v>OTIS</x:v>
      </x:c>
      <x:c r="L139" t="str">
        <x:v>ROT-063</x:v>
      </x:c>
      <x:c r="M139" t="str">
        <x:v>Botoeira</x:v>
      </x:c>
      <x:c r="N139" t="str">
        <x:v>Contato</x:v>
      </x:c>
      <x:c r="O139" t="str">
        <x:v>Mau contato</x:v>
      </x:c>
      <x:c r="P139" t="str">
        <x:v>Falha de comando</x:v>
      </x:c>
      <x:c r="Q139"/>
      <x:c r="R139" t="str">
        <x:v>Aeroporto Terminal 3</x:v>
      </x:c>
      <x:c r="S139" t="str">
        <x:v>Sim</x:v>
      </x:c>
      <x:c r="T139" t="str">
        <x:v>Sim</x:v>
      </x:c>
      <x:c r="U139" t="str">
        <x:v>CT-2026-005</x:v>
      </x:c>
      <x:c r="V139" t="str">
        <x:v>GRU</x:v>
      </x:c>
      <x:c r="W139" t="str">
        <x:v>Renata Alves</x:v>
      </x:c>
      <x:c r="X139" t="str">
        <x:v>Supervisor C</x:v>
      </x:c>
      <x:c r="Y139" t="str">
        <x:v>Rota GRU 05</x:v>
      </x:c>
      <x:c r="Z139" t="str">
        <x:v>Rod. Hélio Smidt, s/n - Guarulhos/SP</x:v>
      </x:c>
      <x:c r="AA139" t="str">
        <x:v>São Paulo</x:v>
      </x:c>
      <x:c r="AB139" s="50" t="n">
        <x:v>46273.461805555555</x:v>
      </x:c>
      <x:c r="AC139" s="50" t="n">
        <x:v>46273.46527777778</x:v>
      </x:c>
      <x:c r="AD139" s="50" t="n">
        <x:v>46273.46875</x:v>
      </x:c>
      <x:c r="AE139" s="50"/>
      <x:c r="AF139" s="50"/>
      <x:c r="AG139"/>
      <x:c r="AH139"/>
      <x:c r="AI139" t="str">
        <x:v>Não</x:v>
      </x:c>
      <x:c r="AJ139" t="str">
        <x:v>Não</x:v>
      </x:c>
      <x:c r="AK139" t="n">
        <x:v>45</x:v>
      </x:c>
      <x:c r="AL139" t="n">
        <x:v>26</x:v>
      </x:c>
      <x:c r="AM139" s="64" t="n">
        <x:v>0.8889</x:v>
      </x:c>
      <x:c r="AN139" t="n">
        <x:v>2</x:v>
      </x:c>
      <x:c r="AO139" t="str">
        <x:v>Laranja</x:v>
      </x:c>
      <x:c r="AP139" t="str">
        <x:v>janela de intervenção: tempo acumulado ≥ 80% do SLA</x:v>
      </x:c>
      <x:c r="AQ139" t="str">
        <x:v>Janela de intervenção em Botoeira; revisar recorrências (2/30d) e contexto antes de escalar.</x:v>
      </x:c>
      <x:c r="AR139" s="62" t="n">
        <x:v>814.5</x:v>
      </x:c>
      <x:c r="AS139" t="str">
        <x:v>Baixo</x:v>
      </x:c>
      <x:c r="AT139" s="50" t="n">
        <x:v>46273.489583333336</x:v>
      </x:c>
      <x:c r="AU139" t="str">
        <x:v>T05</x:v>
      </x:c>
      <x:c r="AV139" t="str">
        <x:v>Ocorrência adicional sintética; perfil inspirado em CH-20260908-023</x:v>
      </x:c>
    </x:row>
    <x:row r="140">
      <x:c r="A140" t="str">
        <x:v>CH-20260908-032</x:v>
      </x:c>
      <x:c r="B140" t="str">
        <x:v>Iluminação de Cabine</x:v>
      </x:c>
      <x:c r="C140" t="str">
        <x:v>Iluminação inoperante</x:v>
      </x:c>
      <x:c r="D140" t="str">
        <x:v>Cabine com iluminação parcial ou total indisponível.</x:v>
      </x:c>
      <x:c r="E140" t="str">
        <x:v>Em atendimento</x:v>
      </x:c>
      <x:c r="F140" t="str">
        <x:v>IoT</x:v>
      </x:c>
      <x:c r="G140" t="str">
        <x:v>E-132</x:v>
      </x:c>
      <x:c r="H140" t="str">
        <x:v>Elevador Social</x:v>
      </x:c>
      <x:c r="I140" t="str">
        <x:v>Microprocessado</x:v>
      </x:c>
      <x:c r="J140" t="str">
        <x:v>Gearless</x:v>
      </x:c>
      <x:c r="K140" t="str">
        <x:v>OTIS</x:v>
      </x:c>
      <x:c r="L140" t="str">
        <x:v>ROT-052</x:v>
      </x:c>
      <x:c r="M140" t="str">
        <x:v>Elétrica</x:v>
      </x:c>
      <x:c r="N140" t="str">
        <x:v>Fonte</x:v>
      </x:c>
      <x:c r="O140" t="str">
        <x:v>Sem alimentação</x:v>
      </x:c>
      <x:c r="P140" t="str">
        <x:v>Falha elétrica</x:v>
      </x:c>
      <x:c r="Q140"/>
      <x:c r="R140" t="str">
        <x:v>Universidade Central</x:v>
      </x:c>
      <x:c r="S140" t="str">
        <x:v>Não</x:v>
      </x:c>
      <x:c r="T140" t="str">
        <x:v>Sim</x:v>
      </x:c>
      <x:c r="U140" t="str">
        <x:v>CT-2026-006</x:v>
      </x:c>
      <x:c r="V140" t="str">
        <x:v>SP-Leste</x:v>
      </x:c>
      <x:c r="W140" t="str">
        <x:v>Paulo Mendes</x:v>
      </x:c>
      <x:c r="X140" t="str">
        <x:v>Supervisor B</x:v>
      </x:c>
      <x:c r="Y140" t="str">
        <x:v>Rota Leste 06</x:v>
      </x:c>
      <x:c r="Z140" t="str">
        <x:v>Av. Central, 850 - São Paulo/SP</x:v>
      </x:c>
      <x:c r="AA140" t="str">
        <x:v>São Paulo</x:v>
      </x:c>
      <x:c r="AB140" s="50" t="n">
        <x:v>46273.46875</x:v>
      </x:c>
      <x:c r="AC140" s="50" t="n">
        <x:v>46273.470138888886</x:v>
      </x:c>
      <x:c r="AD140" s="50" t="n">
        <x:v>46273.47430555556</x:v>
      </x:c>
      <x:c r="AE140" s="50" t="n">
        <x:v>46273.48819444444</x:v>
      </x:c>
      <x:c r="AF140" s="50"/>
      <x:c r="AG140" t="n">
        <x:v>28</x:v>
      </x:c>
      <x:c r="AH140"/>
      <x:c r="AI140" t="str">
        <x:v>Não</x:v>
      </x:c>
      <x:c r="AJ140" t="str">
        <x:v>Não</x:v>
      </x:c>
      <x:c r="AK140" t="n">
        <x:v>120</x:v>
      </x:c>
      <x:c r="AL140" t="n">
        <x:v>0</x:v>
      </x:c>
      <x:c r="AM140" s="64" t="n">
        <x:v>0.25</x:v>
      </x:c>
      <x:c r="AN140" t="n">
        <x:v>0</x:v>
      </x:c>
      <x:c r="AO140" t="str">
        <x:v>Verde</x:v>
      </x:c>
      <x:c r="AP140" t="str">
        <x:v>operação dentro dos limiares sintéticos da demonstração</x:v>
      </x:c>
      <x:c r="AQ140" t="str">
        <x:v>Manter acompanhamento do componente Elétrica e dos indicadores operacionais.</x:v>
      </x:c>
      <x:c r="AR140" s="62" t="n">
        <x:v>507</x:v>
      </x:c>
      <x:c r="AS140" t="str">
        <x:v>Baixo</x:v>
      </x:c>
      <x:c r="AT140" s="50" t="n">
        <x:v>46273.489583333336</x:v>
      </x:c>
      <x:c r="AU140" t="str">
        <x:v>T05</x:v>
      </x:c>
      <x:c r="AV140" t="str">
        <x:v>Ocorrência adicional sintética; perfil inspirado em CH-20260908-006</x:v>
      </x:c>
    </x:row>
    <x:row r="141">
      <x:c r="A141" t="str">
        <x:v>CH-20260908-033</x:v>
      </x:c>
      <x:c r="B141" t="str">
        <x:v>Falha de Tração</x:v>
      </x:c>
      <x:c r="C141" t="str">
        <x:v>Movimento irregular</x:v>
      </x:c>
      <x:c r="D141" t="str">
        <x:v>Equipamento apresenta perda de tração.</x:v>
      </x:c>
      <x:c r="E141" t="str">
        <x:v>Técnico a caminho</x:v>
      </x:c>
      <x:c r="F141" t="str">
        <x:v>Central de Atendimento</x:v>
      </x:c>
      <x:c r="G141" t="str">
        <x:v>E-133</x:v>
      </x:c>
      <x:c r="H141" t="str">
        <x:v>Elevador Social</x:v>
      </x:c>
      <x:c r="I141" t="str">
        <x:v>Microprocessado</x:v>
      </x:c>
      <x:c r="J141" t="str">
        <x:v>Gearless</x:v>
      </x:c>
      <x:c r="K141" t="str">
        <x:v>OTIS</x:v>
      </x:c>
      <x:c r="L141" t="str">
        <x:v>ROT-041</x:v>
      </x:c>
      <x:c r="M141" t="str">
        <x:v>Máquina de Tração</x:v>
      </x:c>
      <x:c r="N141" t="str">
        <x:v>Inversor</x:v>
      </x:c>
      <x:c r="O141" t="str">
        <x:v>Oscilação</x:v>
      </x:c>
      <x:c r="P141" t="str">
        <x:v>Falha de movimento</x:v>
      </x:c>
      <x:c r="Q141"/>
      <x:c r="R141" t="str">
        <x:v>Hospital São Paulo</x:v>
      </x:c>
      <x:c r="S141" t="str">
        <x:v>Sim</x:v>
      </x:c>
      <x:c r="T141" t="str">
        <x:v>Sim</x:v>
      </x:c>
      <x:c r="U141" t="str">
        <x:v>CT-2026-001</x:v>
      </x:c>
      <x:c r="V141" t="str">
        <x:v>SP-Centro</x:v>
      </x:c>
      <x:c r="W141" t="str">
        <x:v>João Silva</x:v>
      </x:c>
      <x:c r="X141" t="str">
        <x:v>Supervisor A</x:v>
      </x:c>
      <x:c r="Y141" t="str">
        <x:v>Rota Centro 01</x:v>
      </x:c>
      <x:c r="Z141" t="str">
        <x:v>Av. Paulista, 1000 - São Paulo/SP</x:v>
      </x:c>
      <x:c r="AA141" t="str">
        <x:v>São Paulo</x:v>
      </x:c>
      <x:c r="AB141" s="50" t="n">
        <x:v>46273.47638888889</x:v>
      </x:c>
      <x:c r="AC141" s="50" t="n">
        <x:v>46273.478472222225</x:v>
      </x:c>
      <x:c r="AD141" s="50" t="n">
        <x:v>46273.48333333333</x:v>
      </x:c>
      <x:c r="AE141" s="50"/>
      <x:c r="AF141" s="50"/>
      <x:c r="AG141"/>
      <x:c r="AH141"/>
      <x:c r="AI141" t="str">
        <x:v>Não</x:v>
      </x:c>
      <x:c r="AJ141" t="str">
        <x:v>Sim</x:v>
      </x:c>
      <x:c r="AK141" t="n">
        <x:v>60</x:v>
      </x:c>
      <x:c r="AL141" t="n">
        <x:v>22</x:v>
      </x:c>
      <x:c r="AM141" s="64" t="n">
        <x:v>0.3167</x:v>
      </x:c>
      <x:c r="AN141" t="n">
        <x:v>1</x:v>
      </x:c>
      <x:c r="AO141" t="str">
        <x:v>Amarelo</x:v>
      </x:c>
      <x:c r="AP141" t="str">
        <x:v>atenção: condição operacional sensível</x:v>
      </x:c>
      <x:c r="AQ141" t="str">
        <x:v>Acompanhar sinais em Máquina de Tração; correlacionar histórico e SLA antes de recomendar intervenção.</x:v>
      </x:c>
      <x:c r="AR141" s="62" t="n">
        <x:v>1123.5</x:v>
      </x:c>
      <x:c r="AS141" t="str">
        <x:v>Médio</x:v>
      </x:c>
      <x:c r="AT141" s="50" t="n">
        <x:v>46273.489583333336</x:v>
      </x:c>
      <x:c r="AU141" t="str">
        <x:v>T05</x:v>
      </x:c>
      <x:c r="AV141" t="str">
        <x:v>Ocorrência adicional sintética; perfil inspirado em CH-20260908-013</x:v>
      </x:c>
    </x:row>
    <x:row r="142">
      <x:c r="A142" t="str">
        <x:v>CH-20260908-034</x:v>
      </x:c>
      <x:c r="B142" t="str">
        <x:v>Painel sem comunicação</x:v>
      </x:c>
      <x:c r="C142" t="str">
        <x:v>Falha de comunicação</x:v>
      </x:c>
      <x:c r="D142" t="str">
        <x:v>Painel não responde aos comandos.</x:v>
      </x:c>
      <x:c r="E142" t="str">
        <x:v>Contactado</x:v>
      </x:c>
      <x:c r="F142" t="str">
        <x:v>Monitoramento Remoto</x:v>
      </x:c>
      <x:c r="G142" t="str">
        <x:v>E-134</x:v>
      </x:c>
      <x:c r="H142" t="str">
        <x:v>Elevador Social</x:v>
      </x:c>
      <x:c r="I142" t="str">
        <x:v>Microprocessado</x:v>
      </x:c>
      <x:c r="J142" t="str">
        <x:v>Gearless</x:v>
      </x:c>
      <x:c r="K142" t="str">
        <x:v>OTIS</x:v>
      </x:c>
      <x:c r="L142" t="str">
        <x:v>ROT-033</x:v>
      </x:c>
      <x:c r="M142" t="str">
        <x:v>Painel/Comando</x:v>
      </x:c>
      <x:c r="N142" t="str">
        <x:v>Interface</x:v>
      </x:c>
      <x:c r="O142" t="str">
        <x:v>Sem comunicação</x:v>
      </x:c>
      <x:c r="P142" t="str">
        <x:v>Falha lógica</x:v>
      </x:c>
      <x:c r="Q142"/>
      <x:c r="R142" t="str">
        <x:v>Shopping Center Norte</x:v>
      </x:c>
      <x:c r="S142" t="str">
        <x:v>Não</x:v>
      </x:c>
      <x:c r="T142" t="str">
        <x:v>Sim</x:v>
      </x:c>
      <x:c r="U142" t="str">
        <x:v>CT-2026-002</x:v>
      </x:c>
      <x:c r="V142" t="str">
        <x:v>SP-Norte</x:v>
      </x:c>
      <x:c r="W142" t="str">
        <x:v>Marcos Lima</x:v>
      </x:c>
      <x:c r="X142" t="str">
        <x:v>Supervisor D</x:v>
      </x:c>
      <x:c r="Y142" t="str">
        <x:v>Rota Norte 02</x:v>
      </x:c>
      <x:c r="Z142" t="str">
        <x:v>Av. Otto Baumgart, 245 - São Paulo/SP</x:v>
      </x:c>
      <x:c r="AA142" t="str">
        <x:v>São Paulo</x:v>
      </x:c>
      <x:c r="AB142" s="50" t="n">
        <x:v>46273.48402777778</x:v>
      </x:c>
      <x:c r="AC142" s="50" t="n">
        <x:v>46273.486805555556</x:v>
      </x:c>
      <x:c r="AD142" s="50"/>
      <x:c r="AE142" s="50"/>
      <x:c r="AF142" s="50"/>
      <x:c r="AG142"/>
      <x:c r="AH142"/>
      <x:c r="AI142" t="str">
        <x:v>Não</x:v>
      </x:c>
      <x:c r="AJ142" t="str">
        <x:v>Não</x:v>
      </x:c>
      <x:c r="AK142" t="n">
        <x:v>90</x:v>
      </x:c>
      <x:c r="AL142" t="n">
        <x:v>46</x:v>
      </x:c>
      <x:c r="AM142" s="64" t="n">
        <x:v>0.0889</x:v>
      </x:c>
      <x:c r="AN142" t="n">
        <x:v>3</x:v>
      </x:c>
      <x:c r="AO142" t="str">
        <x:v>Amarelo</x:v>
      </x:c>
      <x:c r="AP142" t="str">
        <x:v>atenção: recorrências em 30 dias</x:v>
      </x:c>
      <x:c r="AQ142" t="str">
        <x:v>Acompanhar sinais em Painel/Comando; correlacionar histórico e SLA antes de recomendar intervenção.</x:v>
      </x:c>
      <x:c r="AR142" s="62" t="n">
        <x:v>1484</x:v>
      </x:c>
      <x:c r="AS142" t="str">
        <x:v>Alto</x:v>
      </x:c>
      <x:c r="AT142" s="50" t="n">
        <x:v>46273.489583333336</x:v>
      </x:c>
      <x:c r="AU142" t="str">
        <x:v>T05</x:v>
      </x:c>
      <x:c r="AV142" t="str">
        <x:v>Ocorrência adicional sintética; perfil inspirado em CH-20260908-020</x:v>
      </x:c>
    </x:row>
    <x:row r="143">
      <x:c r="A143" t="str">
        <x:v>CH-20260908-001</x:v>
      </x:c>
      <x:c r="B143" t="str">
        <x:v>Passageiro Preso</x:v>
      </x:c>
      <x:c r="C143" t="str">
        <x:v>Elevador parado entre andares</x:v>
      </x:c>
      <x:c r="D143" t="str">
        <x:v>Cabine imobilizada com passageiro no interior.</x:v>
      </x:c>
      <x:c r="E143" t="str">
        <x:v>Concluído</x:v>
      </x:c>
      <x:c r="F143" t="str">
        <x:v>Central de Atendimento</x:v>
      </x:c>
      <x:c r="G143" t="str">
        <x:v>E-101</x:v>
      </x:c>
      <x:c r="H143" t="str">
        <x:v>Elevador Social</x:v>
      </x:c>
      <x:c r="I143" t="str">
        <x:v>Microprocessado</x:v>
      </x:c>
      <x:c r="J143" t="str">
        <x:v>Gearless</x:v>
      </x:c>
      <x:c r="K143" t="str">
        <x:v>OTIS</x:v>
      </x:c>
      <x:c r="L143" t="str">
        <x:v>ROT-001</x:v>
      </x:c>
      <x:c r="M143" t="str">
        <x:v>Tração</x:v>
      </x:c>
      <x:c r="N143" t="str">
        <x:v>Freio</x:v>
      </x:c>
      <x:c r="O143" t="str">
        <x:v>Travamento</x:v>
      </x:c>
      <x:c r="P143" t="str">
        <x:v>Parada total</x:v>
      </x:c>
      <x:c r="Q143" t="str">
        <x:v>Resgate concluído e equipamento normalizado</x:v>
      </x:c>
      <x:c r="R143" t="str">
        <x:v>Hospital São Paulo</x:v>
      </x:c>
      <x:c r="S143" t="str">
        <x:v>Sim</x:v>
      </x:c>
      <x:c r="T143" t="str">
        <x:v>Sim</x:v>
      </x:c>
      <x:c r="U143" t="str">
        <x:v>CT-2026-001</x:v>
      </x:c>
      <x:c r="V143" t="str">
        <x:v>SP-Centro</x:v>
      </x:c>
      <x:c r="W143" t="str">
        <x:v>João Silva</x:v>
      </x:c>
      <x:c r="X143" t="str">
        <x:v>Supervisor A</x:v>
      </x:c>
      <x:c r="Y143" t="str">
        <x:v>Rota Centro 01</x:v>
      </x:c>
      <x:c r="Z143" t="str">
        <x:v>Av. Paulista, 1000 - São Paulo/SP</x:v>
      </x:c>
      <x:c r="AA143" t="str">
        <x:v>São Paulo</x:v>
      </x:c>
      <x:c r="AB143" s="50" t="n">
        <x:v>46273.3055555556</x:v>
      </x:c>
      <x:c r="AC143" s="50" t="n">
        <x:v>46273.3076388889</x:v>
      </x:c>
      <x:c r="AD143" s="50" t="n">
        <x:v>46273.3104166667</x:v>
      </x:c>
      <x:c r="AE143" s="50" t="n">
        <x:v>46273.3201388889</x:v>
      </x:c>
      <x:c r="AF143" s="50" t="n">
        <x:v>46273.3430555556</x:v>
      </x:c>
      <x:c r="AG143" t="n">
        <x:v>21</x:v>
      </x:c>
      <x:c r="AH143" t="n">
        <x:v>28</x:v>
      </x:c>
      <x:c r="AI143" t="str">
        <x:v>Sim</x:v>
      </x:c>
      <x:c r="AJ143" t="str">
        <x:v>Sim</x:v>
      </x:c>
      <x:c r="AK143" t="n">
        <x:v>60</x:v>
      </x:c>
      <x:c r="AL143" t="n">
        <x:v>0</x:v>
      </x:c>
      <x:c r="AM143" s="64" t="n">
        <x:v>0.8167</x:v>
      </x:c>
      <x:c r="AN143" t="n">
        <x:v>0</x:v>
      </x:c>
      <x:c r="AO143" t="str">
        <x:v>Amarelo</x:v>
      </x:c>
      <x:c r="AP143" t="str">
        <x:v>passageiro preso; SLA acima de 80%; carro parado</x:v>
      </x:c>
      <x:c r="AQ143" t="str">
        <x:v>Sem recorrência relevante; acompanhar evolução de Tração.</x:v>
      </x:c>
      <x:c r="AR143" s="62" t="n">
        <x:v>882</x:v>
      </x:c>
      <x:c r="AS143" t="str">
        <x:v>Médio</x:v>
      </x:c>
      <x:c r="AT143" s="50" t="n">
        <x:v>46273.520833333336</x:v>
      </x:c>
      <x:c r="AU143" t="str">
        <x:v>T06</x:v>
      </x:c>
      <x:c r="AV143" t="str">
        <x:v>T2 original + evolução sintética posterior</x:v>
      </x:c>
    </x:row>
    <x:row r="144">
      <x:c r="A144" t="str">
        <x:v>CH-20260908-002</x:v>
      </x:c>
      <x:c r="B144" t="str">
        <x:v>Falha de Nivelamento</x:v>
      </x:c>
      <x:c r="C144" t="str">
        <x:v>Cabine desnivelada</x:v>
      </x:c>
      <x:c r="D144" t="str">
        <x:v>Cabine parou fora do nível do pavimento.</x:v>
      </x:c>
      <x:c r="E144" t="str">
        <x:v>Concluído</x:v>
      </x:c>
      <x:c r="F144" t="str">
        <x:v>IoT</x:v>
      </x:c>
      <x:c r="G144" t="str">
        <x:v>E-102</x:v>
      </x:c>
      <x:c r="H144" t="str">
        <x:v>Elevador Social</x:v>
      </x:c>
      <x:c r="I144" t="str">
        <x:v>Microprocessado</x:v>
      </x:c>
      <x:c r="J144" t="str">
        <x:v>Gearless</x:v>
      </x:c>
      <x:c r="K144" t="str">
        <x:v>OTIS</x:v>
      </x:c>
      <x:c r="L144" t="str">
        <x:v>ROT-014</x:v>
      </x:c>
      <x:c r="M144" t="str">
        <x:v>Sensor de Nível</x:v>
      </x:c>
      <x:c r="N144" t="str">
        <x:v>Sensor</x:v>
      </x:c>
      <x:c r="O144" t="str">
        <x:v>Leitura inconsistente</x:v>
      </x:c>
      <x:c r="P144" t="str">
        <x:v>Falha de nivelamento</x:v>
      </x:c>
      <x:c r="Q144" t="str">
        <x:v>Sensor ajustado/substituído</x:v>
      </x:c>
      <x:c r="R144" t="str">
        <x:v>Shopping Center Norte</x:v>
      </x:c>
      <x:c r="S144" t="str">
        <x:v>Não</x:v>
      </x:c>
      <x:c r="T144" t="str">
        <x:v>Sim</x:v>
      </x:c>
      <x:c r="U144" t="str">
        <x:v>CT-2026-002</x:v>
      </x:c>
      <x:c r="V144" t="str">
        <x:v>SP-Norte</x:v>
      </x:c>
      <x:c r="W144" t="str">
        <x:v>Marcos Lima</x:v>
      </x:c>
      <x:c r="X144" t="str">
        <x:v>Supervisor B</x:v>
      </x:c>
      <x:c r="Y144" t="str">
        <x:v>Rota Norte 02</x:v>
      </x:c>
      <x:c r="Z144" t="str">
        <x:v>Av. Otto Baumgart, 245 - São Paulo/SP</x:v>
      </x:c>
      <x:c r="AA144" t="str">
        <x:v>São Paulo</x:v>
      </x:c>
      <x:c r="AB144" s="50" t="n">
        <x:v>46273.3090277778</x:v>
      </x:c>
      <x:c r="AC144" s="50" t="n">
        <x:v>46273.3118055556</x:v>
      </x:c>
      <x:c r="AD144" s="50" t="n">
        <x:v>46273.3159722222</x:v>
      </x:c>
      <x:c r="AE144" s="50" t="n">
        <x:v>46273.3340277778</x:v>
      </x:c>
      <x:c r="AF144" s="50" t="n">
        <x:v>46273.3652777778</x:v>
      </x:c>
      <x:c r="AG144" t="n">
        <x:v>36</x:v>
      </x:c>
      <x:c r="AH144" t="n">
        <x:v>40</x:v>
      </x:c>
      <x:c r="AI144" t="str">
        <x:v>Não</x:v>
      </x:c>
      <x:c r="AJ144" t="str">
        <x:v>Não</x:v>
      </x:c>
      <x:c r="AK144" t="n">
        <x:v>90</x:v>
      </x:c>
      <x:c r="AL144" t="n">
        <x:v>0</x:v>
      </x:c>
      <x:c r="AM144" s="64" t="n">
        <x:v>0.8444</x:v>
      </x:c>
      <x:c r="AN144" t="n">
        <x:v>1</x:v>
      </x:c>
      <x:c r="AO144" t="str">
        <x:v>Amarelo</x:v>
      </x:c>
      <x:c r="AP144" t="str">
        <x:v>SLA acima de 80%</x:v>
      </x:c>
      <x:c r="AQ144" t="str">
        <x:v>Há ocorrência recente semelhante; comparar solução anterior de Sensor de Nível.</x:v>
      </x:c>
      <x:c r="AR144" s="62" t="n">
        <x:v>664</x:v>
      </x:c>
      <x:c r="AS144" t="str">
        <x:v>Baixo</x:v>
      </x:c>
      <x:c r="AT144" s="50" t="n">
        <x:v>46273.520833333336</x:v>
      </x:c>
      <x:c r="AU144" t="str">
        <x:v>T06</x:v>
      </x:c>
      <x:c r="AV144" t="str">
        <x:v>T2 original + evolução sintética posterior</x:v>
      </x:c>
    </x:row>
    <x:row r="145">
      <x:c r="A145" t="str">
        <x:v>CH-20260908-003</x:v>
      </x:c>
      <x:c r="B145" t="str">
        <x:v>Porta não fecha</x:v>
      </x:c>
      <x:c r="C145" t="str">
        <x:v>Falha no fechamento</x:v>
      </x:c>
      <x:c r="D145" t="str">
        <x:v>Porta permanece aberta e impede partida.</x:v>
      </x:c>
      <x:c r="E145" t="str">
        <x:v>Concluído</x:v>
      </x:c>
      <x:c r="F145" t="str">
        <x:v>Aplicativo Cliente</x:v>
      </x:c>
      <x:c r="G145" t="str">
        <x:v>E-103</x:v>
      </x:c>
      <x:c r="H145" t="str">
        <x:v>Elevador Social</x:v>
      </x:c>
      <x:c r="I145" t="str">
        <x:v>Microprocessado</x:v>
      </x:c>
      <x:c r="J145" t="str">
        <x:v>Gearless</x:v>
      </x:c>
      <x:c r="K145" t="str">
        <x:v>OTIS</x:v>
      </x:c>
      <x:c r="L145" t="str">
        <x:v>ROT-021</x:v>
      </x:c>
      <x:c r="M145" t="str">
        <x:v>Operador de Porta</x:v>
      </x:c>
      <x:c r="N145" t="str">
        <x:v>Sensor de porta</x:v>
      </x:c>
      <x:c r="O145" t="str">
        <x:v>Falha de leitura</x:v>
      </x:c>
      <x:c r="P145" t="str">
        <x:v>Porta aberta</x:v>
      </x:c>
      <x:c r="Q145" t="str">
        <x:v>Sensor de porta ajustado</x:v>
      </x:c>
      <x:c r="R145" t="str">
        <x:v>Edifício Corporate</x:v>
      </x:c>
      <x:c r="S145" t="str">
        <x:v>Não</x:v>
      </x:c>
      <x:c r="T145" t="str">
        <x:v>Sim</x:v>
      </x:c>
      <x:c r="U145" t="str">
        <x:v>CT-2026-003</x:v>
      </x:c>
      <x:c r="V145" t="str">
        <x:v>SP-Oeste</x:v>
      </x:c>
      <x:c r="W145" t="str">
        <x:v>Ana Costa</x:v>
      </x:c>
      <x:c r="X145" t="str">
        <x:v>Supervisor C</x:v>
      </x:c>
      <x:c r="Y145" t="str">
        <x:v>Rota Oeste 03</x:v>
      </x:c>
      <x:c r="Z145" t="str">
        <x:v>Av. Faria Lima, 3500 - São Paulo/SP</x:v>
      </x:c>
      <x:c r="AA145" t="str">
        <x:v>São Paulo</x:v>
      </x:c>
      <x:c r="AB145" s="50" t="n">
        <x:v>46273.3118055556</x:v>
      </x:c>
      <x:c r="AC145" s="50" t="n">
        <x:v>46273.3152777778</x:v>
      </x:c>
      <x:c r="AD145" s="50" t="n">
        <x:v>46273.3166666667</x:v>
      </x:c>
      <x:c r="AE145" s="50" t="n">
        <x:v>46273.3395833333</x:v>
      </x:c>
      <x:c r="AF145" s="50" t="n">
        <x:v>46273.3784722222</x:v>
      </x:c>
      <x:c r="AG145" t="n">
        <x:v>40</x:v>
      </x:c>
      <x:c r="AH145" t="n">
        <x:v>51</x:v>
      </x:c>
      <x:c r="AI145" t="str">
        <x:v>Não</x:v>
      </x:c>
      <x:c r="AJ145" t="str">
        <x:v>Não</x:v>
      </x:c>
      <x:c r="AK145" t="n">
        <x:v>120</x:v>
      </x:c>
      <x:c r="AL145" t="n">
        <x:v>0</x:v>
      </x:c>
      <x:c r="AM145" s="64" t="n">
        <x:v>0.7583</x:v>
      </x:c>
      <x:c r="AN145" t="n">
        <x:v>2</x:v>
      </x:c>
      <x:c r="AO145" t="str">
        <x:v>Amarelo</x:v>
      </x:c>
      <x:c r="AP145" t="str">
        <x:v>2 recorrências/30d; SLA acima de 55%</x:v>
      </x:c>
      <x:c r="AQ145" t="str">
        <x:v>Há ocorrência recente semelhante; comparar solução anterior de Operador de Porta.</x:v>
      </x:c>
      <x:c r="AR145" s="62" t="n">
        <x:v>769</x:v>
      </x:c>
      <x:c r="AS145" t="str">
        <x:v>Médio</x:v>
      </x:c>
      <x:c r="AT145" s="50" t="n">
        <x:v>46273.520833333336</x:v>
      </x:c>
      <x:c r="AU145" t="str">
        <x:v>T06</x:v>
      </x:c>
      <x:c r="AV145" t="str">
        <x:v>T2 original + evolução sintética posterior</x:v>
      </x:c>
    </x:row>
    <x:row r="146">
      <x:c r="A146" t="str">
        <x:v>CH-20260908-004</x:v>
      </x:c>
      <x:c r="B146" t="str">
        <x:v>Painel sem comunicação</x:v>
      </x:c>
      <x:c r="C146" t="str">
        <x:v>Falha de comunicação</x:v>
      </x:c>
      <x:c r="D146" t="str">
        <x:v>Painel não responde aos comandos.</x:v>
      </x:c>
      <x:c r="E146" t="str">
        <x:v>Concluído</x:v>
      </x:c>
      <x:c r="F146" t="str">
        <x:v>Monitoramento Remoto</x:v>
      </x:c>
      <x:c r="G146" t="str">
        <x:v>E-104</x:v>
      </x:c>
      <x:c r="H146" t="str">
        <x:v>Elevador Social</x:v>
      </x:c>
      <x:c r="I146" t="str">
        <x:v>Microprocessado</x:v>
      </x:c>
      <x:c r="J146" t="str">
        <x:v>Gearless</x:v>
      </x:c>
      <x:c r="K146" t="str">
        <x:v>OTIS</x:v>
      </x:c>
      <x:c r="L146" t="str">
        <x:v>ROT-033</x:v>
      </x:c>
      <x:c r="M146" t="str">
        <x:v>Painel/Comando</x:v>
      </x:c>
      <x:c r="N146" t="str">
        <x:v>Interface</x:v>
      </x:c>
      <x:c r="O146" t="str">
        <x:v>Sem comunicação</x:v>
      </x:c>
      <x:c r="P146" t="str">
        <x:v>Falha lógica</x:v>
      </x:c>
      <x:c r="Q146" t="str">
        <x:v>Interface reinicializada/substituída</x:v>
      </x:c>
      <x:c r="R146" t="str">
        <x:v>Condomínio Alameda</x:v>
      </x:c>
      <x:c r="S146" t="str">
        <x:v>Não</x:v>
      </x:c>
      <x:c r="T146" t="str">
        <x:v>Não</x:v>
      </x:c>
      <x:c r="U146" t="str">
        <x:v>CT-2026-004</x:v>
      </x:c>
      <x:c r="V146" t="str">
        <x:v>SP-Sul</x:v>
      </x:c>
      <x:c r="W146" t="str">
        <x:v>Carlos Souza</x:v>
      </x:c>
      <x:c r="X146" t="str">
        <x:v>Supervisor D</x:v>
      </x:c>
      <x:c r="Y146" t="str">
        <x:v>Rota Sul 04</x:v>
      </x:c>
      <x:c r="Z146" t="str">
        <x:v>R. das Acácias, 420 - São Paulo/SP</x:v>
      </x:c>
      <x:c r="AA146" t="str">
        <x:v>São Paulo</x:v>
      </x:c>
      <x:c r="AB146" s="50" t="n">
        <x:v>46273.3145833333</x:v>
      </x:c>
      <x:c r="AC146" s="50" t="n">
        <x:v>46273.31875</x:v>
      </x:c>
      <x:c r="AD146" s="50" t="n">
        <x:v>46273.3215277778</x:v>
      </x:c>
      <x:c r="AE146" s="50" t="n">
        <x:v>46273.3493055556</x:v>
      </x:c>
      <x:c r="AF146" s="50" t="n">
        <x:v>46273.3958333333</x:v>
      </x:c>
      <x:c r="AG146" t="n">
        <x:v>50</x:v>
      </x:c>
      <x:c r="AH146" t="n">
        <x:v>62</x:v>
      </x:c>
      <x:c r="AI146" t="str">
        <x:v>Não</x:v>
      </x:c>
      <x:c r="AJ146" t="str">
        <x:v>Não</x:v>
      </x:c>
      <x:c r="AK146" t="n">
        <x:v>180</x:v>
      </x:c>
      <x:c r="AL146" t="n">
        <x:v>0</x:v>
      </x:c>
      <x:c r="AM146" s="64" t="n">
        <x:v>0.6222</x:v>
      </x:c>
      <x:c r="AN146" t="n">
        <x:v>3</x:v>
      </x:c>
      <x:c r="AO146" t="str">
        <x:v>Verde</x:v>
      </x:c>
      <x:c r="AP146" t="str">
        <x:v>3 recorrências/30d; SLA acima de 55%</x:v>
      </x:c>
      <x:c r="AQ146" t="str">
        <x:v>Recorrência elevada: verificar padrão histórico em Painel/Comando/Interface.</x:v>
      </x:c>
      <x:c r="AR146" s="62" t="n">
        <x:v>1594</x:v>
      </x:c>
      <x:c r="AS146" t="str">
        <x:v>Alto</x:v>
      </x:c>
      <x:c r="AT146" s="50" t="n">
        <x:v>46273.520833333336</x:v>
      </x:c>
      <x:c r="AU146" t="str">
        <x:v>T06</x:v>
      </x:c>
      <x:c r="AV146" t="str">
        <x:v>T2 original + evolução sintética posterior</x:v>
      </x:c>
    </x:row>
    <x:row r="147">
      <x:c r="A147" t="str">
        <x:v>CH-20260908-005</x:v>
      </x:c>
      <x:c r="B147" t="str">
        <x:v>Falha de Tração</x:v>
      </x:c>
      <x:c r="C147" t="str">
        <x:v>Movimento irregular</x:v>
      </x:c>
      <x:c r="D147" t="str">
        <x:v>Equipamento apresenta perda de tração.</x:v>
      </x:c>
      <x:c r="E147" t="str">
        <x:v>Concluído</x:v>
      </x:c>
      <x:c r="F147" t="str">
        <x:v>Central de Atendimento</x:v>
      </x:c>
      <x:c r="G147" t="str">
        <x:v>E-105</x:v>
      </x:c>
      <x:c r="H147" t="str">
        <x:v>Elevador Social</x:v>
      </x:c>
      <x:c r="I147" t="str">
        <x:v>Microprocessado</x:v>
      </x:c>
      <x:c r="J147" t="str">
        <x:v>Gearless</x:v>
      </x:c>
      <x:c r="K147" t="str">
        <x:v>OTIS</x:v>
      </x:c>
      <x:c r="L147" t="str">
        <x:v>ROT-041</x:v>
      </x:c>
      <x:c r="M147" t="str">
        <x:v>Máquina de Tração</x:v>
      </x:c>
      <x:c r="N147" t="str">
        <x:v>Inversor</x:v>
      </x:c>
      <x:c r="O147" t="str">
        <x:v>Oscilação</x:v>
      </x:c>
      <x:c r="P147" t="str">
        <x:v>Falha de movimento</x:v>
      </x:c>
      <x:c r="Q147" t="str">
        <x:v>Parâmetros do inversor corrigidos</x:v>
      </x:c>
      <x:c r="R147" t="str">
        <x:v>Aeroporto Terminal 3</x:v>
      </x:c>
      <x:c r="S147" t="str">
        <x:v>Sim</x:v>
      </x:c>
      <x:c r="T147" t="str">
        <x:v>Sim</x:v>
      </x:c>
      <x:c r="U147" t="str">
        <x:v>CT-2026-005</x:v>
      </x:c>
      <x:c r="V147" t="str">
        <x:v>GRU</x:v>
      </x:c>
      <x:c r="W147" t="str">
        <x:v>Renata Alves</x:v>
      </x:c>
      <x:c r="X147" t="str">
        <x:v>Supervisor A</x:v>
      </x:c>
      <x:c r="Y147" t="str">
        <x:v>Rota GRU 05</x:v>
      </x:c>
      <x:c r="Z147" t="str">
        <x:v>Rod. Hélio Smidt, s/n - Guarulhos/SP</x:v>
      </x:c>
      <x:c r="AA147" t="str">
        <x:v>São Paulo</x:v>
      </x:c>
      <x:c r="AB147" s="50" t="n">
        <x:v>46273.3180555556</x:v>
      </x:c>
      <x:c r="AC147" s="50" t="n">
        <x:v>46273.3194444444</x:v>
      </x:c>
      <x:c r="AD147" s="50" t="n">
        <x:v>46273.3236111111</x:v>
      </x:c>
      <x:c r="AE147" s="50" t="n">
        <x:v>46273.3319444444</x:v>
      </x:c>
      <x:c r="AF147" s="50" t="n">
        <x:v>46273.3861111111</x:v>
      </x:c>
      <x:c r="AG147" t="n">
        <x:v>20</x:v>
      </x:c>
      <x:c r="AH147" t="n">
        <x:v>73</x:v>
      </x:c>
      <x:c r="AI147" t="str">
        <x:v>Não</x:v>
      </x:c>
      <x:c r="AJ147" t="str">
        <x:v>Sim</x:v>
      </x:c>
      <x:c r="AK147" t="n">
        <x:v>45</x:v>
      </x:c>
      <x:c r="AL147" t="n">
        <x:v>0</x:v>
      </x:c>
      <x:c r="AM147" s="64" t="n">
        <x:v>2.0667</x:v>
      </x:c>
      <x:c r="AN147" t="n">
        <x:v>1</x:v>
      </x:c>
      <x:c r="AO147" t="str">
        <x:v>Vermelho</x:v>
      </x:c>
      <x:c r="AP147" t="str">
        <x:v>SLA estourado; carro parado</x:v>
      </x:c>
      <x:c r="AQ147" t="str">
        <x:v>Há ocorrência recente semelhante; comparar solução anterior de Máquina de Tração.</x:v>
      </x:c>
      <x:c r="AR147" s="62" t="n">
        <x:v>1259</x:v>
      </x:c>
      <x:c r="AS147" t="str">
        <x:v>Alto</x:v>
      </x:c>
      <x:c r="AT147" s="50" t="n">
        <x:v>46273.520833333336</x:v>
      </x:c>
      <x:c r="AU147" t="str">
        <x:v>T06</x:v>
      </x:c>
      <x:c r="AV147" t="str">
        <x:v>T2 original + evolução sintética posterior</x:v>
      </x:c>
    </x:row>
    <x:row r="148">
      <x:c r="A148" t="str">
        <x:v>CH-20260908-006</x:v>
      </x:c>
      <x:c r="B148" t="str">
        <x:v>Iluminação de Cabine</x:v>
      </x:c>
      <x:c r="C148" t="str">
        <x:v>Iluminação inoperante</x:v>
      </x:c>
      <x:c r="D148" t="str">
        <x:v>Cabine com iluminação parcial ou total indisponível.</x:v>
      </x:c>
      <x:c r="E148" t="str">
        <x:v>Concluído</x:v>
      </x:c>
      <x:c r="F148" t="str">
        <x:v>IoT</x:v>
      </x:c>
      <x:c r="G148" t="str">
        <x:v>E-106</x:v>
      </x:c>
      <x:c r="H148" t="str">
        <x:v>Elevador Social</x:v>
      </x:c>
      <x:c r="I148" t="str">
        <x:v>Microprocessado</x:v>
      </x:c>
      <x:c r="J148" t="str">
        <x:v>Gearless</x:v>
      </x:c>
      <x:c r="K148" t="str">
        <x:v>OTIS</x:v>
      </x:c>
      <x:c r="L148" t="str">
        <x:v>ROT-052</x:v>
      </x:c>
      <x:c r="M148" t="str">
        <x:v>Elétrica</x:v>
      </x:c>
      <x:c r="N148" t="str">
        <x:v>Fonte</x:v>
      </x:c>
      <x:c r="O148" t="str">
        <x:v>Sem alimentação</x:v>
      </x:c>
      <x:c r="P148" t="str">
        <x:v>Falha elétrica</x:v>
      </x:c>
      <x:c r="Q148" t="str">
        <x:v>Fonte substituída</x:v>
      </x:c>
      <x:c r="R148" t="str">
        <x:v>Universidade Central</x:v>
      </x:c>
      <x:c r="S148" t="str">
        <x:v>Não</x:v>
      </x:c>
      <x:c r="T148" t="str">
        <x:v>Sim</x:v>
      </x:c>
      <x:c r="U148" t="str">
        <x:v>CT-2026-006</x:v>
      </x:c>
      <x:c r="V148" t="str">
        <x:v>SP-Leste</x:v>
      </x:c>
      <x:c r="W148" t="str">
        <x:v>Paulo Mendes</x:v>
      </x:c>
      <x:c r="X148" t="str">
        <x:v>Supervisor B</x:v>
      </x:c>
      <x:c r="Y148" t="str">
        <x:v>Rota Leste 06</x:v>
      </x:c>
      <x:c r="Z148" t="str">
        <x:v>Av. Central, 850 - São Paulo/SP</x:v>
      </x:c>
      <x:c r="AA148" t="str">
        <x:v>São Paulo</x:v>
      </x:c>
      <x:c r="AB148" s="50" t="n">
        <x:v>46273.3215277778</x:v>
      </x:c>
      <x:c r="AC148" s="50" t="n">
        <x:v>46273.3236111111</x:v>
      </x:c>
      <x:c r="AD148" s="50" t="n">
        <x:v>46273.325</x:v>
      </x:c>
      <x:c r="AE148" s="50" t="n">
        <x:v>46273.3388888889</x:v>
      </x:c>
      <x:c r="AF148" s="50" t="n">
        <x:v>46273.3569444444</x:v>
      </x:c>
      <x:c r="AG148" t="n">
        <x:v>25</x:v>
      </x:c>
      <x:c r="AH148" t="n">
        <x:v>21</x:v>
      </x:c>
      <x:c r="AI148" t="str">
        <x:v>Não</x:v>
      </x:c>
      <x:c r="AJ148" t="str">
        <x:v>Não</x:v>
      </x:c>
      <x:c r="AK148" t="n">
        <x:v>120</x:v>
      </x:c>
      <x:c r="AL148" t="n">
        <x:v>0</x:v>
      </x:c>
      <x:c r="AM148" s="64" t="n">
        <x:v>0.3833</x:v>
      </x:c>
      <x:c r="AN148" t="n">
        <x:v>0</x:v>
      </x:c>
      <x:c r="AO148" t="str">
        <x:v>Verde</x:v>
      </x:c>
      <x:c r="AP148" t="str">
        <x:v>operação dentro do esperado</x:v>
      </x:c>
      <x:c r="AQ148" t="str">
        <x:v>Sem recorrência relevante; acompanhar evolução de Elétrica.</x:v>
      </x:c>
      <x:c r="AR148" s="62" t="n">
        <x:v>507</x:v>
      </x:c>
      <x:c r="AS148" t="str">
        <x:v>Baixo</x:v>
      </x:c>
      <x:c r="AT148" s="50" t="n">
        <x:v>46273.520833333336</x:v>
      </x:c>
      <x:c r="AU148" t="str">
        <x:v>T06</x:v>
      </x:c>
      <x:c r="AV148" t="str">
        <x:v>T2 original + evolução sintética posterior</x:v>
      </x:c>
    </x:row>
    <x:row r="149">
      <x:c r="A149" t="str">
        <x:v>CH-20260908-007</x:v>
      </x:c>
      <x:c r="B149" t="str">
        <x:v>Botão de Chamada</x:v>
      </x:c>
      <x:c r="C149" t="str">
        <x:v>Botão não responde</x:v>
      </x:c>
      <x:c r="D149" t="str">
        <x:v>Botão de chamada não registra comando.</x:v>
      </x:c>
      <x:c r="E149" t="str">
        <x:v>Concluído</x:v>
      </x:c>
      <x:c r="F149" t="str">
        <x:v>Aplicativo Cliente</x:v>
      </x:c>
      <x:c r="G149" t="str">
        <x:v>E-107</x:v>
      </x:c>
      <x:c r="H149" t="str">
        <x:v>Elevador Social</x:v>
      </x:c>
      <x:c r="I149" t="str">
        <x:v>Microprocessado</x:v>
      </x:c>
      <x:c r="J149" t="str">
        <x:v>Gearless</x:v>
      </x:c>
      <x:c r="K149" t="str">
        <x:v>OTIS</x:v>
      </x:c>
      <x:c r="L149" t="str">
        <x:v>ROT-063</x:v>
      </x:c>
      <x:c r="M149" t="str">
        <x:v>Botoeira</x:v>
      </x:c>
      <x:c r="N149" t="str">
        <x:v>Contato</x:v>
      </x:c>
      <x:c r="O149" t="str">
        <x:v>Mau contato</x:v>
      </x:c>
      <x:c r="P149" t="str">
        <x:v>Falha de comando</x:v>
      </x:c>
      <x:c r="Q149" t="str">
        <x:v>Contato reparado</x:v>
      </x:c>
      <x:c r="R149" t="str">
        <x:v>Hospital São Paulo</x:v>
      </x:c>
      <x:c r="S149" t="str">
        <x:v>Sim</x:v>
      </x:c>
      <x:c r="T149" t="str">
        <x:v>Sim</x:v>
      </x:c>
      <x:c r="U149" t="str">
        <x:v>CT-2026-001</x:v>
      </x:c>
      <x:c r="V149" t="str">
        <x:v>SP-Centro</x:v>
      </x:c>
      <x:c r="W149" t="str">
        <x:v>João Silva</x:v>
      </x:c>
      <x:c r="X149" t="str">
        <x:v>Supervisor C</x:v>
      </x:c>
      <x:c r="Y149" t="str">
        <x:v>Rota Centro 01</x:v>
      </x:c>
      <x:c r="Z149" t="str">
        <x:v>Av. Paulista, 1000 - São Paulo/SP</x:v>
      </x:c>
      <x:c r="AA149" t="str">
        <x:v>São Paulo</x:v>
      </x:c>
      <x:c r="AB149" s="50" t="n">
        <x:v>46273.3243055556</x:v>
      </x:c>
      <x:c r="AC149" s="50" t="n">
        <x:v>46273.3270833333</x:v>
      </x:c>
      <x:c r="AD149" s="50" t="n">
        <x:v>46273.3298611111</x:v>
      </x:c>
      <x:c r="AE149" s="50" t="n">
        <x:v>46273.3486111111</x:v>
      </x:c>
      <x:c r="AF149" s="50" t="n">
        <x:v>46273.3743055556</x:v>
      </x:c>
      <x:c r="AG149" t="n">
        <x:v>35</x:v>
      </x:c>
      <x:c r="AH149" t="n">
        <x:v>32</x:v>
      </x:c>
      <x:c r="AI149" t="str">
        <x:v>Não</x:v>
      </x:c>
      <x:c r="AJ149" t="str">
        <x:v>Não</x:v>
      </x:c>
      <x:c r="AK149" t="n">
        <x:v>60</x:v>
      </x:c>
      <x:c r="AL149" t="n">
        <x:v>0</x:v>
      </x:c>
      <x:c r="AM149" s="64" t="n">
        <x:v>1.1167</x:v>
      </x:c>
      <x:c r="AN149" t="n">
        <x:v>2</x:v>
      </x:c>
      <x:c r="AO149" t="str">
        <x:v>Vermelho</x:v>
      </x:c>
      <x:c r="AP149" t="str">
        <x:v>2 recorrências/30d; SLA estourado</x:v>
      </x:c>
      <x:c r="AQ149" t="str">
        <x:v>Há ocorrência recente semelhante; comparar solução anterior de Botoeira.</x:v>
      </x:c>
      <x:c r="AR149" s="62" t="n">
        <x:v>612</x:v>
      </x:c>
      <x:c r="AS149" t="str">
        <x:v>Baixo</x:v>
      </x:c>
      <x:c r="AT149" s="50" t="n">
        <x:v>46273.520833333336</x:v>
      </x:c>
      <x:c r="AU149" t="str">
        <x:v>T06</x:v>
      </x:c>
      <x:c r="AV149" t="str">
        <x:v>T2 original + evolução sintética posterior</x:v>
      </x:c>
    </x:row>
    <x:row r="150">
      <x:c r="A150" t="str">
        <x:v>CH-20260908-008</x:v>
      </x:c>
      <x:c r="B150" t="str">
        <x:v>Parada Intermitente</x:v>
      </x:c>
      <x:c r="C150" t="str">
        <x:v>Paradas aleatórias</x:v>
      </x:c>
      <x:c r="D150" t="str">
        <x:v>Equipamento interrompe operação de forma intermitente.</x:v>
      </x:c>
      <x:c r="E150" t="str">
        <x:v>Concluído</x:v>
      </x:c>
      <x:c r="F150" t="str">
        <x:v>Monitoramento Remoto</x:v>
      </x:c>
      <x:c r="G150" t="str">
        <x:v>E-108</x:v>
      </x:c>
      <x:c r="H150" t="str">
        <x:v>Elevador Social</x:v>
      </x:c>
      <x:c r="I150" t="str">
        <x:v>Microprocessado</x:v>
      </x:c>
      <x:c r="J150" t="str">
        <x:v>Gearless</x:v>
      </x:c>
      <x:c r="K150" t="str">
        <x:v>OTIS</x:v>
      </x:c>
      <x:c r="L150" t="str">
        <x:v>ROT-074</x:v>
      </x:c>
      <x:c r="M150" t="str">
        <x:v>Painel/Comando</x:v>
      </x:c>
      <x:c r="N150" t="str">
        <x:v>Placa</x:v>
      </x:c>
      <x:c r="O150" t="str">
        <x:v>Intermitência</x:v>
      </x:c>
      <x:c r="P150" t="str">
        <x:v>Falha intermitente</x:v>
      </x:c>
      <x:c r="Q150" t="str">
        <x:v>Placa revisada e teste funcional</x:v>
      </x:c>
      <x:c r="R150" t="str">
        <x:v>Shopping Center Norte</x:v>
      </x:c>
      <x:c r="S150" t="str">
        <x:v>Não</x:v>
      </x:c>
      <x:c r="T150" t="str">
        <x:v>Sim</x:v>
      </x:c>
      <x:c r="U150" t="str">
        <x:v>CT-2026-002</x:v>
      </x:c>
      <x:c r="V150" t="str">
        <x:v>SP-Norte</x:v>
      </x:c>
      <x:c r="W150" t="str">
        <x:v>Marcos Lima</x:v>
      </x:c>
      <x:c r="X150" t="str">
        <x:v>Supervisor D</x:v>
      </x:c>
      <x:c r="Y150" t="str">
        <x:v>Rota Norte 02</x:v>
      </x:c>
      <x:c r="Z150" t="str">
        <x:v>Av. Otto Baumgart, 245 - São Paulo/SP</x:v>
      </x:c>
      <x:c r="AA150" t="str">
        <x:v>São Paulo</x:v>
      </x:c>
      <x:c r="AB150" s="50" t="n">
        <x:v>46273.3270833333</x:v>
      </x:c>
      <x:c r="AC150" s="50" t="n">
        <x:v>46273.3305555556</x:v>
      </x:c>
      <x:c r="AD150" s="50" t="n">
        <x:v>46273.3347222222</x:v>
      </x:c>
      <x:c r="AE150" s="50" t="n">
        <x:v>46273.3583333333</x:v>
      </x:c>
      <x:c r="AF150" s="50" t="n">
        <x:v>46273.3916666667</x:v>
      </x:c>
      <x:c r="AG150" t="n">
        <x:v>45</x:v>
      </x:c>
      <x:c r="AH150" t="n">
        <x:v>43</x:v>
      </x:c>
      <x:c r="AI150" t="str">
        <x:v>Não</x:v>
      </x:c>
      <x:c r="AJ150" t="str">
        <x:v>Sim</x:v>
      </x:c>
      <x:c r="AK150" t="n">
        <x:v>90</x:v>
      </x:c>
      <x:c r="AL150" t="n">
        <x:v>0</x:v>
      </x:c>
      <x:c r="AM150" s="64" t="n">
        <x:v>0.9778</x:v>
      </x:c>
      <x:c r="AN150" t="n">
        <x:v>4</x:v>
      </x:c>
      <x:c r="AO150" t="str">
        <x:v>Laranja</x:v>
      </x:c>
      <x:c r="AP150" t="str">
        <x:v>4 recorrências/30d; SLA acima de 80%; carro parado</x:v>
      </x:c>
      <x:c r="AQ150" t="str">
        <x:v>Recorrência elevada: verificar padrão histórico em Painel/Comando/Placa.</x:v>
      </x:c>
      <x:c r="AR150" s="62" t="n">
        <x:v>1437</x:v>
      </x:c>
      <x:c r="AS150" t="str">
        <x:v>Alto</x:v>
      </x:c>
      <x:c r="AT150" s="50" t="n">
        <x:v>46273.520833333336</x:v>
      </x:c>
      <x:c r="AU150" t="str">
        <x:v>T06</x:v>
      </x:c>
      <x:c r="AV150" t="str">
        <x:v>T2 original + evolução sintética posterior</x:v>
      </x:c>
    </x:row>
    <x:row r="151">
      <x:c r="A151" t="str">
        <x:v>CH-20260908-009</x:v>
      </x:c>
      <x:c r="B151" t="str">
        <x:v>Passageiro Preso</x:v>
      </x:c>
      <x:c r="C151" t="str">
        <x:v>Elevador parado entre andares</x:v>
      </x:c>
      <x:c r="D151" t="str">
        <x:v>Cabine imobilizada com passageiro no interior.</x:v>
      </x:c>
      <x:c r="E151" t="str">
        <x:v>Concluído</x:v>
      </x:c>
      <x:c r="F151" t="str">
        <x:v>Central de Atendimento</x:v>
      </x:c>
      <x:c r="G151" t="str">
        <x:v>E-109</x:v>
      </x:c>
      <x:c r="H151" t="str">
        <x:v>Elevador Social</x:v>
      </x:c>
      <x:c r="I151" t="str">
        <x:v>Microprocessado</x:v>
      </x:c>
      <x:c r="J151" t="str">
        <x:v>Gearless</x:v>
      </x:c>
      <x:c r="K151" t="str">
        <x:v>OTIS</x:v>
      </x:c>
      <x:c r="L151" t="str">
        <x:v>ROT-001</x:v>
      </x:c>
      <x:c r="M151" t="str">
        <x:v>Tração</x:v>
      </x:c>
      <x:c r="N151" t="str">
        <x:v>Freio</x:v>
      </x:c>
      <x:c r="O151" t="str">
        <x:v>Travamento</x:v>
      </x:c>
      <x:c r="P151" t="str">
        <x:v>Parada total</x:v>
      </x:c>
      <x:c r="Q151" t="str">
        <x:v>Resgate concluído e equipamento normalizado</x:v>
      </x:c>
      <x:c r="R151" t="str">
        <x:v>Edifício Corporate</x:v>
      </x:c>
      <x:c r="S151" t="str">
        <x:v>Não</x:v>
      </x:c>
      <x:c r="T151" t="str">
        <x:v>Sim</x:v>
      </x:c>
      <x:c r="U151" t="str">
        <x:v>CT-2026-003</x:v>
      </x:c>
      <x:c r="V151" t="str">
        <x:v>SP-Oeste</x:v>
      </x:c>
      <x:c r="W151" t="str">
        <x:v>Ana Costa</x:v>
      </x:c>
      <x:c r="X151" t="str">
        <x:v>Supervisor A</x:v>
      </x:c>
      <x:c r="Y151" t="str">
        <x:v>Rota Oeste 03</x:v>
      </x:c>
      <x:c r="Z151" t="str">
        <x:v>Av. Faria Lima, 3500 - São Paulo/SP</x:v>
      </x:c>
      <x:c r="AA151" t="str">
        <x:v>São Paulo</x:v>
      </x:c>
      <x:c r="AB151" s="50" t="n">
        <x:v>46273.3298611111</x:v>
      </x:c>
      <x:c r="AC151" s="50" t="n">
        <x:v>46273.3340277778</x:v>
      </x:c>
      <x:c r="AD151" s="50" t="n">
        <x:v>46273.3354166667</x:v>
      </x:c>
      <x:c r="AE151" s="50" t="n">
        <x:v>46273.3604166667</x:v>
      </x:c>
      <x:c r="AF151" s="50" t="n">
        <x:v>46273.3833333333</x:v>
      </x:c>
      <x:c r="AG151" t="n">
        <x:v>44</x:v>
      </x:c>
      <x:c r="AH151" t="n">
        <x:v>28</x:v>
      </x:c>
      <x:c r="AI151" t="str">
        <x:v>Sim</x:v>
      </x:c>
      <x:c r="AJ151" t="str">
        <x:v>Sim</x:v>
      </x:c>
      <x:c r="AK151" t="n">
        <x:v>120</x:v>
      </x:c>
      <x:c r="AL151" t="n">
        <x:v>0</x:v>
      </x:c>
      <x:c r="AM151" s="64" t="n">
        <x:v>0.6</x:v>
      </x:c>
      <x:c r="AN151" t="n">
        <x:v>0</x:v>
      </x:c>
      <x:c r="AO151" t="str">
        <x:v>Verde</x:v>
      </x:c>
      <x:c r="AP151" t="str">
        <x:v>passageiro preso; SLA acima de 55%; carro parado</x:v>
      </x:c>
      <x:c r="AQ151" t="str">
        <x:v>Sem recorrência relevante; acompanhar evolução de Tração.</x:v>
      </x:c>
      <x:c r="AR151" s="62" t="n">
        <x:v>970</x:v>
      </x:c>
      <x:c r="AS151" t="str">
        <x:v>Médio</x:v>
      </x:c>
      <x:c r="AT151" s="50" t="n">
        <x:v>46273.520833333336</x:v>
      </x:c>
      <x:c r="AU151" t="str">
        <x:v>T06</x:v>
      </x:c>
      <x:c r="AV151" t="str">
        <x:v>T2 original + evolução sintética posterior</x:v>
      </x:c>
    </x:row>
    <x:row r="152">
      <x:c r="A152" t="str">
        <x:v>CH-20260908-010</x:v>
      </x:c>
      <x:c r="B152" t="str">
        <x:v>Falha de Nivelamento</x:v>
      </x:c>
      <x:c r="C152" t="str">
        <x:v>Cabine desnivelada</x:v>
      </x:c>
      <x:c r="D152" t="str">
        <x:v>Cabine parou fora do nível do pavimento.</x:v>
      </x:c>
      <x:c r="E152" t="str">
        <x:v>Concluído</x:v>
      </x:c>
      <x:c r="F152" t="str">
        <x:v>IoT</x:v>
      </x:c>
      <x:c r="G152" t="str">
        <x:v>E-110</x:v>
      </x:c>
      <x:c r="H152" t="str">
        <x:v>Elevador Social</x:v>
      </x:c>
      <x:c r="I152" t="str">
        <x:v>Microprocessado</x:v>
      </x:c>
      <x:c r="J152" t="str">
        <x:v>Gearless</x:v>
      </x:c>
      <x:c r="K152" t="str">
        <x:v>OTIS</x:v>
      </x:c>
      <x:c r="L152" t="str">
        <x:v>ROT-014</x:v>
      </x:c>
      <x:c r="M152" t="str">
        <x:v>Sensor de Nível</x:v>
      </x:c>
      <x:c r="N152" t="str">
        <x:v>Sensor</x:v>
      </x:c>
      <x:c r="O152" t="str">
        <x:v>Leitura inconsistente</x:v>
      </x:c>
      <x:c r="P152" t="str">
        <x:v>Falha de nivelamento</x:v>
      </x:c>
      <x:c r="Q152" t="str">
        <x:v>Sensor ajustado/substituído</x:v>
      </x:c>
      <x:c r="R152" t="str">
        <x:v>Condomínio Alameda</x:v>
      </x:c>
      <x:c r="S152" t="str">
        <x:v>Não</x:v>
      </x:c>
      <x:c r="T152" t="str">
        <x:v>Não</x:v>
      </x:c>
      <x:c r="U152" t="str">
        <x:v>CT-2026-004</x:v>
      </x:c>
      <x:c r="V152" t="str">
        <x:v>SP-Sul</x:v>
      </x:c>
      <x:c r="W152" t="str">
        <x:v>Carlos Souza</x:v>
      </x:c>
      <x:c r="X152" t="str">
        <x:v>Supervisor B</x:v>
      </x:c>
      <x:c r="Y152" t="str">
        <x:v>Rota Sul 04</x:v>
      </x:c>
      <x:c r="Z152" t="str">
        <x:v>R. das Acácias, 420 - São Paulo/SP</x:v>
      </x:c>
      <x:c r="AA152" t="str">
        <x:v>São Paulo</x:v>
      </x:c>
      <x:c r="AB152" s="50" t="n">
        <x:v>46273.3326388889</x:v>
      </x:c>
      <x:c r="AC152" s="50" t="n">
        <x:v>46273.3340277778</x:v>
      </x:c>
      <x:c r="AD152" s="50" t="n">
        <x:v>46273.3368055556</x:v>
      </x:c>
      <x:c r="AE152" s="50" t="n">
        <x:v>46273.3465277778</x:v>
      </x:c>
      <x:c r="AF152" s="50" t="n">
        <x:v>46273.3951388889</x:v>
      </x:c>
      <x:c r="AG152" t="n">
        <x:v>20</x:v>
      </x:c>
      <x:c r="AH152" t="n">
        <x:v>65</x:v>
      </x:c>
      <x:c r="AI152" t="str">
        <x:v>Não</x:v>
      </x:c>
      <x:c r="AJ152" t="str">
        <x:v>Não</x:v>
      </x:c>
      <x:c r="AK152" t="n">
        <x:v>180</x:v>
      </x:c>
      <x:c r="AL152" t="n">
        <x:v>0</x:v>
      </x:c>
      <x:c r="AM152" s="64" t="n">
        <x:v>0.4722</x:v>
      </x:c>
      <x:c r="AN152" t="n">
        <x:v>1</x:v>
      </x:c>
      <x:c r="AO152" t="str">
        <x:v>Verde</x:v>
      </x:c>
      <x:c r="AP152" t="str">
        <x:v>operação dentro do esperado</x:v>
      </x:c>
      <x:c r="AQ152" t="str">
        <x:v>Há ocorrência recente semelhante; comparar solução anterior de Sensor de Nível.</x:v>
      </x:c>
      <x:c r="AR152" s="62" t="n">
        <x:v>791</x:v>
      </x:c>
      <x:c r="AS152" t="str">
        <x:v>Médio</x:v>
      </x:c>
      <x:c r="AT152" s="50" t="n">
        <x:v>46273.520833333336</x:v>
      </x:c>
      <x:c r="AU152" t="str">
        <x:v>T06</x:v>
      </x:c>
      <x:c r="AV152" t="str">
        <x:v>T2 original + evolução sintética posterior</x:v>
      </x:c>
    </x:row>
    <x:row r="153">
      <x:c r="A153" t="str">
        <x:v>CH-20260908-011</x:v>
      </x:c>
      <x:c r="B153" t="str">
        <x:v>Porta não fecha</x:v>
      </x:c>
      <x:c r="C153" t="str">
        <x:v>Falha no fechamento</x:v>
      </x:c>
      <x:c r="D153" t="str">
        <x:v>Porta permanece aberta e impede partida.</x:v>
      </x:c>
      <x:c r="E153" t="str">
        <x:v>Concluído</x:v>
      </x:c>
      <x:c r="F153" t="str">
        <x:v>Aplicativo Cliente</x:v>
      </x:c>
      <x:c r="G153" t="str">
        <x:v>E-111</x:v>
      </x:c>
      <x:c r="H153" t="str">
        <x:v>Elevador Social</x:v>
      </x:c>
      <x:c r="I153" t="str">
        <x:v>Microprocessado</x:v>
      </x:c>
      <x:c r="J153" t="str">
        <x:v>Gearless</x:v>
      </x:c>
      <x:c r="K153" t="str">
        <x:v>OTIS</x:v>
      </x:c>
      <x:c r="L153" t="str">
        <x:v>ROT-021</x:v>
      </x:c>
      <x:c r="M153" t="str">
        <x:v>Operador de Porta</x:v>
      </x:c>
      <x:c r="N153" t="str">
        <x:v>Sensor de porta</x:v>
      </x:c>
      <x:c r="O153" t="str">
        <x:v>Falha de leitura</x:v>
      </x:c>
      <x:c r="P153" t="str">
        <x:v>Porta aberta</x:v>
      </x:c>
      <x:c r="Q153" t="str">
        <x:v>Inspeção técnica e normalização demonstrativas de Operador de Porta; resolução sintética, sem confirmação de consumo de peças.</x:v>
      </x:c>
      <x:c r="R153" t="str">
        <x:v>Aeroporto Terminal 3</x:v>
      </x:c>
      <x:c r="S153" t="str">
        <x:v>Sim</x:v>
      </x:c>
      <x:c r="T153" t="str">
        <x:v>Sim</x:v>
      </x:c>
      <x:c r="U153" t="str">
        <x:v>CT-2026-005</x:v>
      </x:c>
      <x:c r="V153" t="str">
        <x:v>GRU</x:v>
      </x:c>
      <x:c r="W153" t="str">
        <x:v>Renata Alves</x:v>
      </x:c>
      <x:c r="X153" t="str">
        <x:v>Supervisor C</x:v>
      </x:c>
      <x:c r="Y153" t="str">
        <x:v>Rota GRU 05</x:v>
      </x:c>
      <x:c r="Z153" t="str">
        <x:v>Rod. Hélio Smidt, s/n - Guarulhos/SP</x:v>
      </x:c>
      <x:c r="AA153" t="str">
        <x:v>São Paulo</x:v>
      </x:c>
      <x:c r="AB153" s="50" t="n">
        <x:v>46273.3354166667</x:v>
      </x:c>
      <x:c r="AC153" s="50" t="n">
        <x:v>46273.3375</x:v>
      </x:c>
      <x:c r="AD153" s="50" t="n">
        <x:v>46273.341666666696</x:v>
      </x:c>
      <x:c r="AE153" s="50" t="n">
        <x:v>46273.3534722222</x:v>
      </x:c>
      <x:c r="AF153" s="50" t="n">
        <x:v>46273.41875</x:v>
      </x:c>
      <x:c r="AG153" t="n">
        <x:v>26</x:v>
      </x:c>
      <x:c r="AH153" t="n">
        <x:v>89</x:v>
      </x:c>
      <x:c r="AI153" t="str">
        <x:v>Não</x:v>
      </x:c>
      <x:c r="AJ153" t="str">
        <x:v>Não</x:v>
      </x:c>
      <x:c r="AK153" t="n">
        <x:v>45</x:v>
      </x:c>
      <x:c r="AL153" t="n">
        <x:v>0</x:v>
      </x:c>
      <x:c r="AM153" s="64" t="n">
        <x:v>2.5556</x:v>
      </x:c>
      <x:c r="AN153" t="n">
        <x:v>2</x:v>
      </x:c>
      <x:c r="AO153" t="str">
        <x:v>Vermelho</x:v>
      </x:c>
      <x:c r="AP153" t="str">
        <x:v>SLA sintético excedido (tempo acumulado ≥ 100% do SLA)</x:v>
      </x:c>
      <x:c r="AQ153" t="str">
        <x:v>Encerramento demonstrativo de Operador de Porta; verificar fechamento e histórico para aprendizado. Sem despacho automático.</x:v>
      </x:c>
      <x:c r="AR153" s="62" t="n">
        <x:v>880</x:v>
      </x:c>
      <x:c r="AS153" t="str">
        <x:v>Médio</x:v>
      </x:c>
      <x:c r="AT153" s="50" t="n">
        <x:v>46273.520833333336</x:v>
      </x:c>
      <x:c r="AU153" t="str">
        <x:v>T06</x:v>
      </x:c>
      <x:c r="AV153" t="str">
        <x:v>T2 original + evolução sintética posterior</x:v>
      </x:c>
    </x:row>
    <x:row r="154">
      <x:c r="A154" t="str">
        <x:v>CH-20260908-012</x:v>
      </x:c>
      <x:c r="B154" t="str">
        <x:v>Painel sem comunicação</x:v>
      </x:c>
      <x:c r="C154" t="str">
        <x:v>Falha de comunicação</x:v>
      </x:c>
      <x:c r="D154" t="str">
        <x:v>Painel não responde aos comandos.</x:v>
      </x:c>
      <x:c r="E154" t="str">
        <x:v>Concluído</x:v>
      </x:c>
      <x:c r="F154" t="str">
        <x:v>Monitoramento Remoto</x:v>
      </x:c>
      <x:c r="G154" t="str">
        <x:v>E-112</x:v>
      </x:c>
      <x:c r="H154" t="str">
        <x:v>Elevador Social</x:v>
      </x:c>
      <x:c r="I154" t="str">
        <x:v>Microprocessado</x:v>
      </x:c>
      <x:c r="J154" t="str">
        <x:v>Gearless</x:v>
      </x:c>
      <x:c r="K154" t="str">
        <x:v>OTIS</x:v>
      </x:c>
      <x:c r="L154" t="str">
        <x:v>ROT-033</x:v>
      </x:c>
      <x:c r="M154" t="str">
        <x:v>Painel/Comando</x:v>
      </x:c>
      <x:c r="N154" t="str">
        <x:v>Interface</x:v>
      </x:c>
      <x:c r="O154" t="str">
        <x:v>Sem comunicação</x:v>
      </x:c>
      <x:c r="P154" t="str">
        <x:v>Falha lógica</x:v>
      </x:c>
      <x:c r="Q154" t="str">
        <x:v>Interface reinicializada/substituída</x:v>
      </x:c>
      <x:c r="R154" t="str">
        <x:v>Universidade Central</x:v>
      </x:c>
      <x:c r="S154" t="str">
        <x:v>Não</x:v>
      </x:c>
      <x:c r="T154" t="str">
        <x:v>Sim</x:v>
      </x:c>
      <x:c r="U154" t="str">
        <x:v>CT-2026-006</x:v>
      </x:c>
      <x:c r="V154" t="str">
        <x:v>SP-Leste</x:v>
      </x:c>
      <x:c r="W154" t="str">
        <x:v>Paulo Mendes</x:v>
      </x:c>
      <x:c r="X154" t="str">
        <x:v>Supervisor D</x:v>
      </x:c>
      <x:c r="Y154" t="str">
        <x:v>Rota Leste 06</x:v>
      </x:c>
      <x:c r="Z154" t="str">
        <x:v>Av. Central, 850 - São Paulo/SP</x:v>
      </x:c>
      <x:c r="AA154" t="str">
        <x:v>São Paulo</x:v>
      </x:c>
      <x:c r="AB154" s="50" t="n">
        <x:v>46273.3381944444</x:v>
      </x:c>
      <x:c r="AC154" s="50" t="n">
        <x:v>46273.3409722222</x:v>
      </x:c>
      <x:c r="AD154" s="50" t="n">
        <x:v>46273.3423611111</x:v>
      </x:c>
      <x:c r="AE154" s="50" t="n">
        <x:v>46273.3618055556</x:v>
      </x:c>
      <x:c r="AF154" s="50" t="n">
        <x:v>46273.3819444444</x:v>
      </x:c>
      <x:c r="AG154" t="n">
        <x:v>34</x:v>
      </x:c>
      <x:c r="AH154" t="n">
        <x:v>24</x:v>
      </x:c>
      <x:c r="AI154" t="str">
        <x:v>Não</x:v>
      </x:c>
      <x:c r="AJ154" t="str">
        <x:v>Não</x:v>
      </x:c>
      <x:c r="AK154" t="n">
        <x:v>120</x:v>
      </x:c>
      <x:c r="AL154" t="n">
        <x:v>0</x:v>
      </x:c>
      <x:c r="AM154" s="64" t="n">
        <x:v>0.4833</x:v>
      </x:c>
      <x:c r="AN154" t="n">
        <x:v>3</x:v>
      </x:c>
      <x:c r="AO154" t="str">
        <x:v>Verde</x:v>
      </x:c>
      <x:c r="AP154" t="str">
        <x:v>3 recorrências/30d</x:v>
      </x:c>
      <x:c r="AQ154" t="str">
        <x:v>Recorrência elevada: verificar padrão histórico em Painel/Comando/Interface.</x:v>
      </x:c>
      <x:c r="AR154" s="62" t="n">
        <x:v>1280</x:v>
      </x:c>
      <x:c r="AS154" t="str">
        <x:v>Alto</x:v>
      </x:c>
      <x:c r="AT154" s="50" t="n">
        <x:v>46273.520833333336</x:v>
      </x:c>
      <x:c r="AU154" t="str">
        <x:v>T06</x:v>
      </x:c>
      <x:c r="AV154" t="str">
        <x:v>T2 original + evolução sintética posterior</x:v>
      </x:c>
    </x:row>
    <x:row r="155">
      <x:c r="A155" t="str">
        <x:v>CH-20260908-013</x:v>
      </x:c>
      <x:c r="B155" t="str">
        <x:v>Falha de Tração</x:v>
      </x:c>
      <x:c r="C155" t="str">
        <x:v>Movimento irregular</x:v>
      </x:c>
      <x:c r="D155" t="str">
        <x:v>Equipamento apresenta perda de tração.</x:v>
      </x:c>
      <x:c r="E155" t="str">
        <x:v>Concluído</x:v>
      </x:c>
      <x:c r="F155" t="str">
        <x:v>Central de Atendimento</x:v>
      </x:c>
      <x:c r="G155" t="str">
        <x:v>E-113</x:v>
      </x:c>
      <x:c r="H155" t="str">
        <x:v>Elevador Social</x:v>
      </x:c>
      <x:c r="I155" t="str">
        <x:v>Microprocessado</x:v>
      </x:c>
      <x:c r="J155" t="str">
        <x:v>Gearless</x:v>
      </x:c>
      <x:c r="K155" t="str">
        <x:v>OTIS</x:v>
      </x:c>
      <x:c r="L155" t="str">
        <x:v>ROT-041</x:v>
      </x:c>
      <x:c r="M155" t="str">
        <x:v>Máquina de Tração</x:v>
      </x:c>
      <x:c r="N155" t="str">
        <x:v>Inversor</x:v>
      </x:c>
      <x:c r="O155" t="str">
        <x:v>Oscilação</x:v>
      </x:c>
      <x:c r="P155" t="str">
        <x:v>Falha de movimento</x:v>
      </x:c>
      <x:c r="Q155" t="str">
        <x:v>Inspeção técnica e normalização demonstrativas de Máquina de Tração; resolução sintética, sem confirmação de consumo de peças.</x:v>
      </x:c>
      <x:c r="R155" t="str">
        <x:v>Hospital São Paulo</x:v>
      </x:c>
      <x:c r="S155" t="str">
        <x:v>Sim</x:v>
      </x:c>
      <x:c r="T155" t="str">
        <x:v>Sim</x:v>
      </x:c>
      <x:c r="U155" t="str">
        <x:v>CT-2026-001</x:v>
      </x:c>
      <x:c r="V155" t="str">
        <x:v>SP-Centro</x:v>
      </x:c>
      <x:c r="W155" t="str">
        <x:v>João Silva</x:v>
      </x:c>
      <x:c r="X155" t="str">
        <x:v>Supervisor A</x:v>
      </x:c>
      <x:c r="Y155" t="str">
        <x:v>Rota Centro 01</x:v>
      </x:c>
      <x:c r="Z155" t="str">
        <x:v>Av. Paulista, 1000 - São Paulo/SP</x:v>
      </x:c>
      <x:c r="AA155" t="str">
        <x:v>São Paulo</x:v>
      </x:c>
      <x:c r="AB155" s="50" t="n">
        <x:v>46273.341666666696</x:v>
      </x:c>
      <x:c r="AC155" s="50" t="n">
        <x:v>46273.3451388889</x:v>
      </x:c>
      <x:c r="AD155" s="50" t="n">
        <x:v>46273.3479166667</x:v>
      </x:c>
      <x:c r="AE155" s="50" t="n">
        <x:v>46273.3722222222</x:v>
      </x:c>
      <x:c r="AF155" s="50" t="n">
        <x:v>46273.43124999998</x:v>
      </x:c>
      <x:c r="AG155" t="n">
        <x:v>44</x:v>
      </x:c>
      <x:c r="AH155" t="n">
        <x:v>80</x:v>
      </x:c>
      <x:c r="AI155" t="str">
        <x:v>Não</x:v>
      </x:c>
      <x:c r="AJ155" t="str">
        <x:v>Sim</x:v>
      </x:c>
      <x:c r="AK155" t="n">
        <x:v>60</x:v>
      </x:c>
      <x:c r="AL155" t="n">
        <x:v>0</x:v>
      </x:c>
      <x:c r="AM155" s="64" t="n">
        <x:v>2.0667</x:v>
      </x:c>
      <x:c r="AN155" t="n">
        <x:v>1</x:v>
      </x:c>
      <x:c r="AO155" t="str">
        <x:v>Vermelho</x:v>
      </x:c>
      <x:c r="AP155" t="str">
        <x:v>SLA sintético excedido (tempo acumulado ≥ 100% do SLA)</x:v>
      </x:c>
      <x:c r="AQ155" t="str">
        <x:v>Encerramento demonstrativo de Máquina de Tração; verificar fechamento e histórico para aprendizado. Sem despacho automático.</x:v>
      </x:c>
      <x:c r="AR155" s="62" t="n">
        <x:v>1085</x:v>
      </x:c>
      <x:c r="AS155" t="str">
        <x:v>Médio</x:v>
      </x:c>
      <x:c r="AT155" s="50" t="n">
        <x:v>46273.520833333336</x:v>
      </x:c>
      <x:c r="AU155" t="str">
        <x:v>T06</x:v>
      </x:c>
      <x:c r="AV155" t="str">
        <x:v>T2 original + evolução sintética posterior</x:v>
      </x:c>
    </x:row>
    <x:row r="156">
      <x:c r="A156" t="str">
        <x:v>CH-20260908-014</x:v>
      </x:c>
      <x:c r="B156" t="str">
        <x:v>Iluminação de Cabine</x:v>
      </x:c>
      <x:c r="C156" t="str">
        <x:v>Iluminação inoperante</x:v>
      </x:c>
      <x:c r="D156" t="str">
        <x:v>Cabine com iluminação parcial ou total indisponível.</x:v>
      </x:c>
      <x:c r="E156" t="str">
        <x:v>Concluído</x:v>
      </x:c>
      <x:c r="F156" t="str">
        <x:v>IoT</x:v>
      </x:c>
      <x:c r="G156" t="str">
        <x:v>E-114</x:v>
      </x:c>
      <x:c r="H156" t="str">
        <x:v>Elevador Social</x:v>
      </x:c>
      <x:c r="I156" t="str">
        <x:v>Microprocessado</x:v>
      </x:c>
      <x:c r="J156" t="str">
        <x:v>Gearless</x:v>
      </x:c>
      <x:c r="K156" t="str">
        <x:v>OTIS</x:v>
      </x:c>
      <x:c r="L156" t="str">
        <x:v>ROT-052</x:v>
      </x:c>
      <x:c r="M156" t="str">
        <x:v>Elétrica</x:v>
      </x:c>
      <x:c r="N156" t="str">
        <x:v>Fonte</x:v>
      </x:c>
      <x:c r="O156" t="str">
        <x:v>Sem alimentação</x:v>
      </x:c>
      <x:c r="P156" t="str">
        <x:v>Falha elétrica</x:v>
      </x:c>
      <x:c r="Q156" t="str">
        <x:v>Inspeção técnica e normalização demonstrativas de Elétrica; resolução sintética, sem confirmação de consumo de peças.</x:v>
      </x:c>
      <x:c r="R156" t="str">
        <x:v>Shopping Center Norte</x:v>
      </x:c>
      <x:c r="S156" t="str">
        <x:v>Não</x:v>
      </x:c>
      <x:c r="T156" t="str">
        <x:v>Sim</x:v>
      </x:c>
      <x:c r="U156" t="str">
        <x:v>CT-2026-002</x:v>
      </x:c>
      <x:c r="V156" t="str">
        <x:v>SP-Norte</x:v>
      </x:c>
      <x:c r="W156" t="str">
        <x:v>Marcos Lima</x:v>
      </x:c>
      <x:c r="X156" t="str">
        <x:v>Supervisor B</x:v>
      </x:c>
      <x:c r="Y156" t="str">
        <x:v>Rota Norte 02</x:v>
      </x:c>
      <x:c r="Z156" t="str">
        <x:v>Av. Otto Baumgart, 245 - São Paulo/SP</x:v>
      </x:c>
      <x:c r="AA156" t="str">
        <x:v>São Paulo</x:v>
      </x:c>
      <x:c r="AB156" s="50" t="n">
        <x:v>46273.3451388889</x:v>
      </x:c>
      <x:c r="AC156" s="50" t="n">
        <x:v>46273.3493055556</x:v>
      </x:c>
      <x:c r="AD156" s="50" t="n">
        <x:v>46273.3534722222</x:v>
      </x:c>
      <x:c r="AE156" s="50" t="n">
        <x:v>46273.3826388889</x:v>
      </x:c>
      <x:c r="AF156" s="50" t="n">
        <x:v>46273.4451388889</x:v>
      </x:c>
      <x:c r="AG156" t="n">
        <x:v>54</x:v>
      </x:c>
      <x:c r="AH156" t="n">
        <x:v>85</x:v>
      </x:c>
      <x:c r="AI156" t="str">
        <x:v>Não</x:v>
      </x:c>
      <x:c r="AJ156" t="str">
        <x:v>Não</x:v>
      </x:c>
      <x:c r="AK156" t="n">
        <x:v>90</x:v>
      </x:c>
      <x:c r="AL156" t="n">
        <x:v>0</x:v>
      </x:c>
      <x:c r="AM156" s="64" t="n">
        <x:v>1.5444</x:v>
      </x:c>
      <x:c r="AN156" t="n">
        <x:v>0</x:v>
      </x:c>
      <x:c r="AO156" t="str">
        <x:v>Vermelho</x:v>
      </x:c>
      <x:c r="AP156" t="str">
        <x:v>SLA sintético excedido (tempo acumulado ≥ 100% do SLA)</x:v>
      </x:c>
      <x:c r="AQ156" t="str">
        <x:v>Encerramento demonstrativo de Elétrica; verificar fechamento e histórico para aprendizado. Sem despacho automático.</x:v>
      </x:c>
      <x:c r="AR156" s="62" t="n">
        <x:v>770</x:v>
      </x:c>
      <x:c r="AS156" t="str">
        <x:v>Médio</x:v>
      </x:c>
      <x:c r="AT156" s="50" t="n">
        <x:v>46273.520833333336</x:v>
      </x:c>
      <x:c r="AU156" t="str">
        <x:v>T06</x:v>
      </x:c>
      <x:c r="AV156" t="str">
        <x:v>T2 original + evolução sintética posterior</x:v>
      </x:c>
    </x:row>
    <x:row r="157">
      <x:c r="A157" t="str">
        <x:v>CH-20260908-015</x:v>
      </x:c>
      <x:c r="B157" t="str">
        <x:v>Botão de Chamada</x:v>
      </x:c>
      <x:c r="C157" t="str">
        <x:v>Botão não responde</x:v>
      </x:c>
      <x:c r="D157" t="str">
        <x:v>Botão de chamada não registra comando.</x:v>
      </x:c>
      <x:c r="E157" t="str">
        <x:v>Concluído</x:v>
      </x:c>
      <x:c r="F157" t="str">
        <x:v>Aplicativo Cliente</x:v>
      </x:c>
      <x:c r="G157" t="str">
        <x:v>E-115</x:v>
      </x:c>
      <x:c r="H157" t="str">
        <x:v>Elevador Social</x:v>
      </x:c>
      <x:c r="I157" t="str">
        <x:v>Microprocessado</x:v>
      </x:c>
      <x:c r="J157" t="str">
        <x:v>Gearless</x:v>
      </x:c>
      <x:c r="K157" t="str">
        <x:v>OTIS</x:v>
      </x:c>
      <x:c r="L157" t="str">
        <x:v>ROT-063</x:v>
      </x:c>
      <x:c r="M157" t="str">
        <x:v>Botoeira</x:v>
      </x:c>
      <x:c r="N157" t="str">
        <x:v>Contato</x:v>
      </x:c>
      <x:c r="O157" t="str">
        <x:v>Mau contato</x:v>
      </x:c>
      <x:c r="P157" t="str">
        <x:v>Falha de comando</x:v>
      </x:c>
      <x:c r="Q157" t="str">
        <x:v>Inspeção técnica e normalização demonstrativas de Botoeira; resolução sintética, sem confirmação de consumo de peças.</x:v>
      </x:c>
      <x:c r="R157" t="str">
        <x:v>Edifício Corporate</x:v>
      </x:c>
      <x:c r="S157" t="str">
        <x:v>Não</x:v>
      </x:c>
      <x:c r="T157" t="str">
        <x:v>Sim</x:v>
      </x:c>
      <x:c r="U157" t="str">
        <x:v>CT-2026-003</x:v>
      </x:c>
      <x:c r="V157" t="str">
        <x:v>SP-Oeste</x:v>
      </x:c>
      <x:c r="W157" t="str">
        <x:v>Ana Costa</x:v>
      </x:c>
      <x:c r="X157" t="str">
        <x:v>Supervisor C</x:v>
      </x:c>
      <x:c r="Y157" t="str">
        <x:v>Rota Oeste 03</x:v>
      </x:c>
      <x:c r="Z157" t="str">
        <x:v>Av. Faria Lima, 3500 - São Paulo/SP</x:v>
      </x:c>
      <x:c r="AA157" t="str">
        <x:v>São Paulo</x:v>
      </x:c>
      <x:c r="AB157" s="50" t="n">
        <x:v>46273.3486111111</x:v>
      </x:c>
      <x:c r="AC157" s="50" t="n">
        <x:v>46273.35</x:v>
      </x:c>
      <x:c r="AD157" s="50" t="n">
        <x:v>46273.3513888889</x:v>
      </x:c>
      <x:c r="AE157" s="50" t="n">
        <x:v>46273.3618055556</x:v>
      </x:c>
      <x:c r="AF157" s="50" t="n">
        <x:v>46273.42152777778</x:v>
      </x:c>
      <x:c r="AG157" t="n">
        <x:v>19</x:v>
      </x:c>
      <x:c r="AH157" t="n">
        <x:v>81</x:v>
      </x:c>
      <x:c r="AI157" t="str">
        <x:v>Não</x:v>
      </x:c>
      <x:c r="AJ157" t="str">
        <x:v>Não</x:v>
      </x:c>
      <x:c r="AK157" t="n">
        <x:v>120</x:v>
      </x:c>
      <x:c r="AL157" t="n">
        <x:v>0</x:v>
      </x:c>
      <x:c r="AM157" s="64" t="n">
        <x:v>0.8333</x:v>
      </x:c>
      <x:c r="AN157" t="n">
        <x:v>2</x:v>
      </x:c>
      <x:c r="AO157" t="str">
        <x:v>Laranja</x:v>
      </x:c>
      <x:c r="AP157" t="str">
        <x:v>janela de intervenção: tempo acumulado ≥ 80% do SLA</x:v>
      </x:c>
      <x:c r="AQ157" t="str">
        <x:v>Encerramento demonstrativo de Botoeira; verificar fechamento e histórico para aprendizado. Sem despacho automático.</x:v>
      </x:c>
      <x:c r="AR157" s="62" t="n">
        <x:v>739</x:v>
      </x:c>
      <x:c r="AS157" t="str">
        <x:v>Baixo</x:v>
      </x:c>
      <x:c r="AT157" s="50" t="n">
        <x:v>46273.520833333336</x:v>
      </x:c>
      <x:c r="AU157" t="str">
        <x:v>T06</x:v>
      </x:c>
      <x:c r="AV157" t="str">
        <x:v>T2 original + evolução sintética posterior</x:v>
      </x:c>
    </x:row>
    <x:row r="158">
      <x:c r="A158" t="str">
        <x:v>CH-20260908-016</x:v>
      </x:c>
      <x:c r="B158" t="str">
        <x:v>Parada Intermitente</x:v>
      </x:c>
      <x:c r="C158" t="str">
        <x:v>Paradas aleatórias</x:v>
      </x:c>
      <x:c r="D158" t="str">
        <x:v>Equipamento interrompe operação de forma intermitente.</x:v>
      </x:c>
      <x:c r="E158" t="str">
        <x:v>Concluído</x:v>
      </x:c>
      <x:c r="F158" t="str">
        <x:v>Monitoramento Remoto</x:v>
      </x:c>
      <x:c r="G158" t="str">
        <x:v>E-116</x:v>
      </x:c>
      <x:c r="H158" t="str">
        <x:v>Elevador Social</x:v>
      </x:c>
      <x:c r="I158" t="str">
        <x:v>Microprocessado</x:v>
      </x:c>
      <x:c r="J158" t="str">
        <x:v>Gearless</x:v>
      </x:c>
      <x:c r="K158" t="str">
        <x:v>OTIS</x:v>
      </x:c>
      <x:c r="L158" t="str">
        <x:v>ROT-074</x:v>
      </x:c>
      <x:c r="M158" t="str">
        <x:v>Painel/Comando</x:v>
      </x:c>
      <x:c r="N158" t="str">
        <x:v>Placa</x:v>
      </x:c>
      <x:c r="O158" t="str">
        <x:v>Intermitência</x:v>
      </x:c>
      <x:c r="P158" t="str">
        <x:v>Falha intermitente</x:v>
      </x:c>
      <x:c r="Q158" t="str">
        <x:v>Inspeção técnica e normalização demonstrativas de Painel/Comando; resolução sintética, sem confirmação de consumo de peças.</x:v>
      </x:c>
      <x:c r="R158" t="str">
        <x:v>Condomínio Alameda</x:v>
      </x:c>
      <x:c r="S158" t="str">
        <x:v>Não</x:v>
      </x:c>
      <x:c r="T158" t="str">
        <x:v>Não</x:v>
      </x:c>
      <x:c r="U158" t="str">
        <x:v>CT-2026-004</x:v>
      </x:c>
      <x:c r="V158" t="str">
        <x:v>SP-Sul</x:v>
      </x:c>
      <x:c r="W158" t="str">
        <x:v>Carlos Souza</x:v>
      </x:c>
      <x:c r="X158" t="str">
        <x:v>Supervisor D</x:v>
      </x:c>
      <x:c r="Y158" t="str">
        <x:v>Rota Sul 04</x:v>
      </x:c>
      <x:c r="Z158" t="str">
        <x:v>R. das Acácias, 420 - São Paulo/SP</x:v>
      </x:c>
      <x:c r="AA158" t="str">
        <x:v>São Paulo</x:v>
      </x:c>
      <x:c r="AB158" s="50" t="n">
        <x:v>46273.3520833333</x:v>
      </x:c>
      <x:c r="AC158" s="50" t="n">
        <x:v>46273.3541666667</x:v>
      </x:c>
      <x:c r="AD158" s="50" t="n">
        <x:v>46273.3569444444</x:v>
      </x:c>
      <x:c r="AE158" s="50" t="n">
        <x:v>46273.3722222222</x:v>
      </x:c>
      <x:c r="AF158" s="50" t="n">
        <x:v>46273.46249999998</x:v>
      </x:c>
      <x:c r="AG158" t="n">
        <x:v>29</x:v>
      </x:c>
      <x:c r="AH158" t="n">
        <x:v>125</x:v>
      </x:c>
      <x:c r="AI158" t="str">
        <x:v>Não</x:v>
      </x:c>
      <x:c r="AJ158" t="str">
        <x:v>Sim</x:v>
      </x:c>
      <x:c r="AK158" t="n">
        <x:v>180</x:v>
      </x:c>
      <x:c r="AL158" t="n">
        <x:v>0</x:v>
      </x:c>
      <x:c r="AM158" s="64" t="n">
        <x:v>0.8556</x:v>
      </x:c>
      <x:c r="AN158" t="n">
        <x:v>4</x:v>
      </x:c>
      <x:c r="AO158" t="str">
        <x:v>Laranja</x:v>
      </x:c>
      <x:c r="AP158" t="str">
        <x:v>janela de intervenção: tempo acumulado ≥ 80% do SLA</x:v>
      </x:c>
      <x:c r="AQ158" t="str">
        <x:v>Encerramento demonstrativo de Painel/Comando; verificar fechamento e histórico para aprendizado. Sem despacho automático.</x:v>
      </x:c>
      <x:c r="AR158" s="62" t="n">
        <x:v>1564</x:v>
      </x:c>
      <x:c r="AS158" t="str">
        <x:v>Alto</x:v>
      </x:c>
      <x:c r="AT158" s="50" t="n">
        <x:v>46273.520833333336</x:v>
      </x:c>
      <x:c r="AU158" t="str">
        <x:v>T06</x:v>
      </x:c>
      <x:c r="AV158" t="str">
        <x:v>T2 original + evolução sintética posterior</x:v>
      </x:c>
    </x:row>
    <x:row r="159">
      <x:c r="A159" t="str">
        <x:v>CH-20260908-017</x:v>
      </x:c>
      <x:c r="B159" t="str">
        <x:v>Passageiro Preso</x:v>
      </x:c>
      <x:c r="C159" t="str">
        <x:v>Elevador parado entre andares</x:v>
      </x:c>
      <x:c r="D159" t="str">
        <x:v>Cabine imobilizada com passageiro no interior.</x:v>
      </x:c>
      <x:c r="E159" t="str">
        <x:v>Concluído</x:v>
      </x:c>
      <x:c r="F159" t="str">
        <x:v>Central de Atendimento</x:v>
      </x:c>
      <x:c r="G159" t="str">
        <x:v>E-117</x:v>
      </x:c>
      <x:c r="H159" t="str">
        <x:v>Elevador Social</x:v>
      </x:c>
      <x:c r="I159" t="str">
        <x:v>Microprocessado</x:v>
      </x:c>
      <x:c r="J159" t="str">
        <x:v>Gearless</x:v>
      </x:c>
      <x:c r="K159" t="str">
        <x:v>OTIS</x:v>
      </x:c>
      <x:c r="L159" t="str">
        <x:v>ROT-001</x:v>
      </x:c>
      <x:c r="M159" t="str">
        <x:v>Tração</x:v>
      </x:c>
      <x:c r="N159" t="str">
        <x:v>Freio</x:v>
      </x:c>
      <x:c r="O159" t="str">
        <x:v>Travamento</x:v>
      </x:c>
      <x:c r="P159" t="str">
        <x:v>Parada total</x:v>
      </x:c>
      <x:c r="Q159" t="str">
        <x:v>Resgate concluído e equipamento normalizado</x:v>
      </x:c>
      <x:c r="R159" t="str">
        <x:v>Aeroporto Terminal 3</x:v>
      </x:c>
      <x:c r="S159" t="str">
        <x:v>Sim</x:v>
      </x:c>
      <x:c r="T159" t="str">
        <x:v>Sim</x:v>
      </x:c>
      <x:c r="U159" t="str">
        <x:v>CT-2026-005</x:v>
      </x:c>
      <x:c r="V159" t="str">
        <x:v>GRU</x:v>
      </x:c>
      <x:c r="W159" t="str">
        <x:v>Renata Alves</x:v>
      </x:c>
      <x:c r="X159" t="str">
        <x:v>Supervisor A</x:v>
      </x:c>
      <x:c r="Y159" t="str">
        <x:v>Rota GRU 05</x:v>
      </x:c>
      <x:c r="Z159" t="str">
        <x:v>Rod. Hélio Smidt, s/n - Guarulhos/SP</x:v>
      </x:c>
      <x:c r="AA159" t="str">
        <x:v>São Paulo</x:v>
      </x:c>
      <x:c r="AB159" s="50" t="n">
        <x:v>46273.3555555556</x:v>
      </x:c>
      <x:c r="AC159" s="50" t="n">
        <x:v>46273.3583333333</x:v>
      </x:c>
      <x:c r="AD159" s="50" t="n">
        <x:v>46273.3625</x:v>
      </x:c>
      <x:c r="AE159" s="50" t="n">
        <x:v>46273.3763888889</x:v>
      </x:c>
      <x:c r="AF159" s="50" t="n">
        <x:v>46273.3993055556</x:v>
      </x:c>
      <x:c r="AG159" t="n">
        <x:v>30</x:v>
      </x:c>
      <x:c r="AH159" t="n">
        <x:v>28</x:v>
      </x:c>
      <x:c r="AI159" t="str">
        <x:v>Sim</x:v>
      </x:c>
      <x:c r="AJ159" t="str">
        <x:v>Sim</x:v>
      </x:c>
      <x:c r="AK159" t="n">
        <x:v>45</x:v>
      </x:c>
      <x:c r="AL159" t="n">
        <x:v>0</x:v>
      </x:c>
      <x:c r="AM159" s="64" t="n">
        <x:v>1.2889</x:v>
      </x:c>
      <x:c r="AN159" t="n">
        <x:v>0</x:v>
      </x:c>
      <x:c r="AO159" t="str">
        <x:v>Vermelho</x:v>
      </x:c>
      <x:c r="AP159" t="str">
        <x:v>passageiro preso; SLA estourado; carro parado</x:v>
      </x:c>
      <x:c r="AQ159" t="str">
        <x:v>Sem recorrência relevante; acompanhar evolução de Tração.</x:v>
      </x:c>
      <x:c r="AR159" s="62" t="n">
        <x:v>906</x:v>
      </x:c>
      <x:c r="AS159" t="str">
        <x:v>Médio</x:v>
      </x:c>
      <x:c r="AT159" s="50" t="n">
        <x:v>46273.520833333336</x:v>
      </x:c>
      <x:c r="AU159" t="str">
        <x:v>T06</x:v>
      </x:c>
      <x:c r="AV159" t="str">
        <x:v>T2 original + evolução sintética posterior</x:v>
      </x:c>
    </x:row>
    <x:row r="160">
      <x:c r="A160" t="str">
        <x:v>CH-20260908-018</x:v>
      </x:c>
      <x:c r="B160" t="str">
        <x:v>Falha de Nivelamento</x:v>
      </x:c>
      <x:c r="C160" t="str">
        <x:v>Cabine desnivelada</x:v>
      </x:c>
      <x:c r="D160" t="str">
        <x:v>Cabine parou fora do nível do pavimento.</x:v>
      </x:c>
      <x:c r="E160" t="str">
        <x:v>Concluído</x:v>
      </x:c>
      <x:c r="F160" t="str">
        <x:v>IoT</x:v>
      </x:c>
      <x:c r="G160" t="str">
        <x:v>E-118</x:v>
      </x:c>
      <x:c r="H160" t="str">
        <x:v>Elevador Social</x:v>
      </x:c>
      <x:c r="I160" t="str">
        <x:v>Microprocessado</x:v>
      </x:c>
      <x:c r="J160" t="str">
        <x:v>Gearless</x:v>
      </x:c>
      <x:c r="K160" t="str">
        <x:v>OTIS</x:v>
      </x:c>
      <x:c r="L160" t="str">
        <x:v>ROT-014</x:v>
      </x:c>
      <x:c r="M160" t="str">
        <x:v>Sensor de Nível</x:v>
      </x:c>
      <x:c r="N160" t="str">
        <x:v>Sensor</x:v>
      </x:c>
      <x:c r="O160" t="str">
        <x:v>Leitura inconsistente</x:v>
      </x:c>
      <x:c r="P160" t="str">
        <x:v>Falha de nivelamento</x:v>
      </x:c>
      <x:c r="Q160" t="str">
        <x:v>Inspeção técnica e normalização demonstrativas de Sensor de Nível; resolução sintética, sem confirmação de consumo de peças.</x:v>
      </x:c>
      <x:c r="R160" t="str">
        <x:v>Universidade Central</x:v>
      </x:c>
      <x:c r="S160" t="str">
        <x:v>Não</x:v>
      </x:c>
      <x:c r="T160" t="str">
        <x:v>Sim</x:v>
      </x:c>
      <x:c r="U160" t="str">
        <x:v>CT-2026-006</x:v>
      </x:c>
      <x:c r="V160" t="str">
        <x:v>SP-Leste</x:v>
      </x:c>
      <x:c r="W160" t="str">
        <x:v>Paulo Mendes</x:v>
      </x:c>
      <x:c r="X160" t="str">
        <x:v>Supervisor B</x:v>
      </x:c>
      <x:c r="Y160" t="str">
        <x:v>Rota Leste 06</x:v>
      </x:c>
      <x:c r="Z160" t="str">
        <x:v>Av. Central, 850 - São Paulo/SP</x:v>
      </x:c>
      <x:c r="AA160" t="str">
        <x:v>São Paulo</x:v>
      </x:c>
      <x:c r="AB160" s="50" t="n">
        <x:v>46273.3590277778</x:v>
      </x:c>
      <x:c r="AC160" s="50" t="n">
        <x:v>46273.3625</x:v>
      </x:c>
      <x:c r="AD160" s="50" t="n">
        <x:v>46273.363888888896</x:v>
      </x:c>
      <x:c r="AE160" s="50" t="n">
        <x:v>46273.3888888889</x:v>
      </x:c>
      <x:c r="AF160" s="50" t="n">
        <x:v>46273.437500000015</x:v>
      </x:c>
      <x:c r="AG160" t="n">
        <x:v>43</x:v>
      </x:c>
      <x:c r="AH160" t="n">
        <x:v>65</x:v>
      </x:c>
      <x:c r="AI160" t="str">
        <x:v>Não</x:v>
      </x:c>
      <x:c r="AJ160" t="str">
        <x:v>Não</x:v>
      </x:c>
      <x:c r="AK160" t="n">
        <x:v>120</x:v>
      </x:c>
      <x:c r="AL160" t="n">
        <x:v>0</x:v>
      </x:c>
      <x:c r="AM160" s="64" t="n">
        <x:v>0.9</x:v>
      </x:c>
      <x:c r="AN160" t="n">
        <x:v>1</x:v>
      </x:c>
      <x:c r="AO160" t="str">
        <x:v>Laranja</x:v>
      </x:c>
      <x:c r="AP160" t="str">
        <x:v>janela de intervenção: tempo acumulado ≥ 80% do SLA</x:v>
      </x:c>
      <x:c r="AQ160" t="str">
        <x:v>Encerramento demonstrativo de Sensor de Nível; verificar fechamento e histórico para aprendizado. Sem despacho automático.</x:v>
      </x:c>
      <x:c r="AR160" s="62" t="n">
        <x:v>613</x:v>
      </x:c>
      <x:c r="AS160" t="str">
        <x:v>Baixo</x:v>
      </x:c>
      <x:c r="AT160" s="50" t="n">
        <x:v>46273.520833333336</x:v>
      </x:c>
      <x:c r="AU160" t="str">
        <x:v>T06</x:v>
      </x:c>
      <x:c r="AV160" t="str">
        <x:v>T2 original + evolução sintética posterior</x:v>
      </x:c>
    </x:row>
    <x:row r="161">
      <x:c r="A161" t="str">
        <x:v>CH-20260908-019</x:v>
      </x:c>
      <x:c r="B161" t="str">
        <x:v>Porta não fecha</x:v>
      </x:c>
      <x:c r="C161" t="str">
        <x:v>Falha no fechamento</x:v>
      </x:c>
      <x:c r="D161" t="str">
        <x:v>Porta permanece aberta e impede partida.</x:v>
      </x:c>
      <x:c r="E161" t="str">
        <x:v>Concluído</x:v>
      </x:c>
      <x:c r="F161" t="str">
        <x:v>Aplicativo Cliente</x:v>
      </x:c>
      <x:c r="G161" t="str">
        <x:v>E-119</x:v>
      </x:c>
      <x:c r="H161" t="str">
        <x:v>Elevador Social</x:v>
      </x:c>
      <x:c r="I161" t="str">
        <x:v>Microprocessado</x:v>
      </x:c>
      <x:c r="J161" t="str">
        <x:v>Gearless</x:v>
      </x:c>
      <x:c r="K161" t="str">
        <x:v>OTIS</x:v>
      </x:c>
      <x:c r="L161" t="str">
        <x:v>ROT-021</x:v>
      </x:c>
      <x:c r="M161" t="str">
        <x:v>Operador de Porta</x:v>
      </x:c>
      <x:c r="N161" t="str">
        <x:v>Sensor de porta</x:v>
      </x:c>
      <x:c r="O161" t="str">
        <x:v>Falha de leitura</x:v>
      </x:c>
      <x:c r="P161" t="str">
        <x:v>Porta aberta</x:v>
      </x:c>
      <x:c r="Q161" t="str">
        <x:v>Inspeção técnica e normalização demonstrativas de Operador de Porta; resolução sintética, sem confirmação de consumo de peças.</x:v>
      </x:c>
      <x:c r="R161" t="str">
        <x:v>Hospital São Paulo</x:v>
      </x:c>
      <x:c r="S161" t="str">
        <x:v>Sim</x:v>
      </x:c>
      <x:c r="T161" t="str">
        <x:v>Sim</x:v>
      </x:c>
      <x:c r="U161" t="str">
        <x:v>CT-2026-001</x:v>
      </x:c>
      <x:c r="V161" t="str">
        <x:v>SP-Centro</x:v>
      </x:c>
      <x:c r="W161" t="str">
        <x:v>João Silva</x:v>
      </x:c>
      <x:c r="X161" t="str">
        <x:v>Supervisor C</x:v>
      </x:c>
      <x:c r="Y161" t="str">
        <x:v>Rota Centro 01</x:v>
      </x:c>
      <x:c r="Z161" t="str">
        <x:v>Av. Paulista, 1000 - São Paulo/SP</x:v>
      </x:c>
      <x:c r="AA161" t="str">
        <x:v>São Paulo</x:v>
      </x:c>
      <x:c r="AB161" s="50" t="n">
        <x:v>46273.3625</x:v>
      </x:c>
      <x:c r="AC161" s="50" t="n">
        <x:v>46273.3666666667</x:v>
      </x:c>
      <x:c r="AD161" s="50" t="n">
        <x:v>46273.3694444444</x:v>
      </x:c>
      <x:c r="AE161" s="50" t="n">
        <x:v>46273.399305555555</x:v>
      </x:c>
      <x:c r="AF161" s="50" t="n">
        <x:v>46273.48263888889</x:v>
      </x:c>
      <x:c r="AG161" t="n">
        <x:v>53</x:v>
      </x:c>
      <x:c r="AH161" t="n">
        <x:v>115</x:v>
      </x:c>
      <x:c r="AI161" t="str">
        <x:v>Não</x:v>
      </x:c>
      <x:c r="AJ161" t="str">
        <x:v>Não</x:v>
      </x:c>
      <x:c r="AK161" t="n">
        <x:v>60</x:v>
      </x:c>
      <x:c r="AL161" t="n">
        <x:v>0</x:v>
      </x:c>
      <x:c r="AM161" s="64" t="n">
        <x:v>2.8</x:v>
      </x:c>
      <x:c r="AN161" t="n">
        <x:v>2</x:v>
      </x:c>
      <x:c r="AO161" t="str">
        <x:v>Vermelho</x:v>
      </x:c>
      <x:c r="AP161" t="str">
        <x:v>SLA sintético excedido (tempo acumulado ≥ 100% do SLA)</x:v>
      </x:c>
      <x:c r="AQ161" t="str">
        <x:v>Encerramento demonstrativo de Operador de Porta; verificar fechamento e histórico para aprendizado. Sem despacho automático.</x:v>
      </x:c>
      <x:c r="AR161" s="62" t="n">
        <x:v>718</x:v>
      </x:c>
      <x:c r="AS161" t="str">
        <x:v>Baixo</x:v>
      </x:c>
      <x:c r="AT161" s="50" t="n">
        <x:v>46273.520833333336</x:v>
      </x:c>
      <x:c r="AU161" t="str">
        <x:v>T06</x:v>
      </x:c>
      <x:c r="AV161" t="str">
        <x:v>T2 original + evolução sintética posterior</x:v>
      </x:c>
    </x:row>
    <x:row r="162">
      <x:c r="A162" t="str">
        <x:v>CH-20260908-020</x:v>
      </x:c>
      <x:c r="B162" t="str">
        <x:v>Painel sem comunicação</x:v>
      </x:c>
      <x:c r="C162" t="str">
        <x:v>Falha de comunicação</x:v>
      </x:c>
      <x:c r="D162" t="str">
        <x:v>Painel não responde aos comandos.</x:v>
      </x:c>
      <x:c r="E162" t="str">
        <x:v>Concluído</x:v>
      </x:c>
      <x:c r="F162" t="str">
        <x:v>Monitoramento Remoto</x:v>
      </x:c>
      <x:c r="G162" t="str">
        <x:v>E-120</x:v>
      </x:c>
      <x:c r="H162" t="str">
        <x:v>Elevador Social</x:v>
      </x:c>
      <x:c r="I162" t="str">
        <x:v>Microprocessado</x:v>
      </x:c>
      <x:c r="J162" t="str">
        <x:v>Gearless</x:v>
      </x:c>
      <x:c r="K162" t="str">
        <x:v>OTIS</x:v>
      </x:c>
      <x:c r="L162" t="str">
        <x:v>ROT-033</x:v>
      </x:c>
      <x:c r="M162" t="str">
        <x:v>Painel/Comando</x:v>
      </x:c>
      <x:c r="N162" t="str">
        <x:v>Interface</x:v>
      </x:c>
      <x:c r="O162" t="str">
        <x:v>Sem comunicação</x:v>
      </x:c>
      <x:c r="P162" t="str">
        <x:v>Falha lógica</x:v>
      </x:c>
      <x:c r="Q162" t="str">
        <x:v>Inspeção técnica e normalização demonstrativas de Painel/Comando; resolução sintética, sem confirmação de consumo de peças.</x:v>
      </x:c>
      <x:c r="R162" t="str">
        <x:v>Shopping Center Norte</x:v>
      </x:c>
      <x:c r="S162" t="str">
        <x:v>Não</x:v>
      </x:c>
      <x:c r="T162" t="str">
        <x:v>Sim</x:v>
      </x:c>
      <x:c r="U162" t="str">
        <x:v>CT-2026-002</x:v>
      </x:c>
      <x:c r="V162" t="str">
        <x:v>SP-Norte</x:v>
      </x:c>
      <x:c r="W162" t="str">
        <x:v>Marcos Lima</x:v>
      </x:c>
      <x:c r="X162" t="str">
        <x:v>Supervisor D</x:v>
      </x:c>
      <x:c r="Y162" t="str">
        <x:v>Rota Norte 02</x:v>
      </x:c>
      <x:c r="Z162" t="str">
        <x:v>Av. Otto Baumgart, 245 - São Paulo/SP</x:v>
      </x:c>
      <x:c r="AA162" t="str">
        <x:v>São Paulo</x:v>
      </x:c>
      <x:c r="AB162" s="50" t="n">
        <x:v>46273.3659722222</x:v>
      </x:c>
      <x:c r="AC162" s="50" t="n">
        <x:v>46273.3673611111</x:v>
      </x:c>
      <x:c r="AD162" s="50" t="n">
        <x:v>46273.3715277778</x:v>
      </x:c>
      <x:c r="AE162" s="50" t="n">
        <x:v>46273.3826388889</x:v>
      </x:c>
      <x:c r="AF162" s="50" t="n">
        <x:v>46273.4763888889</x:v>
      </x:c>
      <x:c r="AG162" t="n">
        <x:v>24</x:v>
      </x:c>
      <x:c r="AH162" t="n">
        <x:v>130</x:v>
      </x:c>
      <x:c r="AI162" t="str">
        <x:v>Não</x:v>
      </x:c>
      <x:c r="AJ162" t="str">
        <x:v>Não</x:v>
      </x:c>
      <x:c r="AK162" t="n">
        <x:v>90</x:v>
      </x:c>
      <x:c r="AL162" t="n">
        <x:v>0</x:v>
      </x:c>
      <x:c r="AM162" s="64" t="n">
        <x:v>1.7111</x:v>
      </x:c>
      <x:c r="AN162" t="n">
        <x:v>3</x:v>
      </x:c>
      <x:c r="AO162" t="str">
        <x:v>Vermelho</x:v>
      </x:c>
      <x:c r="AP162" t="str">
        <x:v>SLA sintético excedido (tempo acumulado ≥ 100% do SLA)</x:v>
      </x:c>
      <x:c r="AQ162" t="str">
        <x:v>Encerramento demonstrativo de Painel/Comando; verificar fechamento e histórico para aprendizado. Sem despacho automático.</x:v>
      </x:c>
      <x:c r="AR162" s="62" t="n">
        <x:v>1407</x:v>
      </x:c>
      <x:c r="AS162" t="str">
        <x:v>Alto</x:v>
      </x:c>
      <x:c r="AT162" s="50" t="n">
        <x:v>46273.520833333336</x:v>
      </x:c>
      <x:c r="AU162" t="str">
        <x:v>T06</x:v>
      </x:c>
      <x:c r="AV162" t="str">
        <x:v>T2 original + evolução sintética posterior</x:v>
      </x:c>
    </x:row>
    <x:row r="163">
      <x:c r="A163" t="str">
        <x:v>CH-20260908-021</x:v>
      </x:c>
      <x:c r="B163" t="str">
        <x:v>Falha de Tração</x:v>
      </x:c>
      <x:c r="C163" t="str">
        <x:v>Movimento irregular</x:v>
      </x:c>
      <x:c r="D163" t="str">
        <x:v>Equipamento apresenta perda de tração.</x:v>
      </x:c>
      <x:c r="E163" t="str">
        <x:v>Concluído</x:v>
      </x:c>
      <x:c r="F163" t="str">
        <x:v>Central de Atendimento</x:v>
      </x:c>
      <x:c r="G163" t="str">
        <x:v>E-121</x:v>
      </x:c>
      <x:c r="H163" t="str">
        <x:v>Elevador Social</x:v>
      </x:c>
      <x:c r="I163" t="str">
        <x:v>Microprocessado</x:v>
      </x:c>
      <x:c r="J163" t="str">
        <x:v>Gearless</x:v>
      </x:c>
      <x:c r="K163" t="str">
        <x:v>OTIS</x:v>
      </x:c>
      <x:c r="L163" t="str">
        <x:v>ROT-041</x:v>
      </x:c>
      <x:c r="M163" t="str">
        <x:v>Máquina de Tração</x:v>
      </x:c>
      <x:c r="N163" t="str">
        <x:v>Inversor</x:v>
      </x:c>
      <x:c r="O163" t="str">
        <x:v>Oscilação</x:v>
      </x:c>
      <x:c r="P163" t="str">
        <x:v>Falha de movimento</x:v>
      </x:c>
      <x:c r="Q163" t="str">
        <x:v>Inspeção técnica e normalização demonstrativas de Máquina de Tração; resolução sintética, sem confirmação de consumo de peças.</x:v>
      </x:c>
      <x:c r="R163" t="str">
        <x:v>Edifício Corporate</x:v>
      </x:c>
      <x:c r="S163" t="str">
        <x:v>Não</x:v>
      </x:c>
      <x:c r="T163" t="str">
        <x:v>Sim</x:v>
      </x:c>
      <x:c r="U163" t="str">
        <x:v>CT-2026-003</x:v>
      </x:c>
      <x:c r="V163" t="str">
        <x:v>SP-Oeste</x:v>
      </x:c>
      <x:c r="W163" t="str">
        <x:v>Ana Costa</x:v>
      </x:c>
      <x:c r="X163" t="str">
        <x:v>Supervisor A</x:v>
      </x:c>
      <x:c r="Y163" t="str">
        <x:v>Rota Oeste 03</x:v>
      </x:c>
      <x:c r="Z163" t="str">
        <x:v>Av. Faria Lima, 3500 - São Paulo/SP</x:v>
      </x:c>
      <x:c r="AA163" t="str">
        <x:v>São Paulo</x:v>
      </x:c>
      <x:c r="AB163" s="50" t="n">
        <x:v>46273.3694444444</x:v>
      </x:c>
      <x:c r="AC163" s="50" t="n">
        <x:v>46273.3715277778</x:v>
      </x:c>
      <x:c r="AD163" s="50" t="n">
        <x:v>46273.372916666696</x:v>
      </x:c>
      <x:c r="AE163" s="50" t="n">
        <x:v>46273.3888888889</x:v>
      </x:c>
      <x:c r="AF163" s="50" t="n">
        <x:v>46273.44791666668</x:v>
      </x:c>
      <x:c r="AG163" t="n">
        <x:v>28</x:v>
      </x:c>
      <x:c r="AH163" t="n">
        <x:v>80</x:v>
      </x:c>
      <x:c r="AI163" t="str">
        <x:v>Não</x:v>
      </x:c>
      <x:c r="AJ163" t="str">
        <x:v>Sim</x:v>
      </x:c>
      <x:c r="AK163" t="n">
        <x:v>120</x:v>
      </x:c>
      <x:c r="AL163" t="n">
        <x:v>0</x:v>
      </x:c>
      <x:c r="AM163" s="64" t="n">
        <x:v>0.9</x:v>
      </x:c>
      <x:c r="AN163" t="n">
        <x:v>1</x:v>
      </x:c>
      <x:c r="AO163" t="str">
        <x:v>Laranja</x:v>
      </x:c>
      <x:c r="AP163" t="str">
        <x:v>janela de intervenção: tempo acumulado ≥ 80% do SLA</x:v>
      </x:c>
      <x:c r="AQ163" t="str">
        <x:v>Encerramento demonstrativo de Máquina de Tração; verificar fechamento e histórico para aprendizado. Sem despacho automático.</x:v>
      </x:c>
      <x:c r="AR163" s="62" t="n">
        <x:v>1212</x:v>
      </x:c>
      <x:c r="AS163" t="str">
        <x:v>Alto</x:v>
      </x:c>
      <x:c r="AT163" s="50" t="n">
        <x:v>46273.520833333336</x:v>
      </x:c>
      <x:c r="AU163" t="str">
        <x:v>T06</x:v>
      </x:c>
      <x:c r="AV163" t="str">
        <x:v>T2 original + evolução sintética posterior</x:v>
      </x:c>
    </x:row>
    <x:row r="164">
      <x:c r="A164" t="str">
        <x:v>CH-20260908-022</x:v>
      </x:c>
      <x:c r="B164" t="str">
        <x:v>Iluminação de Cabine</x:v>
      </x:c>
      <x:c r="C164" t="str">
        <x:v>Iluminação inoperante</x:v>
      </x:c>
      <x:c r="D164" t="str">
        <x:v>Cabine com iluminação parcial ou total indisponível.</x:v>
      </x:c>
      <x:c r="E164" t="str">
        <x:v>Concluído</x:v>
      </x:c>
      <x:c r="F164" t="str">
        <x:v>IoT</x:v>
      </x:c>
      <x:c r="G164" t="str">
        <x:v>E-122</x:v>
      </x:c>
      <x:c r="H164" t="str">
        <x:v>Elevador Social</x:v>
      </x:c>
      <x:c r="I164" t="str">
        <x:v>Microprocessado</x:v>
      </x:c>
      <x:c r="J164" t="str">
        <x:v>Gearless</x:v>
      </x:c>
      <x:c r="K164" t="str">
        <x:v>OTIS</x:v>
      </x:c>
      <x:c r="L164" t="str">
        <x:v>ROT-052</x:v>
      </x:c>
      <x:c r="M164" t="str">
        <x:v>Elétrica</x:v>
      </x:c>
      <x:c r="N164" t="str">
        <x:v>Fonte</x:v>
      </x:c>
      <x:c r="O164" t="str">
        <x:v>Sem alimentação</x:v>
      </x:c>
      <x:c r="P164" t="str">
        <x:v>Falha elétrica</x:v>
      </x:c>
      <x:c r="Q164" t="str">
        <x:v>Inspeção técnica e normalização demonstrativas de Elétrica; resolução sintética, sem confirmação de consumo de peças.</x:v>
      </x:c>
      <x:c r="R164" t="str">
        <x:v>Condomínio Alameda</x:v>
      </x:c>
      <x:c r="S164" t="str">
        <x:v>Não</x:v>
      </x:c>
      <x:c r="T164" t="str">
        <x:v>Não</x:v>
      </x:c>
      <x:c r="U164" t="str">
        <x:v>CT-2026-004</x:v>
      </x:c>
      <x:c r="V164" t="str">
        <x:v>SP-Sul</x:v>
      </x:c>
      <x:c r="W164" t="str">
        <x:v>Carlos Souza</x:v>
      </x:c>
      <x:c r="X164" t="str">
        <x:v>Supervisor B</x:v>
      </x:c>
      <x:c r="Y164" t="str">
        <x:v>Rota Sul 04</x:v>
      </x:c>
      <x:c r="Z164" t="str">
        <x:v>R. das Acácias, 420 - São Paulo/SP</x:v>
      </x:c>
      <x:c r="AA164" t="str">
        <x:v>São Paulo</x:v>
      </x:c>
      <x:c r="AB164" s="50" t="n">
        <x:v>46273.372916666696</x:v>
      </x:c>
      <x:c r="AC164" s="50" t="n">
        <x:v>46273.3756944445</x:v>
      </x:c>
      <x:c r="AD164" s="50" t="n">
        <x:v>46273.3784722222</x:v>
      </x:c>
      <x:c r="AE164" s="50" t="n">
        <x:v>46273.39930555559</x:v>
      </x:c>
      <x:c r="AF164" s="50" t="n">
        <x:v>46273.486111111146</x:v>
      </x:c>
      <x:c r="AG164" t="n">
        <x:v>38</x:v>
      </x:c>
      <x:c r="AH164" t="n">
        <x:v>120</x:v>
      </x:c>
      <x:c r="AI164" t="str">
        <x:v>Não</x:v>
      </x:c>
      <x:c r="AJ164" t="str">
        <x:v>Não</x:v>
      </x:c>
      <x:c r="AK164" t="n">
        <x:v>180</x:v>
      </x:c>
      <x:c r="AL164" t="n">
        <x:v>0</x:v>
      </x:c>
      <x:c r="AM164" s="64" t="n">
        <x:v>0.8778</x:v>
      </x:c>
      <x:c r="AN164" t="n">
        <x:v>0</x:v>
      </x:c>
      <x:c r="AO164" t="str">
        <x:v>Laranja</x:v>
      </x:c>
      <x:c r="AP164" t="str">
        <x:v>janela de intervenção: tempo acumulado ≥ 80% do SLA</x:v>
      </x:c>
      <x:c r="AQ164" t="str">
        <x:v>Encerramento demonstrativo de Elétrica; verificar fechamento e histórico para aprendizado. Sem despacho automático.</x:v>
      </x:c>
      <x:c r="AR164" s="62" t="n">
        <x:v>897</x:v>
      </x:c>
      <x:c r="AS164" t="str">
        <x:v>Médio</x:v>
      </x:c>
      <x:c r="AT164" s="50" t="n">
        <x:v>46273.520833333336</x:v>
      </x:c>
      <x:c r="AU164" t="str">
        <x:v>T06</x:v>
      </x:c>
      <x:c r="AV164" t="str">
        <x:v>T2 original + evolução sintética posterior</x:v>
      </x:c>
    </x:row>
    <x:row r="165">
      <x:c r="A165" t="str">
        <x:v>CH-20260908-023</x:v>
      </x:c>
      <x:c r="B165" t="str">
        <x:v>Botão de Chamada</x:v>
      </x:c>
      <x:c r="C165" t="str">
        <x:v>Botão não responde</x:v>
      </x:c>
      <x:c r="D165" t="str">
        <x:v>Botão de chamada não registra comando.</x:v>
      </x:c>
      <x:c r="E165" t="str">
        <x:v>Concluído</x:v>
      </x:c>
      <x:c r="F165" t="str">
        <x:v>Aplicativo Cliente</x:v>
      </x:c>
      <x:c r="G165" t="str">
        <x:v>E-123</x:v>
      </x:c>
      <x:c r="H165" t="str">
        <x:v>Elevador Social</x:v>
      </x:c>
      <x:c r="I165" t="str">
        <x:v>Microprocessado</x:v>
      </x:c>
      <x:c r="J165" t="str">
        <x:v>Gearless</x:v>
      </x:c>
      <x:c r="K165" t="str">
        <x:v>OTIS</x:v>
      </x:c>
      <x:c r="L165" t="str">
        <x:v>ROT-063</x:v>
      </x:c>
      <x:c r="M165" t="str">
        <x:v>Botoeira</x:v>
      </x:c>
      <x:c r="N165" t="str">
        <x:v>Contato</x:v>
      </x:c>
      <x:c r="O165" t="str">
        <x:v>Mau contato</x:v>
      </x:c>
      <x:c r="P165" t="str">
        <x:v>Falha de comando</x:v>
      </x:c>
      <x:c r="Q165" t="str">
        <x:v>Inspeção técnica e normalização demonstrativas de Botoeira; resolução sintética, sem confirmação de consumo de peças.</x:v>
      </x:c>
      <x:c r="R165" t="str">
        <x:v>Aeroporto Terminal 3</x:v>
      </x:c>
      <x:c r="S165" t="str">
        <x:v>Sim</x:v>
      </x:c>
      <x:c r="T165" t="str">
        <x:v>Sim</x:v>
      </x:c>
      <x:c r="U165" t="str">
        <x:v>CT-2026-005</x:v>
      </x:c>
      <x:c r="V165" t="str">
        <x:v>GRU</x:v>
      </x:c>
      <x:c r="W165" t="str">
        <x:v>Renata Alves</x:v>
      </x:c>
      <x:c r="X165" t="str">
        <x:v>Supervisor C</x:v>
      </x:c>
      <x:c r="Y165" t="str">
        <x:v>Rota GRU 05</x:v>
      </x:c>
      <x:c r="Z165" t="str">
        <x:v>Rod. Hélio Smidt, s/n - Guarulhos/SP</x:v>
      </x:c>
      <x:c r="AA165" t="str">
        <x:v>São Paulo</x:v>
      </x:c>
      <x:c r="AB165" s="50" t="n">
        <x:v>46273.3784722222</x:v>
      </x:c>
      <x:c r="AC165" s="50" t="n">
        <x:v>46273.3819444444</x:v>
      </x:c>
      <x:c r="AD165" s="50" t="n">
        <x:v>46273.386111111104</x:v>
      </x:c>
      <x:c r="AE165" s="50" t="n">
        <x:v>46273.41249999998</x:v>
      </x:c>
      <x:c r="AF165" s="50" t="n">
        <x:v>46273.48541666664</x:v>
      </x:c>
      <x:c r="AG165" t="n">
        <x:v>49</x:v>
      </x:c>
      <x:c r="AH165" t="n">
        <x:v>100</x:v>
      </x:c>
      <x:c r="AI165" t="str">
        <x:v>Não</x:v>
      </x:c>
      <x:c r="AJ165" t="str">
        <x:v>Não</x:v>
      </x:c>
      <x:c r="AK165" t="n">
        <x:v>45</x:v>
      </x:c>
      <x:c r="AL165" t="n">
        <x:v>0</x:v>
      </x:c>
      <x:c r="AM165" s="64" t="n">
        <x:v>3.3111</x:v>
      </x:c>
      <x:c r="AN165" t="n">
        <x:v>2</x:v>
      </x:c>
      <x:c r="AO165" t="str">
        <x:v>Vermelho</x:v>
      </x:c>
      <x:c r="AP165" t="str">
        <x:v>SLA sintético excedido (tempo acumulado ≥ 100% do SLA)</x:v>
      </x:c>
      <x:c r="AQ165" t="str">
        <x:v>Encerramento demonstrativo de Botoeira; verificar fechamento e histórico para aprendizado. Sem despacho automático.</x:v>
      </x:c>
      <x:c r="AR165" s="62" t="n">
        <x:v>545</x:v>
      </x:c>
      <x:c r="AS165" t="str">
        <x:v>Baixo</x:v>
      </x:c>
      <x:c r="AT165" s="50" t="n">
        <x:v>46273.520833333336</x:v>
      </x:c>
      <x:c r="AU165" t="str">
        <x:v>T06</x:v>
      </x:c>
      <x:c r="AV165" t="str">
        <x:v>T2 original + evolução sintética posterior</x:v>
      </x:c>
    </x:row>
    <x:row r="166">
      <x:c r="A166" t="str">
        <x:v>CH-20260908-024</x:v>
      </x:c>
      <x:c r="B166" t="str">
        <x:v>Parada Intermitente</x:v>
      </x:c>
      <x:c r="C166" t="str">
        <x:v>Paradas aleatórias</x:v>
      </x:c>
      <x:c r="D166" t="str">
        <x:v>Equipamento interrompe operação de forma intermitente.</x:v>
      </x:c>
      <x:c r="E166" t="str">
        <x:v>Em atendimento</x:v>
      </x:c>
      <x:c r="F166" t="str">
        <x:v>Monitoramento Remoto</x:v>
      </x:c>
      <x:c r="G166" t="str">
        <x:v>E-124</x:v>
      </x:c>
      <x:c r="H166" t="str">
        <x:v>Elevador Social</x:v>
      </x:c>
      <x:c r="I166" t="str">
        <x:v>Microprocessado</x:v>
      </x:c>
      <x:c r="J166" t="str">
        <x:v>Gearless</x:v>
      </x:c>
      <x:c r="K166" t="str">
        <x:v>OTIS</x:v>
      </x:c>
      <x:c r="L166" t="str">
        <x:v>ROT-074</x:v>
      </x:c>
      <x:c r="M166" t="str">
        <x:v>Painel/Comando</x:v>
      </x:c>
      <x:c r="N166" t="str">
        <x:v>Placa</x:v>
      </x:c>
      <x:c r="O166" t="str">
        <x:v>Intermitência</x:v>
      </x:c>
      <x:c r="P166" t="str">
        <x:v>Falha intermitente</x:v>
      </x:c>
      <x:c r="Q166"/>
      <x:c r="R166" t="str">
        <x:v>Universidade Central</x:v>
      </x:c>
      <x:c r="S166" t="str">
        <x:v>Não</x:v>
      </x:c>
      <x:c r="T166" t="str">
        <x:v>Sim</x:v>
      </x:c>
      <x:c r="U166" t="str">
        <x:v>CT-2026-006</x:v>
      </x:c>
      <x:c r="V166" t="str">
        <x:v>SP-Leste</x:v>
      </x:c>
      <x:c r="W166" t="str">
        <x:v>Paulo Mendes</x:v>
      </x:c>
      <x:c r="X166" t="str">
        <x:v>Supervisor D</x:v>
      </x:c>
      <x:c r="Y166" t="str">
        <x:v>Rota Leste 06</x:v>
      </x:c>
      <x:c r="Z166" t="str">
        <x:v>Av. Central, 850 - São Paulo/SP</x:v>
      </x:c>
      <x:c r="AA166" t="str">
        <x:v>São Paulo</x:v>
      </x:c>
      <x:c r="AB166" s="50" t="n">
        <x:v>46273.3854166667</x:v>
      </x:c>
      <x:c r="AC166" s="50" t="n">
        <x:v>46273.3895833333</x:v>
      </x:c>
      <x:c r="AD166" s="50" t="n">
        <x:v>46273.3909722222</x:v>
      </x:c>
      <x:c r="AE166" s="50" t="n">
        <x:v>46273.423611111146</x:v>
      </x:c>
      <x:c r="AF166" s="50"/>
      <x:c r="AG166" t="n">
        <x:v>55</x:v>
      </x:c>
      <x:c r="AH166"/>
      <x:c r="AI166" t="str">
        <x:v>Não</x:v>
      </x:c>
      <x:c r="AJ166" t="str">
        <x:v>Sim</x:v>
      </x:c>
      <x:c r="AK166" t="n">
        <x:v>120</x:v>
      </x:c>
      <x:c r="AL166" t="n">
        <x:v>0</x:v>
      </x:c>
      <x:c r="AM166" s="64" t="n">
        <x:v>1.625</x:v>
      </x:c>
      <x:c r="AN166" t="n">
        <x:v>4</x:v>
      </x:c>
      <x:c r="AO166" t="str">
        <x:v>Vermelho</x:v>
      </x:c>
      <x:c r="AP166" t="str">
        <x:v>SLA sintético excedido (tempo acumulado ≥ 100% do SLA)</x:v>
      </x:c>
      <x:c r="AQ166" t="str">
        <x:v>Priorizar avaliação do chamado em Painel/Comando; SLA demonstrativo comprometido. Supervisor decide o encaminhamento.</x:v>
      </x:c>
      <x:c r="AR166" s="62" t="n">
        <x:v>1386</x:v>
      </x:c>
      <x:c r="AS166" t="str">
        <x:v>Alto</x:v>
      </x:c>
      <x:c r="AT166" s="50" t="n">
        <x:v>46273.520833333336</x:v>
      </x:c>
      <x:c r="AU166" t="str">
        <x:v>T06</x:v>
      </x:c>
      <x:c r="AV166" t="str">
        <x:v>T2 original + evolução sintética posterior</x:v>
      </x:c>
    </x:row>
    <x:row r="167">
      <x:c r="A167" t="str">
        <x:v>CH-20260908-025</x:v>
      </x:c>
      <x:c r="B167" t="str">
        <x:v>Falha de Tração</x:v>
      </x:c>
      <x:c r="C167" t="str">
        <x:v>Movimento irregular</x:v>
      </x:c>
      <x:c r="D167" t="str">
        <x:v>Equipamento apresenta perda de tração.</x:v>
      </x:c>
      <x:c r="E167" t="str">
        <x:v>Concluído</x:v>
      </x:c>
      <x:c r="F167" t="str">
        <x:v>Central de Atendimento</x:v>
      </x:c>
      <x:c r="G167" t="str">
        <x:v>E-125</x:v>
      </x:c>
      <x:c r="H167" t="str">
        <x:v>Elevador Social</x:v>
      </x:c>
      <x:c r="I167" t="str">
        <x:v>Microprocessado</x:v>
      </x:c>
      <x:c r="J167" t="str">
        <x:v>Gearless</x:v>
      </x:c>
      <x:c r="K167" t="str">
        <x:v>OTIS</x:v>
      </x:c>
      <x:c r="L167" t="str">
        <x:v>ROT-041</x:v>
      </x:c>
      <x:c r="M167" t="str">
        <x:v>Máquina de Tração</x:v>
      </x:c>
      <x:c r="N167" t="str">
        <x:v>Inversor</x:v>
      </x:c>
      <x:c r="O167" t="str">
        <x:v>Oscilação</x:v>
      </x:c>
      <x:c r="P167" t="str">
        <x:v>Falha de movimento</x:v>
      </x:c>
      <x:c r="Q167" t="str">
        <x:v>Diagnóstico e teste funcional simulados em Máquina de Tração; encerramento demonstrativo, sem movimentação de estoque comprovada.</x:v>
      </x:c>
      <x:c r="R167" t="str">
        <x:v>Aeroporto Terminal 3</x:v>
      </x:c>
      <x:c r="S167" t="str">
        <x:v>Sim</x:v>
      </x:c>
      <x:c r="T167" t="str">
        <x:v>Sim</x:v>
      </x:c>
      <x:c r="U167" t="str">
        <x:v>CT-2026-005</x:v>
      </x:c>
      <x:c r="V167" t="str">
        <x:v>GRU</x:v>
      </x:c>
      <x:c r="W167" t="str">
        <x:v>Renata Alves</x:v>
      </x:c>
      <x:c r="X167" t="str">
        <x:v>Supervisor A</x:v>
      </x:c>
      <x:c r="Y167" t="str">
        <x:v>Rota GRU 05</x:v>
      </x:c>
      <x:c r="Z167" t="str">
        <x:v>Rod. Hélio Smidt, s/n - Guarulhos/SP</x:v>
      </x:c>
      <x:c r="AA167" t="str">
        <x:v>São Paulo</x:v>
      </x:c>
      <x:c r="AB167" s="50" t="n">
        <x:v>46273.4</x:v>
      </x:c>
      <x:c r="AC167" s="50" t="n">
        <x:v>46273.402083333334</x:v>
      </x:c>
      <x:c r="AD167" s="50" t="n">
        <x:v>46273.40555555555</x:v>
      </x:c>
      <x:c r="AE167" s="50" t="n">
        <x:v>46273.427083333336</x:v>
      </x:c>
      <x:c r="AF167" s="50" t="n">
        <x:v>46273.461805555555</x:v>
      </x:c>
      <x:c r="AG167" t="n">
        <x:v>39</x:v>
      </x:c>
      <x:c r="AH167" t="n">
        <x:v>45</x:v>
      </x:c>
      <x:c r="AI167" t="str">
        <x:v>Não</x:v>
      </x:c>
      <x:c r="AJ167" t="str">
        <x:v>Sim</x:v>
      </x:c>
      <x:c r="AK167" t="n">
        <x:v>45</x:v>
      </x:c>
      <x:c r="AL167" t="n">
        <x:v>0</x:v>
      </x:c>
      <x:c r="AM167" s="64" t="n">
        <x:v>1.8667</x:v>
      </x:c>
      <x:c r="AN167" t="n">
        <x:v>1</x:v>
      </x:c>
      <x:c r="AO167" t="str">
        <x:v>Vermelho</x:v>
      </x:c>
      <x:c r="AP167" t="str">
        <x:v>SLA sintético excedido (tempo acumulado ≥ 100% do SLA)</x:v>
      </x:c>
      <x:c r="AQ167" t="str">
        <x:v>Encerramento demonstrativo de Máquina de Tração; verificar fechamento e histórico para aprendizado. Sem despacho automático.</x:v>
      </x:c>
      <x:c r="AR167" s="62" t="n">
        <x:v>1297.5</x:v>
      </x:c>
      <x:c r="AS167" t="str">
        <x:v>Alto</x:v>
      </x:c>
      <x:c r="AT167" s="50" t="n">
        <x:v>46273.520833333336</x:v>
      </x:c>
      <x:c r="AU167" t="str">
        <x:v>T06</x:v>
      </x:c>
      <x:c r="AV167" t="str">
        <x:v>Ocorrência adicional sintética; perfil inspirado em CH-20260908-005</x:v>
      </x:c>
    </x:row>
    <x:row r="168">
      <x:c r="A168" t="str">
        <x:v>CH-20260908-026</x:v>
      </x:c>
      <x:c r="B168" t="str">
        <x:v>Painel sem comunicação</x:v>
      </x:c>
      <x:c r="C168" t="str">
        <x:v>Falha de comunicação</x:v>
      </x:c>
      <x:c r="D168" t="str">
        <x:v>Painel não responde aos comandos.</x:v>
      </x:c>
      <x:c r="E168" t="str">
        <x:v>Concluído</x:v>
      </x:c>
      <x:c r="F168" t="str">
        <x:v>Monitoramento Remoto</x:v>
      </x:c>
      <x:c r="G168" t="str">
        <x:v>E-126</x:v>
      </x:c>
      <x:c r="H168" t="str">
        <x:v>Elevador Social</x:v>
      </x:c>
      <x:c r="I168" t="str">
        <x:v>Microprocessado</x:v>
      </x:c>
      <x:c r="J168" t="str">
        <x:v>Gearless</x:v>
      </x:c>
      <x:c r="K168" t="str">
        <x:v>OTIS</x:v>
      </x:c>
      <x:c r="L168" t="str">
        <x:v>ROT-033</x:v>
      </x:c>
      <x:c r="M168" t="str">
        <x:v>Painel/Comando</x:v>
      </x:c>
      <x:c r="N168" t="str">
        <x:v>Interface</x:v>
      </x:c>
      <x:c r="O168" t="str">
        <x:v>Sem comunicação</x:v>
      </x:c>
      <x:c r="P168" t="str">
        <x:v>Falha lógica</x:v>
      </x:c>
      <x:c r="Q168" t="str">
        <x:v>Diagnóstico e teste funcional simulados em Painel/Comando; encerramento demonstrativo, sem movimentação de estoque comprovada.</x:v>
      </x:c>
      <x:c r="R168" t="str">
        <x:v>Universidade Central</x:v>
      </x:c>
      <x:c r="S168" t="str">
        <x:v>Não</x:v>
      </x:c>
      <x:c r="T168" t="str">
        <x:v>Sim</x:v>
      </x:c>
      <x:c r="U168" t="str">
        <x:v>CT-2026-006</x:v>
      </x:c>
      <x:c r="V168" t="str">
        <x:v>SP-Leste</x:v>
      </x:c>
      <x:c r="W168" t="str">
        <x:v>Paulo Mendes</x:v>
      </x:c>
      <x:c r="X168" t="str">
        <x:v>Supervisor D</x:v>
      </x:c>
      <x:c r="Y168" t="str">
        <x:v>Rota Leste 06</x:v>
      </x:c>
      <x:c r="Z168" t="str">
        <x:v>Av. Central, 850 - São Paulo/SP</x:v>
      </x:c>
      <x:c r="AA168" t="str">
        <x:v>São Paulo</x:v>
      </x:c>
      <x:c r="AB168" s="50" t="n">
        <x:v>46273.40972222222</x:v>
      </x:c>
      <x:c r="AC168" s="50" t="n">
        <x:v>46273.4125</x:v>
      </x:c>
      <x:c r="AD168" s="50" t="n">
        <x:v>46273.416666666664</x:v>
      </x:c>
      <x:c r="AE168" s="50" t="n">
        <x:v>46273.44583333333</x:v>
      </x:c>
      <x:c r="AF168" s="50" t="n">
        <x:v>46273.49236111111</x:v>
      </x:c>
      <x:c r="AG168" t="n">
        <x:v>52</x:v>
      </x:c>
      <x:c r="AH168" t="n">
        <x:v>62</x:v>
      </x:c>
      <x:c r="AI168" t="str">
        <x:v>Não</x:v>
      </x:c>
      <x:c r="AJ168" t="str">
        <x:v>Não</x:v>
      </x:c>
      <x:c r="AK168" t="n">
        <x:v>120</x:v>
      </x:c>
      <x:c r="AL168" t="n">
        <x:v>0</x:v>
      </x:c>
      <x:c r="AM168" s="64" t="n">
        <x:v>0.95</x:v>
      </x:c>
      <x:c r="AN168" t="n">
        <x:v>3</x:v>
      </x:c>
      <x:c r="AO168" t="str">
        <x:v>Laranja</x:v>
      </x:c>
      <x:c r="AP168" t="str">
        <x:v>janela de intervenção: tempo acumulado ≥ 80% do SLA</x:v>
      </x:c>
      <x:c r="AQ168" t="str">
        <x:v>Encerramento demonstrativo de Painel/Comando; verificar fechamento e histórico para aprendizado. Sem despacho automático.</x:v>
      </x:c>
      <x:c r="AR168" s="62" t="n">
        <x:v>1357</x:v>
      </x:c>
      <x:c r="AS168" t="str">
        <x:v>Alto</x:v>
      </x:c>
      <x:c r="AT168" s="50" t="n">
        <x:v>46273.520833333336</x:v>
      </x:c>
      <x:c r="AU168" t="str">
        <x:v>T06</x:v>
      </x:c>
      <x:c r="AV168" t="str">
        <x:v>Ocorrência adicional sintética; perfil inspirado em CH-20260908-012</x:v>
      </x:c>
    </x:row>
    <x:row r="169">
      <x:c r="A169" t="str">
        <x:v>CH-20260908-027</x:v>
      </x:c>
      <x:c r="B169" t="str">
        <x:v>Porta não fecha</x:v>
      </x:c>
      <x:c r="C169" t="str">
        <x:v>Falha no fechamento</x:v>
      </x:c>
      <x:c r="D169" t="str">
        <x:v>Porta permanece aberta e impede partida.</x:v>
      </x:c>
      <x:c r="E169" t="str">
        <x:v>Concluído</x:v>
      </x:c>
      <x:c r="F169" t="str">
        <x:v>Aplicativo Cliente</x:v>
      </x:c>
      <x:c r="G169" t="str">
        <x:v>E-127</x:v>
      </x:c>
      <x:c r="H169" t="str">
        <x:v>Elevador Social</x:v>
      </x:c>
      <x:c r="I169" t="str">
        <x:v>Microprocessado</x:v>
      </x:c>
      <x:c r="J169" t="str">
        <x:v>Gearless</x:v>
      </x:c>
      <x:c r="K169" t="str">
        <x:v>OTIS</x:v>
      </x:c>
      <x:c r="L169" t="str">
        <x:v>ROT-021</x:v>
      </x:c>
      <x:c r="M169" t="str">
        <x:v>Operador de Porta</x:v>
      </x:c>
      <x:c r="N169" t="str">
        <x:v>Sensor de porta</x:v>
      </x:c>
      <x:c r="O169" t="str">
        <x:v>Falha de leitura</x:v>
      </x:c>
      <x:c r="P169" t="str">
        <x:v>Porta aberta</x:v>
      </x:c>
      <x:c r="Q169" t="str">
        <x:v>Diagnóstico e teste funcional simulados em Operador de Porta; encerramento demonstrativo, sem movimentação de estoque comprovada.</x:v>
      </x:c>
      <x:c r="R169" t="str">
        <x:v>Hospital São Paulo</x:v>
      </x:c>
      <x:c r="S169" t="str">
        <x:v>Sim</x:v>
      </x:c>
      <x:c r="T169" t="str">
        <x:v>Sim</x:v>
      </x:c>
      <x:c r="U169" t="str">
        <x:v>CT-2026-001</x:v>
      </x:c>
      <x:c r="V169" t="str">
        <x:v>SP-Centro</x:v>
      </x:c>
      <x:c r="W169" t="str">
        <x:v>João Silva</x:v>
      </x:c>
      <x:c r="X169" t="str">
        <x:v>Supervisor C</x:v>
      </x:c>
      <x:c r="Y169" t="str">
        <x:v>Rota Centro 01</x:v>
      </x:c>
      <x:c r="Z169" t="str">
        <x:v>Av. Paulista, 1000 - São Paulo/SP</x:v>
      </x:c>
      <x:c r="AA169" t="str">
        <x:v>São Paulo</x:v>
      </x:c>
      <x:c r="AB169" s="50" t="n">
        <x:v>46273.419444444444</x:v>
      </x:c>
      <x:c r="AC169" s="50" t="n">
        <x:v>46273.42291666667</x:v>
      </x:c>
      <x:c r="AD169" s="50" t="n">
        <x:v>46273.427777777775</x:v>
      </x:c>
      <x:c r="AE169" s="50" t="n">
        <x:v>46273.464583333334</x:v>
      </x:c>
      <x:c r="AF169" s="50"/>
      <x:c r="AG169" t="n">
        <x:v>65</x:v>
      </x:c>
      <x:c r="AH169" t="n">
        <x:v>79</x:v>
      </x:c>
      <x:c r="AI169" t="str">
        <x:v>Não</x:v>
      </x:c>
      <x:c r="AJ169" t="str">
        <x:v>Não</x:v>
      </x:c>
      <x:c r="AK169" t="n">
        <x:v>60</x:v>
      </x:c>
      <x:c r="AL169" t="n">
        <x:v>0</x:v>
      </x:c>
      <x:c r="AM169" s="64" t="n">
        <x:v>2.4</x:v>
      </x:c>
      <x:c r="AN169" t="n">
        <x:v>2</x:v>
      </x:c>
      <x:c r="AO169" t="str">
        <x:v>Vermelho</x:v>
      </x:c>
      <x:c r="AP169" t="str">
        <x:v>SLA sintético excedido (tempo acumulado ≥ 100% do SLA)</x:v>
      </x:c>
      <x:c r="AQ169" t="str">
        <x:v>Encerramento demonstrativo de Operador de Porta; verificar fechamento e histórico para aprendizado. Sem despacho automático.</x:v>
      </x:c>
      <x:c r="AR169" s="62" t="n">
        <x:v>833.5</x:v>
      </x:c>
      <x:c r="AS169" t="str">
        <x:v>Baixo</x:v>
      </x:c>
      <x:c r="AT169" s="50" t="n">
        <x:v>46273.520833333336</x:v>
      </x:c>
      <x:c r="AU169" t="str">
        <x:v>T06</x:v>
      </x:c>
      <x:c r="AV169" t="str">
        <x:v>Ocorrência adicional sintética; perfil inspirado em CH-20260908-019</x:v>
      </x:c>
    </x:row>
    <x:row r="170">
      <x:c r="A170" t="str">
        <x:v>CH-20260908-028</x:v>
      </x:c>
      <x:c r="B170" t="str">
        <x:v>Falha de Nivelamento</x:v>
      </x:c>
      <x:c r="C170" t="str">
        <x:v>Cabine desnivelada</x:v>
      </x:c>
      <x:c r="D170" t="str">
        <x:v>Cabine parou fora do nível do pavimento.</x:v>
      </x:c>
      <x:c r="E170" t="str">
        <x:v>Em atendimento</x:v>
      </x:c>
      <x:c r="F170" t="str">
        <x:v>IoT</x:v>
      </x:c>
      <x:c r="G170" t="str">
        <x:v>E-128</x:v>
      </x:c>
      <x:c r="H170" t="str">
        <x:v>Elevador Social</x:v>
      </x:c>
      <x:c r="I170" t="str">
        <x:v>Microprocessado</x:v>
      </x:c>
      <x:c r="J170" t="str">
        <x:v>Gearless</x:v>
      </x:c>
      <x:c r="K170" t="str">
        <x:v>OTIS</x:v>
      </x:c>
      <x:c r="L170" t="str">
        <x:v>ROT-014</x:v>
      </x:c>
      <x:c r="M170" t="str">
        <x:v>Sensor de Nível</x:v>
      </x:c>
      <x:c r="N170" t="str">
        <x:v>Sensor</x:v>
      </x:c>
      <x:c r="O170" t="str">
        <x:v>Leitura inconsistente</x:v>
      </x:c>
      <x:c r="P170" t="str">
        <x:v>Falha de nivelamento</x:v>
      </x:c>
      <x:c r="Q170"/>
      <x:c r="R170" t="str">
        <x:v>Shopping Center Norte</x:v>
      </x:c>
      <x:c r="S170" t="str">
        <x:v>Não</x:v>
      </x:c>
      <x:c r="T170" t="str">
        <x:v>Sim</x:v>
      </x:c>
      <x:c r="U170" t="str">
        <x:v>CT-2026-002</x:v>
      </x:c>
      <x:c r="V170" t="str">
        <x:v>SP-Norte</x:v>
      </x:c>
      <x:c r="W170" t="str">
        <x:v>Marcos Lima</x:v>
      </x:c>
      <x:c r="X170" t="str">
        <x:v>Supervisor B</x:v>
      </x:c>
      <x:c r="Y170" t="str">
        <x:v>Rota Norte 02</x:v>
      </x:c>
      <x:c r="Z170" t="str">
        <x:v>Av. Otto Baumgart, 245 - São Paulo/SP</x:v>
      </x:c>
      <x:c r="AA170" t="str">
        <x:v>São Paulo</x:v>
      </x:c>
      <x:c r="AB170" s="50" t="n">
        <x:v>46273.43125</x:v>
      </x:c>
      <x:c r="AC170" s="50" t="n">
        <x:v>46273.43263888889</x:v>
      </x:c>
      <x:c r="AD170" s="50" t="n">
        <x:v>46273.43819444445</x:v>
      </x:c>
      <x:c r="AE170" s="50" t="n">
        <x:v>46273.45</x:v>
      </x:c>
      <x:c r="AF170" s="50"/>
      <x:c r="AG170" t="n">
        <x:v>27</x:v>
      </x:c>
      <x:c r="AH170"/>
      <x:c r="AI170" t="str">
        <x:v>Não</x:v>
      </x:c>
      <x:c r="AJ170" t="str">
        <x:v>Não</x:v>
      </x:c>
      <x:c r="AK170" t="n">
        <x:v>90</x:v>
      </x:c>
      <x:c r="AL170" t="n">
        <x:v>0</x:v>
      </x:c>
      <x:c r="AM170" s="64" t="n">
        <x:v>1.4333</x:v>
      </x:c>
      <x:c r="AN170" t="n">
        <x:v>1</x:v>
      </x:c>
      <x:c r="AO170" t="str">
        <x:v>Vermelho</x:v>
      </x:c>
      <x:c r="AP170" t="str">
        <x:v>SLA sintético excedido (tempo acumulado ≥ 100% do SLA)</x:v>
      </x:c>
      <x:c r="AQ170" t="str">
        <x:v>Priorizar avaliação do chamado em Sensor de Nível; SLA demonstrativo comprometido. Supervisor decide o encaminhamento.</x:v>
      </x:c>
      <x:c r="AR170" s="62" t="n">
        <x:v>818</x:v>
      </x:c>
      <x:c r="AS170" t="str">
        <x:v>Baixo</x:v>
      </x:c>
      <x:c r="AT170" s="50" t="n">
        <x:v>46273.520833333336</x:v>
      </x:c>
      <x:c r="AU170" t="str">
        <x:v>T06</x:v>
      </x:c>
      <x:c r="AV170" t="str">
        <x:v>Ocorrência adicional sintética; perfil inspirado em CH-20260908-002</x:v>
      </x:c>
    </x:row>
    <x:row r="171">
      <x:c r="A171" t="str">
        <x:v>CH-20260908-029</x:v>
      </x:c>
      <x:c r="B171" t="str">
        <x:v>Passageiro Preso</x:v>
      </x:c>
      <x:c r="C171" t="str">
        <x:v>Elevador parado entre andares</x:v>
      </x:c>
      <x:c r="D171" t="str">
        <x:v>Cabine imobilizada com passageiro no interior.</x:v>
      </x:c>
      <x:c r="E171" t="str">
        <x:v>Em atendimento</x:v>
      </x:c>
      <x:c r="F171" t="str">
        <x:v>Central de Atendimento</x:v>
      </x:c>
      <x:c r="G171" t="str">
        <x:v>E-108</x:v>
      </x:c>
      <x:c r="H171" t="str">
        <x:v>Elevador Social</x:v>
      </x:c>
      <x:c r="I171" t="str">
        <x:v>Microprocessado</x:v>
      </x:c>
      <x:c r="J171" t="str">
        <x:v>Gearless</x:v>
      </x:c>
      <x:c r="K171" t="str">
        <x:v>OTIS</x:v>
      </x:c>
      <x:c r="L171" t="str">
        <x:v>ROT-001</x:v>
      </x:c>
      <x:c r="M171" t="str">
        <x:v>Tração</x:v>
      </x:c>
      <x:c r="N171" t="str">
        <x:v>Freio</x:v>
      </x:c>
      <x:c r="O171" t="str">
        <x:v>Travamento</x:v>
      </x:c>
      <x:c r="P171" t="str">
        <x:v>Parada total</x:v>
      </x:c>
      <x:c r="Q171"/>
      <x:c r="R171" t="str">
        <x:v>Edifício Corporate</x:v>
      </x:c>
      <x:c r="S171" t="str">
        <x:v>Não</x:v>
      </x:c>
      <x:c r="T171" t="str">
        <x:v>Sim</x:v>
      </x:c>
      <x:c r="U171" t="str">
        <x:v>CT-2026-003</x:v>
      </x:c>
      <x:c r="V171" t="str">
        <x:v>SP-Oeste</x:v>
      </x:c>
      <x:c r="W171" t="str">
        <x:v>Ana Costa</x:v>
      </x:c>
      <x:c r="X171" t="str">
        <x:v>Supervisor A</x:v>
      </x:c>
      <x:c r="Y171" t="str">
        <x:v>Rota Oeste 03</x:v>
      </x:c>
      <x:c r="Z171" t="str">
        <x:v>Av. Faria Lima, 3500 - São Paulo/SP</x:v>
      </x:c>
      <x:c r="AA171" t="str">
        <x:v>São Paulo</x:v>
      </x:c>
      <x:c r="AB171" s="50" t="n">
        <x:v>46273.44097222222</x:v>
      </x:c>
      <x:c r="AC171" s="50" t="n">
        <x:v>46273.44305555556</x:v>
      </x:c>
      <x:c r="AD171" s="50" t="n">
        <x:v>46273.44930555556</x:v>
      </x:c>
      <x:c r="AE171" s="50" t="n">
        <x:v>46273.46875</x:v>
      </x:c>
      <x:c r="AF171" s="50"/>
      <x:c r="AG171" t="n">
        <x:v>40</x:v>
      </x:c>
      <x:c r="AH171"/>
      <x:c r="AI171" t="str">
        <x:v>Sim</x:v>
      </x:c>
      <x:c r="AJ171" t="str">
        <x:v>Sim</x:v>
      </x:c>
      <x:c r="AK171" t="n">
        <x:v>120</x:v>
      </x:c>
      <x:c r="AL171" t="n">
        <x:v>0</x:v>
      </x:c>
      <x:c r="AM171" s="64" t="n">
        <x:v>0.9583</x:v>
      </x:c>
      <x:c r="AN171" t="n">
        <x:v>2</x:v>
      </x:c>
      <x:c r="AO171" t="str">
        <x:v>Vermelho</x:v>
      </x:c>
      <x:c r="AP171" t="str">
        <x:v>passageiro preso; tempo acumulado ≥ 85% do SLA</x:v>
      </x:c>
      <x:c r="AQ171" t="str">
        <x:v>Priorizar avaliação do chamado em Tração; SLA demonstrativo comprometido. Supervisor decide o encaminhamento.</x:v>
      </x:c>
      <x:c r="AR171" s="62" t="n">
        <x:v>1162.5</x:v>
      </x:c>
      <x:c r="AS171" t="str">
        <x:v>Médio</x:v>
      </x:c>
      <x:c r="AT171" s="50" t="n">
        <x:v>46273.520833333336</x:v>
      </x:c>
      <x:c r="AU171" t="str">
        <x:v>T06</x:v>
      </x:c>
      <x:c r="AV171" t="str">
        <x:v>Ocorrência adicional sintética; perfil inspirado em CH-20260908-009</x:v>
      </x:c>
    </x:row>
    <x:row r="172">
      <x:c r="A172" t="str">
        <x:v>CH-20260908-030</x:v>
      </x:c>
      <x:c r="B172" t="str">
        <x:v>Parada Intermitente</x:v>
      </x:c>
      <x:c r="C172" t="str">
        <x:v>Paradas aleatórias</x:v>
      </x:c>
      <x:c r="D172" t="str">
        <x:v>Equipamento interrompe operação de forma intermitente.</x:v>
      </x:c>
      <x:c r="E172" t="str">
        <x:v>Concluído</x:v>
      </x:c>
      <x:c r="F172" t="str">
        <x:v>Monitoramento Remoto</x:v>
      </x:c>
      <x:c r="G172" t="str">
        <x:v>E-130</x:v>
      </x:c>
      <x:c r="H172" t="str">
        <x:v>Elevador Social</x:v>
      </x:c>
      <x:c r="I172" t="str">
        <x:v>Microprocessado</x:v>
      </x:c>
      <x:c r="J172" t="str">
        <x:v>Gearless</x:v>
      </x:c>
      <x:c r="K172" t="str">
        <x:v>OTIS</x:v>
      </x:c>
      <x:c r="L172" t="str">
        <x:v>ROT-074</x:v>
      </x:c>
      <x:c r="M172" t="str">
        <x:v>Painel/Comando</x:v>
      </x:c>
      <x:c r="N172" t="str">
        <x:v>Placa</x:v>
      </x:c>
      <x:c r="O172" t="str">
        <x:v>Intermitência</x:v>
      </x:c>
      <x:c r="P172" t="str">
        <x:v>Falha intermitente</x:v>
      </x:c>
      <x:c r="Q172" t="str">
        <x:v>Diagnóstico e teste funcional simulados em Painel/Comando; encerramento demonstrativo, sem movimentação de estoque comprovada.</x:v>
      </x:c>
      <x:c r="R172" t="str">
        <x:v>Condomínio Alameda</x:v>
      </x:c>
      <x:c r="S172" t="str">
        <x:v>Não</x:v>
      </x:c>
      <x:c r="T172" t="str">
        <x:v>Não</x:v>
      </x:c>
      <x:c r="U172" t="str">
        <x:v>CT-2026-004</x:v>
      </x:c>
      <x:c r="V172" t="str">
        <x:v>SP-Sul</x:v>
      </x:c>
      <x:c r="W172" t="str">
        <x:v>Carlos Souza</x:v>
      </x:c>
      <x:c r="X172" t="str">
        <x:v>Supervisor D</x:v>
      </x:c>
      <x:c r="Y172" t="str">
        <x:v>Rota Sul 04</x:v>
      </x:c>
      <x:c r="Z172" t="str">
        <x:v>R. das Acácias, 420 - São Paulo/SP</x:v>
      </x:c>
      <x:c r="AA172" t="str">
        <x:v>São Paulo</x:v>
      </x:c>
      <x:c r="AB172" s="50" t="n">
        <x:v>46273.450694444444</x:v>
      </x:c>
      <x:c r="AC172" s="50" t="n">
        <x:v>46273.45347222222</x:v>
      </x:c>
      <x:c r="AD172" s="50" t="n">
        <x:v>46273.45625</x:v>
      </x:c>
      <x:c r="AE172" s="50" t="n">
        <x:v>46273.4875</x:v>
      </x:c>
      <x:c r="AF172" s="50"/>
      <x:c r="AG172" t="n">
        <x:v>53</x:v>
      </x:c>
      <x:c r="AH172" t="n">
        <x:v>47</x:v>
      </x:c>
      <x:c r="AI172" t="str">
        <x:v>Não</x:v>
      </x:c>
      <x:c r="AJ172" t="str">
        <x:v>Sim</x:v>
      </x:c>
      <x:c r="AK172" t="n">
        <x:v>180</x:v>
      </x:c>
      <x:c r="AL172" t="n">
        <x:v>0</x:v>
      </x:c>
      <x:c r="AM172" s="64" t="n">
        <x:v>0.5556</x:v>
      </x:c>
      <x:c r="AN172" t="n">
        <x:v>4</x:v>
      </x:c>
      <x:c r="AO172" t="str">
        <x:v>Laranja</x:v>
      </x:c>
      <x:c r="AP172" t="str">
        <x:v>janela de intervenção: recorrência ≥ 4/30d e equipamento parado</x:v>
      </x:c>
      <x:c r="AQ172" t="str">
        <x:v>Encerramento demonstrativo de Painel/Comando; verificar fechamento e histórico para aprendizado. Sem despacho automático.</x:v>
      </x:c>
      <x:c r="AR172" s="62" t="n">
        <x:v>1795</x:v>
      </x:c>
      <x:c r="AS172" t="str">
        <x:v>Alto</x:v>
      </x:c>
      <x:c r="AT172" s="50" t="n">
        <x:v>46273.520833333336</x:v>
      </x:c>
      <x:c r="AU172" t="str">
        <x:v>T06</x:v>
      </x:c>
      <x:c r="AV172" t="str">
        <x:v>Ocorrência adicional sintética; perfil inspirado em CH-20260908-016</x:v>
      </x:c>
    </x:row>
    <x:row r="173">
      <x:c r="A173" t="str">
        <x:v>CH-20260908-031</x:v>
      </x:c>
      <x:c r="B173" t="str">
        <x:v>Botão de Chamada</x:v>
      </x:c>
      <x:c r="C173" t="str">
        <x:v>Botão não responde</x:v>
      </x:c>
      <x:c r="D173" t="str">
        <x:v>Botão de chamada não registra comando.</x:v>
      </x:c>
      <x:c r="E173" t="str">
        <x:v>Em atendimento</x:v>
      </x:c>
      <x:c r="F173" t="str">
        <x:v>Aplicativo Cliente</x:v>
      </x:c>
      <x:c r="G173" t="str">
        <x:v>E-131</x:v>
      </x:c>
      <x:c r="H173" t="str">
        <x:v>Elevador Social</x:v>
      </x:c>
      <x:c r="I173" t="str">
        <x:v>Microprocessado</x:v>
      </x:c>
      <x:c r="J173" t="str">
        <x:v>Gearless</x:v>
      </x:c>
      <x:c r="K173" t="str">
        <x:v>OTIS</x:v>
      </x:c>
      <x:c r="L173" t="str">
        <x:v>ROT-063</x:v>
      </x:c>
      <x:c r="M173" t="str">
        <x:v>Botoeira</x:v>
      </x:c>
      <x:c r="N173" t="str">
        <x:v>Contato</x:v>
      </x:c>
      <x:c r="O173" t="str">
        <x:v>Mau contato</x:v>
      </x:c>
      <x:c r="P173" t="str">
        <x:v>Falha de comando</x:v>
      </x:c>
      <x:c r="Q173"/>
      <x:c r="R173" t="str">
        <x:v>Aeroporto Terminal 3</x:v>
      </x:c>
      <x:c r="S173" t="str">
        <x:v>Sim</x:v>
      </x:c>
      <x:c r="T173" t="str">
        <x:v>Sim</x:v>
      </x:c>
      <x:c r="U173" t="str">
        <x:v>CT-2026-005</x:v>
      </x:c>
      <x:c r="V173" t="str">
        <x:v>GRU</x:v>
      </x:c>
      <x:c r="W173" t="str">
        <x:v>Renata Alves</x:v>
      </x:c>
      <x:c r="X173" t="str">
        <x:v>Supervisor C</x:v>
      </x:c>
      <x:c r="Y173" t="str">
        <x:v>Rota GRU 05</x:v>
      </x:c>
      <x:c r="Z173" t="str">
        <x:v>Rod. Hélio Smidt, s/n - Guarulhos/SP</x:v>
      </x:c>
      <x:c r="AA173" t="str">
        <x:v>São Paulo</x:v>
      </x:c>
      <x:c r="AB173" s="50" t="n">
        <x:v>46273.461805555555</x:v>
      </x:c>
      <x:c r="AC173" s="50" t="n">
        <x:v>46273.46527777778</x:v>
      </x:c>
      <x:c r="AD173" s="50" t="n">
        <x:v>46273.46875</x:v>
      </x:c>
      <x:c r="AE173" s="50" t="n">
        <x:v>46273.50763888889</x:v>
      </x:c>
      <x:c r="AF173" s="50"/>
      <x:c r="AG173" t="n">
        <x:v>66</x:v>
      </x:c>
      <x:c r="AH173"/>
      <x:c r="AI173" t="str">
        <x:v>Não</x:v>
      </x:c>
      <x:c r="AJ173" t="str">
        <x:v>Não</x:v>
      </x:c>
      <x:c r="AK173" t="n">
        <x:v>45</x:v>
      </x:c>
      <x:c r="AL173" t="n">
        <x:v>0</x:v>
      </x:c>
      <x:c r="AM173" s="64" t="n">
        <x:v>1.8889</x:v>
      </x:c>
      <x:c r="AN173" t="n">
        <x:v>2</x:v>
      </x:c>
      <x:c r="AO173" t="str">
        <x:v>Vermelho</x:v>
      </x:c>
      <x:c r="AP173" t="str">
        <x:v>SLA sintético excedido (tempo acumulado ≥ 100% do SLA)</x:v>
      </x:c>
      <x:c r="AQ173" t="str">
        <x:v>Priorizar avaliação do chamado em Botoeira; SLA demonstrativo comprometido. Supervisor decide o encaminhamento.</x:v>
      </x:c>
      <x:c r="AR173" s="62" t="n">
        <x:v>814.5</x:v>
      </x:c>
      <x:c r="AS173" t="str">
        <x:v>Baixo</x:v>
      </x:c>
      <x:c r="AT173" s="50" t="n">
        <x:v>46273.520833333336</x:v>
      </x:c>
      <x:c r="AU173" t="str">
        <x:v>T06</x:v>
      </x:c>
      <x:c r="AV173" t="str">
        <x:v>Ocorrência adicional sintética; perfil inspirado em CH-20260908-023</x:v>
      </x:c>
    </x:row>
    <x:row r="174">
      <x:c r="A174" t="str">
        <x:v>CH-20260908-032</x:v>
      </x:c>
      <x:c r="B174" t="str">
        <x:v>Iluminação de Cabine</x:v>
      </x:c>
      <x:c r="C174" t="str">
        <x:v>Iluminação inoperante</x:v>
      </x:c>
      <x:c r="D174" t="str">
        <x:v>Cabine com iluminação parcial ou total indisponível.</x:v>
      </x:c>
      <x:c r="E174" t="str">
        <x:v>Em atendimento</x:v>
      </x:c>
      <x:c r="F174" t="str">
        <x:v>IoT</x:v>
      </x:c>
      <x:c r="G174" t="str">
        <x:v>E-132</x:v>
      </x:c>
      <x:c r="H174" t="str">
        <x:v>Elevador Social</x:v>
      </x:c>
      <x:c r="I174" t="str">
        <x:v>Microprocessado</x:v>
      </x:c>
      <x:c r="J174" t="str">
        <x:v>Gearless</x:v>
      </x:c>
      <x:c r="K174" t="str">
        <x:v>OTIS</x:v>
      </x:c>
      <x:c r="L174" t="str">
        <x:v>ROT-052</x:v>
      </x:c>
      <x:c r="M174" t="str">
        <x:v>Elétrica</x:v>
      </x:c>
      <x:c r="N174" t="str">
        <x:v>Fonte</x:v>
      </x:c>
      <x:c r="O174" t="str">
        <x:v>Sem alimentação</x:v>
      </x:c>
      <x:c r="P174" t="str">
        <x:v>Falha elétrica</x:v>
      </x:c>
      <x:c r="Q174"/>
      <x:c r="R174" t="str">
        <x:v>Universidade Central</x:v>
      </x:c>
      <x:c r="S174" t="str">
        <x:v>Não</x:v>
      </x:c>
      <x:c r="T174" t="str">
        <x:v>Sim</x:v>
      </x:c>
      <x:c r="U174" t="str">
        <x:v>CT-2026-006</x:v>
      </x:c>
      <x:c r="V174" t="str">
        <x:v>SP-Leste</x:v>
      </x:c>
      <x:c r="W174" t="str">
        <x:v>Paulo Mendes</x:v>
      </x:c>
      <x:c r="X174" t="str">
        <x:v>Supervisor B</x:v>
      </x:c>
      <x:c r="Y174" t="str">
        <x:v>Rota Leste 06</x:v>
      </x:c>
      <x:c r="Z174" t="str">
        <x:v>Av. Central, 850 - São Paulo/SP</x:v>
      </x:c>
      <x:c r="AA174" t="str">
        <x:v>São Paulo</x:v>
      </x:c>
      <x:c r="AB174" s="50" t="n">
        <x:v>46273.46875</x:v>
      </x:c>
      <x:c r="AC174" s="50" t="n">
        <x:v>46273.470138888886</x:v>
      </x:c>
      <x:c r="AD174" s="50" t="n">
        <x:v>46273.47430555556</x:v>
      </x:c>
      <x:c r="AE174" s="50" t="n">
        <x:v>46273.48819444444</x:v>
      </x:c>
      <x:c r="AF174" s="50"/>
      <x:c r="AG174" t="n">
        <x:v>28</x:v>
      </x:c>
      <x:c r="AH174"/>
      <x:c r="AI174" t="str">
        <x:v>Não</x:v>
      </x:c>
      <x:c r="AJ174" t="str">
        <x:v>Não</x:v>
      </x:c>
      <x:c r="AK174" t="n">
        <x:v>120</x:v>
      </x:c>
      <x:c r="AL174" t="n">
        <x:v>0</x:v>
      </x:c>
      <x:c r="AM174" s="64" t="n">
        <x:v>0.625</x:v>
      </x:c>
      <x:c r="AN174" t="n">
        <x:v>0</x:v>
      </x:c>
      <x:c r="AO174" t="str">
        <x:v>Amarelo</x:v>
      </x:c>
      <x:c r="AP174" t="str">
        <x:v>atenção: tempo acumulado ≥ 55% do SLA</x:v>
      </x:c>
      <x:c r="AQ174" t="str">
        <x:v>Acompanhar sinais em Elétrica; correlacionar histórico e SLA antes de recomendar intervenção.</x:v>
      </x:c>
      <x:c r="AR174" s="62" t="n">
        <x:v>507</x:v>
      </x:c>
      <x:c r="AS174" t="str">
        <x:v>Baixo</x:v>
      </x:c>
      <x:c r="AT174" s="50" t="n">
        <x:v>46273.520833333336</x:v>
      </x:c>
      <x:c r="AU174" t="str">
        <x:v>T06</x:v>
      </x:c>
      <x:c r="AV174" t="str">
        <x:v>Ocorrência adicional sintética; perfil inspirado em CH-20260908-006</x:v>
      </x:c>
    </x:row>
    <x:row r="175">
      <x:c r="A175" t="str">
        <x:v>CH-20260908-033</x:v>
      </x:c>
      <x:c r="B175" t="str">
        <x:v>Falha de Tração</x:v>
      </x:c>
      <x:c r="C175" t="str">
        <x:v>Movimento irregular</x:v>
      </x:c>
      <x:c r="D175" t="str">
        <x:v>Equipamento apresenta perda de tração.</x:v>
      </x:c>
      <x:c r="E175" t="str">
        <x:v>Em atendimento</x:v>
      </x:c>
      <x:c r="F175" t="str">
        <x:v>Central de Atendimento</x:v>
      </x:c>
      <x:c r="G175" t="str">
        <x:v>E-133</x:v>
      </x:c>
      <x:c r="H175" t="str">
        <x:v>Elevador Social</x:v>
      </x:c>
      <x:c r="I175" t="str">
        <x:v>Microprocessado</x:v>
      </x:c>
      <x:c r="J175" t="str">
        <x:v>Gearless</x:v>
      </x:c>
      <x:c r="K175" t="str">
        <x:v>OTIS</x:v>
      </x:c>
      <x:c r="L175" t="str">
        <x:v>ROT-041</x:v>
      </x:c>
      <x:c r="M175" t="str">
        <x:v>Máquina de Tração</x:v>
      </x:c>
      <x:c r="N175" t="str">
        <x:v>Inversor</x:v>
      </x:c>
      <x:c r="O175" t="str">
        <x:v>Oscilação</x:v>
      </x:c>
      <x:c r="P175" t="str">
        <x:v>Falha de movimento</x:v>
      </x:c>
      <x:c r="Q175"/>
      <x:c r="R175" t="str">
        <x:v>Hospital São Paulo</x:v>
      </x:c>
      <x:c r="S175" t="str">
        <x:v>Sim</x:v>
      </x:c>
      <x:c r="T175" t="str">
        <x:v>Sim</x:v>
      </x:c>
      <x:c r="U175" t="str">
        <x:v>CT-2026-001</x:v>
      </x:c>
      <x:c r="V175" t="str">
        <x:v>SP-Centro</x:v>
      </x:c>
      <x:c r="W175" t="str">
        <x:v>João Silva</x:v>
      </x:c>
      <x:c r="X175" t="str">
        <x:v>Supervisor A</x:v>
      </x:c>
      <x:c r="Y175" t="str">
        <x:v>Rota Centro 01</x:v>
      </x:c>
      <x:c r="Z175" t="str">
        <x:v>Av. Paulista, 1000 - São Paulo/SP</x:v>
      </x:c>
      <x:c r="AA175" t="str">
        <x:v>São Paulo</x:v>
      </x:c>
      <x:c r="AB175" s="50" t="n">
        <x:v>46273.47638888889</x:v>
      </x:c>
      <x:c r="AC175" s="50" t="n">
        <x:v>46273.478472222225</x:v>
      </x:c>
      <x:c r="AD175" s="50" t="n">
        <x:v>46273.48333333333</x:v>
      </x:c>
      <x:c r="AE175" s="50" t="n">
        <x:v>46273.50486111111</x:v>
      </x:c>
      <x:c r="AF175" s="50"/>
      <x:c r="AG175" t="n">
        <x:v>41</x:v>
      </x:c>
      <x:c r="AH175"/>
      <x:c r="AI175" t="str">
        <x:v>Não</x:v>
      </x:c>
      <x:c r="AJ175" t="str">
        <x:v>Sim</x:v>
      </x:c>
      <x:c r="AK175" t="n">
        <x:v>60</x:v>
      </x:c>
      <x:c r="AL175" t="n">
        <x:v>0</x:v>
      </x:c>
      <x:c r="AM175" s="64" t="n">
        <x:v>1.0667</x:v>
      </x:c>
      <x:c r="AN175" t="n">
        <x:v>1</x:v>
      </x:c>
      <x:c r="AO175" t="str">
        <x:v>Vermelho</x:v>
      </x:c>
      <x:c r="AP175" t="str">
        <x:v>SLA sintético excedido (tempo acumulado ≥ 100% do SLA)</x:v>
      </x:c>
      <x:c r="AQ175" t="str">
        <x:v>Priorizar avaliação do chamado em Máquina de Tração; SLA demonstrativo comprometido. Supervisor decide o encaminhamento.</x:v>
      </x:c>
      <x:c r="AR175" s="62" t="n">
        <x:v>1123.5</x:v>
      </x:c>
      <x:c r="AS175" t="str">
        <x:v>Médio</x:v>
      </x:c>
      <x:c r="AT175" s="50" t="n">
        <x:v>46273.520833333336</x:v>
      </x:c>
      <x:c r="AU175" t="str">
        <x:v>T06</x:v>
      </x:c>
      <x:c r="AV175" t="str">
        <x:v>Ocorrência adicional sintética; perfil inspirado em CH-20260908-013</x:v>
      </x:c>
    </x:row>
    <x:row r="176">
      <x:c r="A176" t="str">
        <x:v>CH-20260908-034</x:v>
      </x:c>
      <x:c r="B176" t="str">
        <x:v>Painel sem comunicação</x:v>
      </x:c>
      <x:c r="C176" t="str">
        <x:v>Falha de comunicação</x:v>
      </x:c>
      <x:c r="D176" t="str">
        <x:v>Painel não responde aos comandos.</x:v>
      </x:c>
      <x:c r="E176" t="str">
        <x:v>Técnico a caminho</x:v>
      </x:c>
      <x:c r="F176" t="str">
        <x:v>Monitoramento Remoto</x:v>
      </x:c>
      <x:c r="G176" t="str">
        <x:v>E-134</x:v>
      </x:c>
      <x:c r="H176" t="str">
        <x:v>Elevador Social</x:v>
      </x:c>
      <x:c r="I176" t="str">
        <x:v>Microprocessado</x:v>
      </x:c>
      <x:c r="J176" t="str">
        <x:v>Gearless</x:v>
      </x:c>
      <x:c r="K176" t="str">
        <x:v>OTIS</x:v>
      </x:c>
      <x:c r="L176" t="str">
        <x:v>ROT-033</x:v>
      </x:c>
      <x:c r="M176" t="str">
        <x:v>Painel/Comando</x:v>
      </x:c>
      <x:c r="N176" t="str">
        <x:v>Interface</x:v>
      </x:c>
      <x:c r="O176" t="str">
        <x:v>Sem comunicação</x:v>
      </x:c>
      <x:c r="P176" t="str">
        <x:v>Falha lógica</x:v>
      </x:c>
      <x:c r="Q176"/>
      <x:c r="R176" t="str">
        <x:v>Shopping Center Norte</x:v>
      </x:c>
      <x:c r="S176" t="str">
        <x:v>Não</x:v>
      </x:c>
      <x:c r="T176" t="str">
        <x:v>Sim</x:v>
      </x:c>
      <x:c r="U176" t="str">
        <x:v>CT-2026-002</x:v>
      </x:c>
      <x:c r="V176" t="str">
        <x:v>SP-Norte</x:v>
      </x:c>
      <x:c r="W176" t="str">
        <x:v>Marcos Lima</x:v>
      </x:c>
      <x:c r="X176" t="str">
        <x:v>Supervisor D</x:v>
      </x:c>
      <x:c r="Y176" t="str">
        <x:v>Rota Norte 02</x:v>
      </x:c>
      <x:c r="Z176" t="str">
        <x:v>Av. Otto Baumgart, 245 - São Paulo/SP</x:v>
      </x:c>
      <x:c r="AA176" t="str">
        <x:v>São Paulo</x:v>
      </x:c>
      <x:c r="AB176" s="50" t="n">
        <x:v>46273.48402777778</x:v>
      </x:c>
      <x:c r="AC176" s="50" t="n">
        <x:v>46273.486805555556</x:v>
      </x:c>
      <x:c r="AD176" s="50" t="n">
        <x:v>46273.49236111111</x:v>
      </x:c>
      <x:c r="AE176" s="50"/>
      <x:c r="AF176" s="50"/>
      <x:c r="AG176"/>
      <x:c r="AH176"/>
      <x:c r="AI176" t="str">
        <x:v>Não</x:v>
      </x:c>
      <x:c r="AJ176" t="str">
        <x:v>Não</x:v>
      </x:c>
      <x:c r="AK176" t="n">
        <x:v>90</x:v>
      </x:c>
      <x:c r="AL176" t="n">
        <x:v>1</x:v>
      </x:c>
      <x:c r="AM176" s="64" t="n">
        <x:v>0.5889</x:v>
      </x:c>
      <x:c r="AN176" t="n">
        <x:v>3</x:v>
      </x:c>
      <x:c r="AO176" t="str">
        <x:v>Amarelo</x:v>
      </x:c>
      <x:c r="AP176" t="str">
        <x:v>atenção: tempo acumulado ≥ 55% do SLA</x:v>
      </x:c>
      <x:c r="AQ176" t="str">
        <x:v>Acompanhar sinais em Painel/Comando; correlacionar histórico e SLA antes de recomendar intervenção.</x:v>
      </x:c>
      <x:c r="AR176" s="62" t="n">
        <x:v>1484</x:v>
      </x:c>
      <x:c r="AS176" t="str">
        <x:v>Alto</x:v>
      </x:c>
      <x:c r="AT176" s="50" t="n">
        <x:v>46273.520833333336</x:v>
      </x:c>
      <x:c r="AU176" t="str">
        <x:v>T06</x:v>
      </x:c>
      <x:c r="AV176" t="str">
        <x:v>Ocorrência adicional sintética; perfil inspirado em CH-20260908-020</x:v>
      </x:c>
    </x:row>
    <x:row r="177">
      <x:c r="A177" t="str">
        <x:v>CH-20260908-035</x:v>
      </x:c>
      <x:c r="B177" t="str">
        <x:v>Porta não fecha</x:v>
      </x:c>
      <x:c r="C177" t="str">
        <x:v>Falha no fechamento</x:v>
      </x:c>
      <x:c r="D177" t="str">
        <x:v>Porta permanece aberta e impede partida.</x:v>
      </x:c>
      <x:c r="E177" t="str">
        <x:v>Técnico a caminho</x:v>
      </x:c>
      <x:c r="F177" t="str">
        <x:v>Aplicativo Cliente</x:v>
      </x:c>
      <x:c r="G177" t="str">
        <x:v>E-135</x:v>
      </x:c>
      <x:c r="H177" t="str">
        <x:v>Elevador Social</x:v>
      </x:c>
      <x:c r="I177" t="str">
        <x:v>Microprocessado</x:v>
      </x:c>
      <x:c r="J177" t="str">
        <x:v>Gearless</x:v>
      </x:c>
      <x:c r="K177" t="str">
        <x:v>OTIS</x:v>
      </x:c>
      <x:c r="L177" t="str">
        <x:v>ROT-021</x:v>
      </x:c>
      <x:c r="M177" t="str">
        <x:v>Operador de Porta</x:v>
      </x:c>
      <x:c r="N177" t="str">
        <x:v>Sensor de porta</x:v>
      </x:c>
      <x:c r="O177" t="str">
        <x:v>Falha de leitura</x:v>
      </x:c>
      <x:c r="P177" t="str">
        <x:v>Porta aberta</x:v>
      </x:c>
      <x:c r="Q177"/>
      <x:c r="R177" t="str">
        <x:v>Edifício Corporate</x:v>
      </x:c>
      <x:c r="S177" t="str">
        <x:v>Não</x:v>
      </x:c>
      <x:c r="T177" t="str">
        <x:v>Sim</x:v>
      </x:c>
      <x:c r="U177" t="str">
        <x:v>CT-2026-003</x:v>
      </x:c>
      <x:c r="V177" t="str">
        <x:v>SP-Oeste</x:v>
      </x:c>
      <x:c r="W177" t="str">
        <x:v>Ana Costa</x:v>
      </x:c>
      <x:c r="X177" t="str">
        <x:v>Supervisor C</x:v>
      </x:c>
      <x:c r="Y177" t="str">
        <x:v>Rota Oeste 03</x:v>
      </x:c>
      <x:c r="Z177" t="str">
        <x:v>Av. Faria Lima, 3500 - São Paulo/SP</x:v>
      </x:c>
      <x:c r="AA177" t="str">
        <x:v>São Paulo</x:v>
      </x:c>
      <x:c r="AB177" s="50" t="n">
        <x:v>46273.49375</x:v>
      </x:c>
      <x:c r="AC177" s="50" t="n">
        <x:v>46273.49722222222</x:v>
      </x:c>
      <x:c r="AD177" s="50" t="n">
        <x:v>46273.50347222222</x:v>
      </x:c>
      <x:c r="AE177" s="50"/>
      <x:c r="AF177" s="50"/>
      <x:c r="AG177"/>
      <x:c r="AH177"/>
      <x:c r="AI177" t="str">
        <x:v>Não</x:v>
      </x:c>
      <x:c r="AJ177" t="str">
        <x:v>Não</x:v>
      </x:c>
      <x:c r="AK177" t="n">
        <x:v>120</x:v>
      </x:c>
      <x:c r="AL177" t="n">
        <x:v>28</x:v>
      </x:c>
      <x:c r="AM177" s="64" t="n">
        <x:v>0.325</x:v>
      </x:c>
      <x:c r="AN177" t="n">
        <x:v>2</x:v>
      </x:c>
      <x:c r="AO177" t="str">
        <x:v>Amarelo</x:v>
      </x:c>
      <x:c r="AP177" t="str">
        <x:v>atenção: recorrências em 30 dias</x:v>
      </x:c>
      <x:c r="AQ177" t="str">
        <x:v>Acompanhar sinais em Operador de Porta; correlacionar histórico e SLA antes de recomendar intervenção.</x:v>
      </x:c>
      <x:c r="AR177" s="62" t="n">
        <x:v>884.5</x:v>
      </x:c>
      <x:c r="AS177" t="str">
        <x:v>Médio</x:v>
      </x:c>
      <x:c r="AT177" s="50" t="n">
        <x:v>46273.520833333336</x:v>
      </x:c>
      <x:c r="AU177" t="str">
        <x:v>T06</x:v>
      </x:c>
      <x:c r="AV177" t="str">
        <x:v>Ocorrência adicional sintética; perfil inspirado em CH-20260908-003</x:v>
      </x:c>
    </x:row>
    <x:row r="178">
      <x:c r="A178" t="str">
        <x:v>CH-20260908-036</x:v>
      </x:c>
      <x:c r="B178" t="str">
        <x:v>Falha de Nivelamento</x:v>
      </x:c>
      <x:c r="C178" t="str">
        <x:v>Cabine desnivelada</x:v>
      </x:c>
      <x:c r="D178" t="str">
        <x:v>Cabine parou fora do nível do pavimento.</x:v>
      </x:c>
      <x:c r="E178" t="str">
        <x:v>Técnico a caminho</x:v>
      </x:c>
      <x:c r="F178" t="str">
        <x:v>IoT</x:v>
      </x:c>
      <x:c r="G178" t="str">
        <x:v>E-113</x:v>
      </x:c>
      <x:c r="H178" t="str">
        <x:v>Elevador Social</x:v>
      </x:c>
      <x:c r="I178" t="str">
        <x:v>Microprocessado</x:v>
      </x:c>
      <x:c r="J178" t="str">
        <x:v>Gearless</x:v>
      </x:c>
      <x:c r="K178" t="str">
        <x:v>OTIS</x:v>
      </x:c>
      <x:c r="L178" t="str">
        <x:v>ROT-014</x:v>
      </x:c>
      <x:c r="M178" t="str">
        <x:v>Sensor de Nível</x:v>
      </x:c>
      <x:c r="N178" t="str">
        <x:v>Sensor</x:v>
      </x:c>
      <x:c r="O178" t="str">
        <x:v>Leitura inconsistente</x:v>
      </x:c>
      <x:c r="P178" t="str">
        <x:v>Falha de nivelamento</x:v>
      </x:c>
      <x:c r="Q178"/>
      <x:c r="R178" t="str">
        <x:v>Condomínio Alameda</x:v>
      </x:c>
      <x:c r="S178" t="str">
        <x:v>Não</x:v>
      </x:c>
      <x:c r="T178" t="str">
        <x:v>Não</x:v>
      </x:c>
      <x:c r="U178" t="str">
        <x:v>CT-2026-004</x:v>
      </x:c>
      <x:c r="V178" t="str">
        <x:v>SP-Sul</x:v>
      </x:c>
      <x:c r="W178" t="str">
        <x:v>Carlos Souza</x:v>
      </x:c>
      <x:c r="X178" t="str">
        <x:v>Supervisor B</x:v>
      </x:c>
      <x:c r="Y178" t="str">
        <x:v>Rota Sul 04</x:v>
      </x:c>
      <x:c r="Z178" t="str">
        <x:v>R. das Acácias, 420 - São Paulo/SP</x:v>
      </x:c>
      <x:c r="AA178" t="str">
        <x:v>São Paulo</x:v>
      </x:c>
      <x:c r="AB178" s="50" t="n">
        <x:v>46273.50347222222</x:v>
      </x:c>
      <x:c r="AC178" s="50" t="n">
        <x:v>46273.50486111111</x:v>
      </x:c>
      <x:c r="AD178" s="50" t="n">
        <x:v>46273.50763888889</x:v>
      </x:c>
      <x:c r="AE178" s="50"/>
      <x:c r="AF178" s="50"/>
      <x:c r="AG178"/>
      <x:c r="AH178"/>
      <x:c r="AI178" t="str">
        <x:v>Não</x:v>
      </x:c>
      <x:c r="AJ178" t="str">
        <x:v>Não</x:v>
      </x:c>
      <x:c r="AK178" t="n">
        <x:v>180</x:v>
      </x:c>
      <x:c r="AL178" t="n">
        <x:v>4</x:v>
      </x:c>
      <x:c r="AM178" s="64" t="n">
        <x:v>0.1389</x:v>
      </x:c>
      <x:c r="AN178" t="n">
        <x:v>2</x:v>
      </x:c>
      <x:c r="AO178" t="str">
        <x:v>Amarelo</x:v>
      </x:c>
      <x:c r="AP178" t="str">
        <x:v>atenção: recorrências em 30 dias</x:v>
      </x:c>
      <x:c r="AQ178" t="str">
        <x:v>Acompanhar sinais em Sensor de Nível; correlacionar histórico e SLA antes de recomendar intervenção.</x:v>
      </x:c>
      <x:c r="AR178" s="62" t="n">
        <x:v>945</x:v>
      </x:c>
      <x:c r="AS178" t="str">
        <x:v>Médio</x:v>
      </x:c>
      <x:c r="AT178" s="50" t="n">
        <x:v>46273.520833333336</x:v>
      </x:c>
      <x:c r="AU178" t="str">
        <x:v>T06</x:v>
      </x:c>
      <x:c r="AV178" t="str">
        <x:v>Ocorrência adicional sintética; perfil inspirado em CH-20260908-010</x:v>
      </x:c>
    </x:row>
    <x:row r="179">
      <x:c r="A179" t="str">
        <x:v>CH-20260908-037</x:v>
      </x:c>
      <x:c r="B179" t="str">
        <x:v>Passageiro Preso</x:v>
      </x:c>
      <x:c r="C179" t="str">
        <x:v>Elevador parado entre andares</x:v>
      </x:c>
      <x:c r="D179" t="str">
        <x:v>Cabine imobilizada com passageiro no interior.</x:v>
      </x:c>
      <x:c r="E179" t="str">
        <x:v>Técnico a caminho</x:v>
      </x:c>
      <x:c r="F179" t="str">
        <x:v>Central de Atendimento</x:v>
      </x:c>
      <x:c r="G179" t="str">
        <x:v>E-137</x:v>
      </x:c>
      <x:c r="H179" t="str">
        <x:v>Elevador Social</x:v>
      </x:c>
      <x:c r="I179" t="str">
        <x:v>Microprocessado</x:v>
      </x:c>
      <x:c r="J179" t="str">
        <x:v>Gearless</x:v>
      </x:c>
      <x:c r="K179" t="str">
        <x:v>OTIS</x:v>
      </x:c>
      <x:c r="L179" t="str">
        <x:v>ROT-001</x:v>
      </x:c>
      <x:c r="M179" t="str">
        <x:v>Tração</x:v>
      </x:c>
      <x:c r="N179" t="str">
        <x:v>Freio</x:v>
      </x:c>
      <x:c r="O179" t="str">
        <x:v>Travamento</x:v>
      </x:c>
      <x:c r="P179" t="str">
        <x:v>Parada total</x:v>
      </x:c>
      <x:c r="Q179"/>
      <x:c r="R179" t="str">
        <x:v>Aeroporto Terminal 3</x:v>
      </x:c>
      <x:c r="S179" t="str">
        <x:v>Sim</x:v>
      </x:c>
      <x:c r="T179" t="str">
        <x:v>Sim</x:v>
      </x:c>
      <x:c r="U179" t="str">
        <x:v>CT-2026-005</x:v>
      </x:c>
      <x:c r="V179" t="str">
        <x:v>GRU</x:v>
      </x:c>
      <x:c r="W179" t="str">
        <x:v>Renata Alves</x:v>
      </x:c>
      <x:c r="X179" t="str">
        <x:v>Supervisor A</x:v>
      </x:c>
      <x:c r="Y179" t="str">
        <x:v>Rota GRU 05</x:v>
      </x:c>
      <x:c r="Z179" t="str">
        <x:v>Rod. Hélio Smidt, s/n - Guarulhos/SP</x:v>
      </x:c>
      <x:c r="AA179" t="str">
        <x:v>São Paulo</x:v>
      </x:c>
      <x:c r="AB179" s="50" t="n">
        <x:v>46273.513194444444</x:v>
      </x:c>
      <x:c r="AC179" s="50" t="n">
        <x:v>46273.51527777778</x:v>
      </x:c>
      <x:c r="AD179" s="50" t="n">
        <x:v>46273.51875</x:v>
      </x:c>
      <x:c r="AE179" s="50"/>
      <x:c r="AF179" s="50"/>
      <x:c r="AG179"/>
      <x:c r="AH179"/>
      <x:c r="AI179" t="str">
        <x:v>Sim</x:v>
      </x:c>
      <x:c r="AJ179" t="str">
        <x:v>Sim</x:v>
      </x:c>
      <x:c r="AK179" t="n">
        <x:v>45</x:v>
      </x:c>
      <x:c r="AL179" t="n">
        <x:v>31</x:v>
      </x:c>
      <x:c r="AM179" s="64" t="n">
        <x:v>0.2444</x:v>
      </x:c>
      <x:c r="AN179" t="n">
        <x:v>0</x:v>
      </x:c>
      <x:c r="AO179" t="str">
        <x:v>Amarelo</x:v>
      </x:c>
      <x:c r="AP179" t="str">
        <x:v>atenção: condição operacional sensível</x:v>
      </x:c>
      <x:c r="AQ179" t="str">
        <x:v>Acompanhar sinais em Tração; correlacionar histórico e SLA antes de recomendar intervenção.</x:v>
      </x:c>
      <x:c r="AR179" s="62" t="n">
        <x:v>1098.5</x:v>
      </x:c>
      <x:c r="AS179" t="str">
        <x:v>Médio</x:v>
      </x:c>
      <x:c r="AT179" s="50" t="n">
        <x:v>46273.520833333336</x:v>
      </x:c>
      <x:c r="AU179" t="str">
        <x:v>T06</x:v>
      </x:c>
      <x:c r="AV179" t="str">
        <x:v>Ocorrência adicional sintética; perfil inspirado em CH-20260908-017</x:v>
      </x:c>
    </x:row>
    <x:row r="180">
      <x:c r="A180" t="str">
        <x:v>CH-20260908-001</x:v>
      </x:c>
      <x:c r="B180" t="str">
        <x:v>Passageiro Preso</x:v>
      </x:c>
      <x:c r="C180" t="str">
        <x:v>Elevador parado entre andares</x:v>
      </x:c>
      <x:c r="D180" t="str">
        <x:v>Cabine imobilizada com passageiro no interior.</x:v>
      </x:c>
      <x:c r="E180" t="str">
        <x:v>Concluído</x:v>
      </x:c>
      <x:c r="F180" t="str">
        <x:v>Central de Atendimento</x:v>
      </x:c>
      <x:c r="G180" t="str">
        <x:v>E-101</x:v>
      </x:c>
      <x:c r="H180" t="str">
        <x:v>Elevador Social</x:v>
      </x:c>
      <x:c r="I180" t="str">
        <x:v>Microprocessado</x:v>
      </x:c>
      <x:c r="J180" t="str">
        <x:v>Gearless</x:v>
      </x:c>
      <x:c r="K180" t="str">
        <x:v>OTIS</x:v>
      </x:c>
      <x:c r="L180" t="str">
        <x:v>ROT-001</x:v>
      </x:c>
      <x:c r="M180" t="str">
        <x:v>Tração</x:v>
      </x:c>
      <x:c r="N180" t="str">
        <x:v>Freio</x:v>
      </x:c>
      <x:c r="O180" t="str">
        <x:v>Travamento</x:v>
      </x:c>
      <x:c r="P180" t="str">
        <x:v>Parada total</x:v>
      </x:c>
      <x:c r="Q180" t="str">
        <x:v>Resgate concluído e equipamento normalizado</x:v>
      </x:c>
      <x:c r="R180" t="str">
        <x:v>Hospital São Paulo</x:v>
      </x:c>
      <x:c r="S180" t="str">
        <x:v>Sim</x:v>
      </x:c>
      <x:c r="T180" t="str">
        <x:v>Sim</x:v>
      </x:c>
      <x:c r="U180" t="str">
        <x:v>CT-2026-001</x:v>
      </x:c>
      <x:c r="V180" t="str">
        <x:v>SP-Centro</x:v>
      </x:c>
      <x:c r="W180" t="str">
        <x:v>João Silva</x:v>
      </x:c>
      <x:c r="X180" t="str">
        <x:v>Supervisor A</x:v>
      </x:c>
      <x:c r="Y180" t="str">
        <x:v>Rota Centro 01</x:v>
      </x:c>
      <x:c r="Z180" t="str">
        <x:v>Av. Paulista, 1000 - São Paulo/SP</x:v>
      </x:c>
      <x:c r="AA180" t="str">
        <x:v>São Paulo</x:v>
      </x:c>
      <x:c r="AB180" s="50" t="n">
        <x:v>46273.3055555556</x:v>
      </x:c>
      <x:c r="AC180" s="50" t="n">
        <x:v>46273.3076388889</x:v>
      </x:c>
      <x:c r="AD180" s="50" t="n">
        <x:v>46273.3104166667</x:v>
      </x:c>
      <x:c r="AE180" s="50" t="n">
        <x:v>46273.3201388889</x:v>
      </x:c>
      <x:c r="AF180" s="50" t="n">
        <x:v>46273.3430555556</x:v>
      </x:c>
      <x:c r="AG180" t="n">
        <x:v>21</x:v>
      </x:c>
      <x:c r="AH180" t="n">
        <x:v>28</x:v>
      </x:c>
      <x:c r="AI180" t="str">
        <x:v>Sim</x:v>
      </x:c>
      <x:c r="AJ180" t="str">
        <x:v>Sim</x:v>
      </x:c>
      <x:c r="AK180" t="n">
        <x:v>60</x:v>
      </x:c>
      <x:c r="AL180" t="n">
        <x:v>0</x:v>
      </x:c>
      <x:c r="AM180" s="64" t="n">
        <x:v>0.8167</x:v>
      </x:c>
      <x:c r="AN180" t="n">
        <x:v>0</x:v>
      </x:c>
      <x:c r="AO180" t="str">
        <x:v>Amarelo</x:v>
      </x:c>
      <x:c r="AP180" t="str">
        <x:v>passageiro preso; SLA acima de 80%; carro parado</x:v>
      </x:c>
      <x:c r="AQ180" t="str">
        <x:v>Sem recorrência relevante; acompanhar evolução de Tração.</x:v>
      </x:c>
      <x:c r="AR180" s="62" t="n">
        <x:v>882</x:v>
      </x:c>
      <x:c r="AS180" t="str">
        <x:v>Médio</x:v>
      </x:c>
      <x:c r="AT180" s="50" t="n">
        <x:v>46273.552083333336</x:v>
      </x:c>
      <x:c r="AU180" t="str">
        <x:v>T07</x:v>
      </x:c>
      <x:c r="AV180" t="str">
        <x:v>T2 original + evolução sintética posterior</x:v>
      </x:c>
    </x:row>
    <x:row r="181">
      <x:c r="A181" t="str">
        <x:v>CH-20260908-002</x:v>
      </x:c>
      <x:c r="B181" t="str">
        <x:v>Falha de Nivelamento</x:v>
      </x:c>
      <x:c r="C181" t="str">
        <x:v>Cabine desnivelada</x:v>
      </x:c>
      <x:c r="D181" t="str">
        <x:v>Cabine parou fora do nível do pavimento.</x:v>
      </x:c>
      <x:c r="E181" t="str">
        <x:v>Concluído</x:v>
      </x:c>
      <x:c r="F181" t="str">
        <x:v>IoT</x:v>
      </x:c>
      <x:c r="G181" t="str">
        <x:v>E-102</x:v>
      </x:c>
      <x:c r="H181" t="str">
        <x:v>Elevador Social</x:v>
      </x:c>
      <x:c r="I181" t="str">
        <x:v>Microprocessado</x:v>
      </x:c>
      <x:c r="J181" t="str">
        <x:v>Gearless</x:v>
      </x:c>
      <x:c r="K181" t="str">
        <x:v>OTIS</x:v>
      </x:c>
      <x:c r="L181" t="str">
        <x:v>ROT-014</x:v>
      </x:c>
      <x:c r="M181" t="str">
        <x:v>Sensor de Nível</x:v>
      </x:c>
      <x:c r="N181" t="str">
        <x:v>Sensor</x:v>
      </x:c>
      <x:c r="O181" t="str">
        <x:v>Leitura inconsistente</x:v>
      </x:c>
      <x:c r="P181" t="str">
        <x:v>Falha de nivelamento</x:v>
      </x:c>
      <x:c r="Q181" t="str">
        <x:v>Sensor ajustado/substituído</x:v>
      </x:c>
      <x:c r="R181" t="str">
        <x:v>Shopping Center Norte</x:v>
      </x:c>
      <x:c r="S181" t="str">
        <x:v>Não</x:v>
      </x:c>
      <x:c r="T181" t="str">
        <x:v>Sim</x:v>
      </x:c>
      <x:c r="U181" t="str">
        <x:v>CT-2026-002</x:v>
      </x:c>
      <x:c r="V181" t="str">
        <x:v>SP-Norte</x:v>
      </x:c>
      <x:c r="W181" t="str">
        <x:v>Marcos Lima</x:v>
      </x:c>
      <x:c r="X181" t="str">
        <x:v>Supervisor B</x:v>
      </x:c>
      <x:c r="Y181" t="str">
        <x:v>Rota Norte 02</x:v>
      </x:c>
      <x:c r="Z181" t="str">
        <x:v>Av. Otto Baumgart, 245 - São Paulo/SP</x:v>
      </x:c>
      <x:c r="AA181" t="str">
        <x:v>São Paulo</x:v>
      </x:c>
      <x:c r="AB181" s="50" t="n">
        <x:v>46273.3090277778</x:v>
      </x:c>
      <x:c r="AC181" s="50" t="n">
        <x:v>46273.3118055556</x:v>
      </x:c>
      <x:c r="AD181" s="50" t="n">
        <x:v>46273.3159722222</x:v>
      </x:c>
      <x:c r="AE181" s="50" t="n">
        <x:v>46273.3340277778</x:v>
      </x:c>
      <x:c r="AF181" s="50" t="n">
        <x:v>46273.3652777778</x:v>
      </x:c>
      <x:c r="AG181" t="n">
        <x:v>36</x:v>
      </x:c>
      <x:c r="AH181" t="n">
        <x:v>40</x:v>
      </x:c>
      <x:c r="AI181" t="str">
        <x:v>Não</x:v>
      </x:c>
      <x:c r="AJ181" t="str">
        <x:v>Não</x:v>
      </x:c>
      <x:c r="AK181" t="n">
        <x:v>90</x:v>
      </x:c>
      <x:c r="AL181" t="n">
        <x:v>0</x:v>
      </x:c>
      <x:c r="AM181" s="64" t="n">
        <x:v>0.8444</x:v>
      </x:c>
      <x:c r="AN181" t="n">
        <x:v>1</x:v>
      </x:c>
      <x:c r="AO181" t="str">
        <x:v>Amarelo</x:v>
      </x:c>
      <x:c r="AP181" t="str">
        <x:v>SLA acima de 80%</x:v>
      </x:c>
      <x:c r="AQ181" t="str">
        <x:v>Há ocorrência recente semelhante; comparar solução anterior de Sensor de Nível.</x:v>
      </x:c>
      <x:c r="AR181" s="62" t="n">
        <x:v>664</x:v>
      </x:c>
      <x:c r="AS181" t="str">
        <x:v>Baixo</x:v>
      </x:c>
      <x:c r="AT181" s="50" t="n">
        <x:v>46273.552083333336</x:v>
      </x:c>
      <x:c r="AU181" t="str">
        <x:v>T07</x:v>
      </x:c>
      <x:c r="AV181" t="str">
        <x:v>T2 original + evolução sintética posterior</x:v>
      </x:c>
    </x:row>
    <x:row r="182">
      <x:c r="A182" t="str">
        <x:v>CH-20260908-003</x:v>
      </x:c>
      <x:c r="B182" t="str">
        <x:v>Porta não fecha</x:v>
      </x:c>
      <x:c r="C182" t="str">
        <x:v>Falha no fechamento</x:v>
      </x:c>
      <x:c r="D182" t="str">
        <x:v>Porta permanece aberta e impede partida.</x:v>
      </x:c>
      <x:c r="E182" t="str">
        <x:v>Concluído</x:v>
      </x:c>
      <x:c r="F182" t="str">
        <x:v>Aplicativo Cliente</x:v>
      </x:c>
      <x:c r="G182" t="str">
        <x:v>E-103</x:v>
      </x:c>
      <x:c r="H182" t="str">
        <x:v>Elevador Social</x:v>
      </x:c>
      <x:c r="I182" t="str">
        <x:v>Microprocessado</x:v>
      </x:c>
      <x:c r="J182" t="str">
        <x:v>Gearless</x:v>
      </x:c>
      <x:c r="K182" t="str">
        <x:v>OTIS</x:v>
      </x:c>
      <x:c r="L182" t="str">
        <x:v>ROT-021</x:v>
      </x:c>
      <x:c r="M182" t="str">
        <x:v>Operador de Porta</x:v>
      </x:c>
      <x:c r="N182" t="str">
        <x:v>Sensor de porta</x:v>
      </x:c>
      <x:c r="O182" t="str">
        <x:v>Falha de leitura</x:v>
      </x:c>
      <x:c r="P182" t="str">
        <x:v>Porta aberta</x:v>
      </x:c>
      <x:c r="Q182" t="str">
        <x:v>Sensor de porta ajustado</x:v>
      </x:c>
      <x:c r="R182" t="str">
        <x:v>Edifício Corporate</x:v>
      </x:c>
      <x:c r="S182" t="str">
        <x:v>Não</x:v>
      </x:c>
      <x:c r="T182" t="str">
        <x:v>Sim</x:v>
      </x:c>
      <x:c r="U182" t="str">
        <x:v>CT-2026-003</x:v>
      </x:c>
      <x:c r="V182" t="str">
        <x:v>SP-Oeste</x:v>
      </x:c>
      <x:c r="W182" t="str">
        <x:v>Ana Costa</x:v>
      </x:c>
      <x:c r="X182" t="str">
        <x:v>Supervisor C</x:v>
      </x:c>
      <x:c r="Y182" t="str">
        <x:v>Rota Oeste 03</x:v>
      </x:c>
      <x:c r="Z182" t="str">
        <x:v>Av. Faria Lima, 3500 - São Paulo/SP</x:v>
      </x:c>
      <x:c r="AA182" t="str">
        <x:v>São Paulo</x:v>
      </x:c>
      <x:c r="AB182" s="50" t="n">
        <x:v>46273.3118055556</x:v>
      </x:c>
      <x:c r="AC182" s="50" t="n">
        <x:v>46273.3152777778</x:v>
      </x:c>
      <x:c r="AD182" s="50" t="n">
        <x:v>46273.3166666667</x:v>
      </x:c>
      <x:c r="AE182" s="50" t="n">
        <x:v>46273.3395833333</x:v>
      </x:c>
      <x:c r="AF182" s="50" t="n">
        <x:v>46273.3784722222</x:v>
      </x:c>
      <x:c r="AG182" t="n">
        <x:v>40</x:v>
      </x:c>
      <x:c r="AH182" t="n">
        <x:v>51</x:v>
      </x:c>
      <x:c r="AI182" t="str">
        <x:v>Não</x:v>
      </x:c>
      <x:c r="AJ182" t="str">
        <x:v>Não</x:v>
      </x:c>
      <x:c r="AK182" t="n">
        <x:v>120</x:v>
      </x:c>
      <x:c r="AL182" t="n">
        <x:v>0</x:v>
      </x:c>
      <x:c r="AM182" s="64" t="n">
        <x:v>0.7583</x:v>
      </x:c>
      <x:c r="AN182" t="n">
        <x:v>2</x:v>
      </x:c>
      <x:c r="AO182" t="str">
        <x:v>Amarelo</x:v>
      </x:c>
      <x:c r="AP182" t="str">
        <x:v>2 recorrências/30d; SLA acima de 55%</x:v>
      </x:c>
      <x:c r="AQ182" t="str">
        <x:v>Há ocorrência recente semelhante; comparar solução anterior de Operador de Porta.</x:v>
      </x:c>
      <x:c r="AR182" s="62" t="n">
        <x:v>769</x:v>
      </x:c>
      <x:c r="AS182" t="str">
        <x:v>Médio</x:v>
      </x:c>
      <x:c r="AT182" s="50" t="n">
        <x:v>46273.552083333336</x:v>
      </x:c>
      <x:c r="AU182" t="str">
        <x:v>T07</x:v>
      </x:c>
      <x:c r="AV182" t="str">
        <x:v>T2 original + evolução sintética posterior</x:v>
      </x:c>
    </x:row>
    <x:row r="183">
      <x:c r="A183" t="str">
        <x:v>CH-20260908-004</x:v>
      </x:c>
      <x:c r="B183" t="str">
        <x:v>Painel sem comunicação</x:v>
      </x:c>
      <x:c r="C183" t="str">
        <x:v>Falha de comunicação</x:v>
      </x:c>
      <x:c r="D183" t="str">
        <x:v>Painel não responde aos comandos.</x:v>
      </x:c>
      <x:c r="E183" t="str">
        <x:v>Concluído</x:v>
      </x:c>
      <x:c r="F183" t="str">
        <x:v>Monitoramento Remoto</x:v>
      </x:c>
      <x:c r="G183" t="str">
        <x:v>E-104</x:v>
      </x:c>
      <x:c r="H183" t="str">
        <x:v>Elevador Social</x:v>
      </x:c>
      <x:c r="I183" t="str">
        <x:v>Microprocessado</x:v>
      </x:c>
      <x:c r="J183" t="str">
        <x:v>Gearless</x:v>
      </x:c>
      <x:c r="K183" t="str">
        <x:v>OTIS</x:v>
      </x:c>
      <x:c r="L183" t="str">
        <x:v>ROT-033</x:v>
      </x:c>
      <x:c r="M183" t="str">
        <x:v>Painel/Comando</x:v>
      </x:c>
      <x:c r="N183" t="str">
        <x:v>Interface</x:v>
      </x:c>
      <x:c r="O183" t="str">
        <x:v>Sem comunicação</x:v>
      </x:c>
      <x:c r="P183" t="str">
        <x:v>Falha lógica</x:v>
      </x:c>
      <x:c r="Q183" t="str">
        <x:v>Interface reinicializada/substituída</x:v>
      </x:c>
      <x:c r="R183" t="str">
        <x:v>Condomínio Alameda</x:v>
      </x:c>
      <x:c r="S183" t="str">
        <x:v>Não</x:v>
      </x:c>
      <x:c r="T183" t="str">
        <x:v>Não</x:v>
      </x:c>
      <x:c r="U183" t="str">
        <x:v>CT-2026-004</x:v>
      </x:c>
      <x:c r="V183" t="str">
        <x:v>SP-Sul</x:v>
      </x:c>
      <x:c r="W183" t="str">
        <x:v>Carlos Souza</x:v>
      </x:c>
      <x:c r="X183" t="str">
        <x:v>Supervisor D</x:v>
      </x:c>
      <x:c r="Y183" t="str">
        <x:v>Rota Sul 04</x:v>
      </x:c>
      <x:c r="Z183" t="str">
        <x:v>R. das Acácias, 420 - São Paulo/SP</x:v>
      </x:c>
      <x:c r="AA183" t="str">
        <x:v>São Paulo</x:v>
      </x:c>
      <x:c r="AB183" s="50" t="n">
        <x:v>46273.3145833333</x:v>
      </x:c>
      <x:c r="AC183" s="50" t="n">
        <x:v>46273.31875</x:v>
      </x:c>
      <x:c r="AD183" s="50" t="n">
        <x:v>46273.3215277778</x:v>
      </x:c>
      <x:c r="AE183" s="50" t="n">
        <x:v>46273.3493055556</x:v>
      </x:c>
      <x:c r="AF183" s="50" t="n">
        <x:v>46273.3958333333</x:v>
      </x:c>
      <x:c r="AG183" t="n">
        <x:v>50</x:v>
      </x:c>
      <x:c r="AH183" t="n">
        <x:v>62</x:v>
      </x:c>
      <x:c r="AI183" t="str">
        <x:v>Não</x:v>
      </x:c>
      <x:c r="AJ183" t="str">
        <x:v>Não</x:v>
      </x:c>
      <x:c r="AK183" t="n">
        <x:v>180</x:v>
      </x:c>
      <x:c r="AL183" t="n">
        <x:v>0</x:v>
      </x:c>
      <x:c r="AM183" s="64" t="n">
        <x:v>0.6222</x:v>
      </x:c>
      <x:c r="AN183" t="n">
        <x:v>3</x:v>
      </x:c>
      <x:c r="AO183" t="str">
        <x:v>Verde</x:v>
      </x:c>
      <x:c r="AP183" t="str">
        <x:v>3 recorrências/30d; SLA acima de 55%</x:v>
      </x:c>
      <x:c r="AQ183" t="str">
        <x:v>Recorrência elevada: verificar padrão histórico em Painel/Comando/Interface.</x:v>
      </x:c>
      <x:c r="AR183" s="62" t="n">
        <x:v>1594</x:v>
      </x:c>
      <x:c r="AS183" t="str">
        <x:v>Alto</x:v>
      </x:c>
      <x:c r="AT183" s="50" t="n">
        <x:v>46273.552083333336</x:v>
      </x:c>
      <x:c r="AU183" t="str">
        <x:v>T07</x:v>
      </x:c>
      <x:c r="AV183" t="str">
        <x:v>T2 original + evolução sintética posterior</x:v>
      </x:c>
    </x:row>
    <x:row r="184">
      <x:c r="A184" t="str">
        <x:v>CH-20260908-005</x:v>
      </x:c>
      <x:c r="B184" t="str">
        <x:v>Falha de Tração</x:v>
      </x:c>
      <x:c r="C184" t="str">
        <x:v>Movimento irregular</x:v>
      </x:c>
      <x:c r="D184" t="str">
        <x:v>Equipamento apresenta perda de tração.</x:v>
      </x:c>
      <x:c r="E184" t="str">
        <x:v>Concluído</x:v>
      </x:c>
      <x:c r="F184" t="str">
        <x:v>Central de Atendimento</x:v>
      </x:c>
      <x:c r="G184" t="str">
        <x:v>E-105</x:v>
      </x:c>
      <x:c r="H184" t="str">
        <x:v>Elevador Social</x:v>
      </x:c>
      <x:c r="I184" t="str">
        <x:v>Microprocessado</x:v>
      </x:c>
      <x:c r="J184" t="str">
        <x:v>Gearless</x:v>
      </x:c>
      <x:c r="K184" t="str">
        <x:v>OTIS</x:v>
      </x:c>
      <x:c r="L184" t="str">
        <x:v>ROT-041</x:v>
      </x:c>
      <x:c r="M184" t="str">
        <x:v>Máquina de Tração</x:v>
      </x:c>
      <x:c r="N184" t="str">
        <x:v>Inversor</x:v>
      </x:c>
      <x:c r="O184" t="str">
        <x:v>Oscilação</x:v>
      </x:c>
      <x:c r="P184" t="str">
        <x:v>Falha de movimento</x:v>
      </x:c>
      <x:c r="Q184" t="str">
        <x:v>Parâmetros do inversor corrigidos</x:v>
      </x:c>
      <x:c r="R184" t="str">
        <x:v>Aeroporto Terminal 3</x:v>
      </x:c>
      <x:c r="S184" t="str">
        <x:v>Sim</x:v>
      </x:c>
      <x:c r="T184" t="str">
        <x:v>Sim</x:v>
      </x:c>
      <x:c r="U184" t="str">
        <x:v>CT-2026-005</x:v>
      </x:c>
      <x:c r="V184" t="str">
        <x:v>GRU</x:v>
      </x:c>
      <x:c r="W184" t="str">
        <x:v>Renata Alves</x:v>
      </x:c>
      <x:c r="X184" t="str">
        <x:v>Supervisor A</x:v>
      </x:c>
      <x:c r="Y184" t="str">
        <x:v>Rota GRU 05</x:v>
      </x:c>
      <x:c r="Z184" t="str">
        <x:v>Rod. Hélio Smidt, s/n - Guarulhos/SP</x:v>
      </x:c>
      <x:c r="AA184" t="str">
        <x:v>São Paulo</x:v>
      </x:c>
      <x:c r="AB184" s="50" t="n">
        <x:v>46273.3180555556</x:v>
      </x:c>
      <x:c r="AC184" s="50" t="n">
        <x:v>46273.3194444444</x:v>
      </x:c>
      <x:c r="AD184" s="50" t="n">
        <x:v>46273.3236111111</x:v>
      </x:c>
      <x:c r="AE184" s="50" t="n">
        <x:v>46273.3319444444</x:v>
      </x:c>
      <x:c r="AF184" s="50" t="n">
        <x:v>46273.3861111111</x:v>
      </x:c>
      <x:c r="AG184" t="n">
        <x:v>20</x:v>
      </x:c>
      <x:c r="AH184" t="n">
        <x:v>73</x:v>
      </x:c>
      <x:c r="AI184" t="str">
        <x:v>Não</x:v>
      </x:c>
      <x:c r="AJ184" t="str">
        <x:v>Sim</x:v>
      </x:c>
      <x:c r="AK184" t="n">
        <x:v>45</x:v>
      </x:c>
      <x:c r="AL184" t="n">
        <x:v>0</x:v>
      </x:c>
      <x:c r="AM184" s="64" t="n">
        <x:v>2.0667</x:v>
      </x:c>
      <x:c r="AN184" t="n">
        <x:v>1</x:v>
      </x:c>
      <x:c r="AO184" t="str">
        <x:v>Vermelho</x:v>
      </x:c>
      <x:c r="AP184" t="str">
        <x:v>SLA estourado; carro parado</x:v>
      </x:c>
      <x:c r="AQ184" t="str">
        <x:v>Há ocorrência recente semelhante; comparar solução anterior de Máquina de Tração.</x:v>
      </x:c>
      <x:c r="AR184" s="62" t="n">
        <x:v>1259</x:v>
      </x:c>
      <x:c r="AS184" t="str">
        <x:v>Alto</x:v>
      </x:c>
      <x:c r="AT184" s="50" t="n">
        <x:v>46273.552083333336</x:v>
      </x:c>
      <x:c r="AU184" t="str">
        <x:v>T07</x:v>
      </x:c>
      <x:c r="AV184" t="str">
        <x:v>T2 original + evolução sintética posterior</x:v>
      </x:c>
    </x:row>
    <x:row r="185">
      <x:c r="A185" t="str">
        <x:v>CH-20260908-006</x:v>
      </x:c>
      <x:c r="B185" t="str">
        <x:v>Iluminação de Cabine</x:v>
      </x:c>
      <x:c r="C185" t="str">
        <x:v>Iluminação inoperante</x:v>
      </x:c>
      <x:c r="D185" t="str">
        <x:v>Cabine com iluminação parcial ou total indisponível.</x:v>
      </x:c>
      <x:c r="E185" t="str">
        <x:v>Concluído</x:v>
      </x:c>
      <x:c r="F185" t="str">
        <x:v>IoT</x:v>
      </x:c>
      <x:c r="G185" t="str">
        <x:v>E-106</x:v>
      </x:c>
      <x:c r="H185" t="str">
        <x:v>Elevador Social</x:v>
      </x:c>
      <x:c r="I185" t="str">
        <x:v>Microprocessado</x:v>
      </x:c>
      <x:c r="J185" t="str">
        <x:v>Gearless</x:v>
      </x:c>
      <x:c r="K185" t="str">
        <x:v>OTIS</x:v>
      </x:c>
      <x:c r="L185" t="str">
        <x:v>ROT-052</x:v>
      </x:c>
      <x:c r="M185" t="str">
        <x:v>Elétrica</x:v>
      </x:c>
      <x:c r="N185" t="str">
        <x:v>Fonte</x:v>
      </x:c>
      <x:c r="O185" t="str">
        <x:v>Sem alimentação</x:v>
      </x:c>
      <x:c r="P185" t="str">
        <x:v>Falha elétrica</x:v>
      </x:c>
      <x:c r="Q185" t="str">
        <x:v>Fonte substituída</x:v>
      </x:c>
      <x:c r="R185" t="str">
        <x:v>Universidade Central</x:v>
      </x:c>
      <x:c r="S185" t="str">
        <x:v>Não</x:v>
      </x:c>
      <x:c r="T185" t="str">
        <x:v>Sim</x:v>
      </x:c>
      <x:c r="U185" t="str">
        <x:v>CT-2026-006</x:v>
      </x:c>
      <x:c r="V185" t="str">
        <x:v>SP-Leste</x:v>
      </x:c>
      <x:c r="W185" t="str">
        <x:v>Paulo Mendes</x:v>
      </x:c>
      <x:c r="X185" t="str">
        <x:v>Supervisor B</x:v>
      </x:c>
      <x:c r="Y185" t="str">
        <x:v>Rota Leste 06</x:v>
      </x:c>
      <x:c r="Z185" t="str">
        <x:v>Av. Central, 850 - São Paulo/SP</x:v>
      </x:c>
      <x:c r="AA185" t="str">
        <x:v>São Paulo</x:v>
      </x:c>
      <x:c r="AB185" s="50" t="n">
        <x:v>46273.3215277778</x:v>
      </x:c>
      <x:c r="AC185" s="50" t="n">
        <x:v>46273.3236111111</x:v>
      </x:c>
      <x:c r="AD185" s="50" t="n">
        <x:v>46273.325</x:v>
      </x:c>
      <x:c r="AE185" s="50" t="n">
        <x:v>46273.3388888889</x:v>
      </x:c>
      <x:c r="AF185" s="50" t="n">
        <x:v>46273.3569444444</x:v>
      </x:c>
      <x:c r="AG185" t="n">
        <x:v>25</x:v>
      </x:c>
      <x:c r="AH185" t="n">
        <x:v>21</x:v>
      </x:c>
      <x:c r="AI185" t="str">
        <x:v>Não</x:v>
      </x:c>
      <x:c r="AJ185" t="str">
        <x:v>Não</x:v>
      </x:c>
      <x:c r="AK185" t="n">
        <x:v>120</x:v>
      </x:c>
      <x:c r="AL185" t="n">
        <x:v>0</x:v>
      </x:c>
      <x:c r="AM185" s="64" t="n">
        <x:v>0.3833</x:v>
      </x:c>
      <x:c r="AN185" t="n">
        <x:v>0</x:v>
      </x:c>
      <x:c r="AO185" t="str">
        <x:v>Verde</x:v>
      </x:c>
      <x:c r="AP185" t="str">
        <x:v>operação dentro do esperado</x:v>
      </x:c>
      <x:c r="AQ185" t="str">
        <x:v>Sem recorrência relevante; acompanhar evolução de Elétrica.</x:v>
      </x:c>
      <x:c r="AR185" s="62" t="n">
        <x:v>507</x:v>
      </x:c>
      <x:c r="AS185" t="str">
        <x:v>Baixo</x:v>
      </x:c>
      <x:c r="AT185" s="50" t="n">
        <x:v>46273.552083333336</x:v>
      </x:c>
      <x:c r="AU185" t="str">
        <x:v>T07</x:v>
      </x:c>
      <x:c r="AV185" t="str">
        <x:v>T2 original + evolução sintética posterior</x:v>
      </x:c>
    </x:row>
    <x:row r="186">
      <x:c r="A186" t="str">
        <x:v>CH-20260908-007</x:v>
      </x:c>
      <x:c r="B186" t="str">
        <x:v>Botão de Chamada</x:v>
      </x:c>
      <x:c r="C186" t="str">
        <x:v>Botão não responde</x:v>
      </x:c>
      <x:c r="D186" t="str">
        <x:v>Botão de chamada não registra comando.</x:v>
      </x:c>
      <x:c r="E186" t="str">
        <x:v>Concluído</x:v>
      </x:c>
      <x:c r="F186" t="str">
        <x:v>Aplicativo Cliente</x:v>
      </x:c>
      <x:c r="G186" t="str">
        <x:v>E-107</x:v>
      </x:c>
      <x:c r="H186" t="str">
        <x:v>Elevador Social</x:v>
      </x:c>
      <x:c r="I186" t="str">
        <x:v>Microprocessado</x:v>
      </x:c>
      <x:c r="J186" t="str">
        <x:v>Gearless</x:v>
      </x:c>
      <x:c r="K186" t="str">
        <x:v>OTIS</x:v>
      </x:c>
      <x:c r="L186" t="str">
        <x:v>ROT-063</x:v>
      </x:c>
      <x:c r="M186" t="str">
        <x:v>Botoeira</x:v>
      </x:c>
      <x:c r="N186" t="str">
        <x:v>Contato</x:v>
      </x:c>
      <x:c r="O186" t="str">
        <x:v>Mau contato</x:v>
      </x:c>
      <x:c r="P186" t="str">
        <x:v>Falha de comando</x:v>
      </x:c>
      <x:c r="Q186" t="str">
        <x:v>Contato reparado</x:v>
      </x:c>
      <x:c r="R186" t="str">
        <x:v>Hospital São Paulo</x:v>
      </x:c>
      <x:c r="S186" t="str">
        <x:v>Sim</x:v>
      </x:c>
      <x:c r="T186" t="str">
        <x:v>Sim</x:v>
      </x:c>
      <x:c r="U186" t="str">
        <x:v>CT-2026-001</x:v>
      </x:c>
      <x:c r="V186" t="str">
        <x:v>SP-Centro</x:v>
      </x:c>
      <x:c r="W186" t="str">
        <x:v>João Silva</x:v>
      </x:c>
      <x:c r="X186" t="str">
        <x:v>Supervisor C</x:v>
      </x:c>
      <x:c r="Y186" t="str">
        <x:v>Rota Centro 01</x:v>
      </x:c>
      <x:c r="Z186" t="str">
        <x:v>Av. Paulista, 1000 - São Paulo/SP</x:v>
      </x:c>
      <x:c r="AA186" t="str">
        <x:v>São Paulo</x:v>
      </x:c>
      <x:c r="AB186" s="50" t="n">
        <x:v>46273.3243055556</x:v>
      </x:c>
      <x:c r="AC186" s="50" t="n">
        <x:v>46273.3270833333</x:v>
      </x:c>
      <x:c r="AD186" s="50" t="n">
        <x:v>46273.3298611111</x:v>
      </x:c>
      <x:c r="AE186" s="50" t="n">
        <x:v>46273.3486111111</x:v>
      </x:c>
      <x:c r="AF186" s="50" t="n">
        <x:v>46273.3743055556</x:v>
      </x:c>
      <x:c r="AG186" t="n">
        <x:v>35</x:v>
      </x:c>
      <x:c r="AH186" t="n">
        <x:v>32</x:v>
      </x:c>
      <x:c r="AI186" t="str">
        <x:v>Não</x:v>
      </x:c>
      <x:c r="AJ186" t="str">
        <x:v>Não</x:v>
      </x:c>
      <x:c r="AK186" t="n">
        <x:v>60</x:v>
      </x:c>
      <x:c r="AL186" t="n">
        <x:v>0</x:v>
      </x:c>
      <x:c r="AM186" s="64" t="n">
        <x:v>1.1167</x:v>
      </x:c>
      <x:c r="AN186" t="n">
        <x:v>2</x:v>
      </x:c>
      <x:c r="AO186" t="str">
        <x:v>Vermelho</x:v>
      </x:c>
      <x:c r="AP186" t="str">
        <x:v>2 recorrências/30d; SLA estourado</x:v>
      </x:c>
      <x:c r="AQ186" t="str">
        <x:v>Há ocorrência recente semelhante; comparar solução anterior de Botoeira.</x:v>
      </x:c>
      <x:c r="AR186" s="62" t="n">
        <x:v>612</x:v>
      </x:c>
      <x:c r="AS186" t="str">
        <x:v>Baixo</x:v>
      </x:c>
      <x:c r="AT186" s="50" t="n">
        <x:v>46273.552083333336</x:v>
      </x:c>
      <x:c r="AU186" t="str">
        <x:v>T07</x:v>
      </x:c>
      <x:c r="AV186" t="str">
        <x:v>T2 original + evolução sintética posterior</x:v>
      </x:c>
    </x:row>
    <x:row r="187">
      <x:c r="A187" t="str">
        <x:v>CH-20260908-008</x:v>
      </x:c>
      <x:c r="B187" t="str">
        <x:v>Parada Intermitente</x:v>
      </x:c>
      <x:c r="C187" t="str">
        <x:v>Paradas aleatórias</x:v>
      </x:c>
      <x:c r="D187" t="str">
        <x:v>Equipamento interrompe operação de forma intermitente.</x:v>
      </x:c>
      <x:c r="E187" t="str">
        <x:v>Concluído</x:v>
      </x:c>
      <x:c r="F187" t="str">
        <x:v>Monitoramento Remoto</x:v>
      </x:c>
      <x:c r="G187" t="str">
        <x:v>E-108</x:v>
      </x:c>
      <x:c r="H187" t="str">
        <x:v>Elevador Social</x:v>
      </x:c>
      <x:c r="I187" t="str">
        <x:v>Microprocessado</x:v>
      </x:c>
      <x:c r="J187" t="str">
        <x:v>Gearless</x:v>
      </x:c>
      <x:c r="K187" t="str">
        <x:v>OTIS</x:v>
      </x:c>
      <x:c r="L187" t="str">
        <x:v>ROT-074</x:v>
      </x:c>
      <x:c r="M187" t="str">
        <x:v>Painel/Comando</x:v>
      </x:c>
      <x:c r="N187" t="str">
        <x:v>Placa</x:v>
      </x:c>
      <x:c r="O187" t="str">
        <x:v>Intermitência</x:v>
      </x:c>
      <x:c r="P187" t="str">
        <x:v>Falha intermitente</x:v>
      </x:c>
      <x:c r="Q187" t="str">
        <x:v>Placa revisada e teste funcional</x:v>
      </x:c>
      <x:c r="R187" t="str">
        <x:v>Shopping Center Norte</x:v>
      </x:c>
      <x:c r="S187" t="str">
        <x:v>Não</x:v>
      </x:c>
      <x:c r="T187" t="str">
        <x:v>Sim</x:v>
      </x:c>
      <x:c r="U187" t="str">
        <x:v>CT-2026-002</x:v>
      </x:c>
      <x:c r="V187" t="str">
        <x:v>SP-Norte</x:v>
      </x:c>
      <x:c r="W187" t="str">
        <x:v>Marcos Lima</x:v>
      </x:c>
      <x:c r="X187" t="str">
        <x:v>Supervisor D</x:v>
      </x:c>
      <x:c r="Y187" t="str">
        <x:v>Rota Norte 02</x:v>
      </x:c>
      <x:c r="Z187" t="str">
        <x:v>Av. Otto Baumgart, 245 - São Paulo/SP</x:v>
      </x:c>
      <x:c r="AA187" t="str">
        <x:v>São Paulo</x:v>
      </x:c>
      <x:c r="AB187" s="50" t="n">
        <x:v>46273.3270833333</x:v>
      </x:c>
      <x:c r="AC187" s="50" t="n">
        <x:v>46273.3305555556</x:v>
      </x:c>
      <x:c r="AD187" s="50" t="n">
        <x:v>46273.3347222222</x:v>
      </x:c>
      <x:c r="AE187" s="50" t="n">
        <x:v>46273.3583333333</x:v>
      </x:c>
      <x:c r="AF187" s="50" t="n">
        <x:v>46273.3916666667</x:v>
      </x:c>
      <x:c r="AG187" t="n">
        <x:v>45</x:v>
      </x:c>
      <x:c r="AH187" t="n">
        <x:v>43</x:v>
      </x:c>
      <x:c r="AI187" t="str">
        <x:v>Não</x:v>
      </x:c>
      <x:c r="AJ187" t="str">
        <x:v>Sim</x:v>
      </x:c>
      <x:c r="AK187" t="n">
        <x:v>90</x:v>
      </x:c>
      <x:c r="AL187" t="n">
        <x:v>0</x:v>
      </x:c>
      <x:c r="AM187" s="64" t="n">
        <x:v>0.9778</x:v>
      </x:c>
      <x:c r="AN187" t="n">
        <x:v>4</x:v>
      </x:c>
      <x:c r="AO187" t="str">
        <x:v>Laranja</x:v>
      </x:c>
      <x:c r="AP187" t="str">
        <x:v>4 recorrências/30d; SLA acima de 80%; carro parado</x:v>
      </x:c>
      <x:c r="AQ187" t="str">
        <x:v>Recorrência elevada: verificar padrão histórico em Painel/Comando/Placa.</x:v>
      </x:c>
      <x:c r="AR187" s="62" t="n">
        <x:v>1437</x:v>
      </x:c>
      <x:c r="AS187" t="str">
        <x:v>Alto</x:v>
      </x:c>
      <x:c r="AT187" s="50" t="n">
        <x:v>46273.552083333336</x:v>
      </x:c>
      <x:c r="AU187" t="str">
        <x:v>T07</x:v>
      </x:c>
      <x:c r="AV187" t="str">
        <x:v>T2 original + evolução sintética posterior</x:v>
      </x:c>
    </x:row>
    <x:row r="188">
      <x:c r="A188" t="str">
        <x:v>CH-20260908-009</x:v>
      </x:c>
      <x:c r="B188" t="str">
        <x:v>Passageiro Preso</x:v>
      </x:c>
      <x:c r="C188" t="str">
        <x:v>Elevador parado entre andares</x:v>
      </x:c>
      <x:c r="D188" t="str">
        <x:v>Cabine imobilizada com passageiro no interior.</x:v>
      </x:c>
      <x:c r="E188" t="str">
        <x:v>Concluído</x:v>
      </x:c>
      <x:c r="F188" t="str">
        <x:v>Central de Atendimento</x:v>
      </x:c>
      <x:c r="G188" t="str">
        <x:v>E-109</x:v>
      </x:c>
      <x:c r="H188" t="str">
        <x:v>Elevador Social</x:v>
      </x:c>
      <x:c r="I188" t="str">
        <x:v>Microprocessado</x:v>
      </x:c>
      <x:c r="J188" t="str">
        <x:v>Gearless</x:v>
      </x:c>
      <x:c r="K188" t="str">
        <x:v>OTIS</x:v>
      </x:c>
      <x:c r="L188" t="str">
        <x:v>ROT-001</x:v>
      </x:c>
      <x:c r="M188" t="str">
        <x:v>Tração</x:v>
      </x:c>
      <x:c r="N188" t="str">
        <x:v>Freio</x:v>
      </x:c>
      <x:c r="O188" t="str">
        <x:v>Travamento</x:v>
      </x:c>
      <x:c r="P188" t="str">
        <x:v>Parada total</x:v>
      </x:c>
      <x:c r="Q188" t="str">
        <x:v>Resgate concluído e equipamento normalizado</x:v>
      </x:c>
      <x:c r="R188" t="str">
        <x:v>Edifício Corporate</x:v>
      </x:c>
      <x:c r="S188" t="str">
        <x:v>Não</x:v>
      </x:c>
      <x:c r="T188" t="str">
        <x:v>Sim</x:v>
      </x:c>
      <x:c r="U188" t="str">
        <x:v>CT-2026-003</x:v>
      </x:c>
      <x:c r="V188" t="str">
        <x:v>SP-Oeste</x:v>
      </x:c>
      <x:c r="W188" t="str">
        <x:v>Ana Costa</x:v>
      </x:c>
      <x:c r="X188" t="str">
        <x:v>Supervisor A</x:v>
      </x:c>
      <x:c r="Y188" t="str">
        <x:v>Rota Oeste 03</x:v>
      </x:c>
      <x:c r="Z188" t="str">
        <x:v>Av. Faria Lima, 3500 - São Paulo/SP</x:v>
      </x:c>
      <x:c r="AA188" t="str">
        <x:v>São Paulo</x:v>
      </x:c>
      <x:c r="AB188" s="50" t="n">
        <x:v>46273.3298611111</x:v>
      </x:c>
      <x:c r="AC188" s="50" t="n">
        <x:v>46273.3340277778</x:v>
      </x:c>
      <x:c r="AD188" s="50" t="n">
        <x:v>46273.3354166667</x:v>
      </x:c>
      <x:c r="AE188" s="50" t="n">
        <x:v>46273.3604166667</x:v>
      </x:c>
      <x:c r="AF188" s="50" t="n">
        <x:v>46273.3833333333</x:v>
      </x:c>
      <x:c r="AG188" t="n">
        <x:v>44</x:v>
      </x:c>
      <x:c r="AH188" t="n">
        <x:v>28</x:v>
      </x:c>
      <x:c r="AI188" t="str">
        <x:v>Sim</x:v>
      </x:c>
      <x:c r="AJ188" t="str">
        <x:v>Sim</x:v>
      </x:c>
      <x:c r="AK188" t="n">
        <x:v>120</x:v>
      </x:c>
      <x:c r="AL188" t="n">
        <x:v>0</x:v>
      </x:c>
      <x:c r="AM188" s="64" t="n">
        <x:v>0.6</x:v>
      </x:c>
      <x:c r="AN188" t="n">
        <x:v>0</x:v>
      </x:c>
      <x:c r="AO188" t="str">
        <x:v>Verde</x:v>
      </x:c>
      <x:c r="AP188" t="str">
        <x:v>passageiro preso; SLA acima de 55%; carro parado</x:v>
      </x:c>
      <x:c r="AQ188" t="str">
        <x:v>Sem recorrência relevante; acompanhar evolução de Tração.</x:v>
      </x:c>
      <x:c r="AR188" s="62" t="n">
        <x:v>970</x:v>
      </x:c>
      <x:c r="AS188" t="str">
        <x:v>Médio</x:v>
      </x:c>
      <x:c r="AT188" s="50" t="n">
        <x:v>46273.552083333336</x:v>
      </x:c>
      <x:c r="AU188" t="str">
        <x:v>T07</x:v>
      </x:c>
      <x:c r="AV188" t="str">
        <x:v>T2 original + evolução sintética posterior</x:v>
      </x:c>
    </x:row>
    <x:row r="189">
      <x:c r="A189" t="str">
        <x:v>CH-20260908-010</x:v>
      </x:c>
      <x:c r="B189" t="str">
        <x:v>Falha de Nivelamento</x:v>
      </x:c>
      <x:c r="C189" t="str">
        <x:v>Cabine desnivelada</x:v>
      </x:c>
      <x:c r="D189" t="str">
        <x:v>Cabine parou fora do nível do pavimento.</x:v>
      </x:c>
      <x:c r="E189" t="str">
        <x:v>Concluído</x:v>
      </x:c>
      <x:c r="F189" t="str">
        <x:v>IoT</x:v>
      </x:c>
      <x:c r="G189" t="str">
        <x:v>E-110</x:v>
      </x:c>
      <x:c r="H189" t="str">
        <x:v>Elevador Social</x:v>
      </x:c>
      <x:c r="I189" t="str">
        <x:v>Microprocessado</x:v>
      </x:c>
      <x:c r="J189" t="str">
        <x:v>Gearless</x:v>
      </x:c>
      <x:c r="K189" t="str">
        <x:v>OTIS</x:v>
      </x:c>
      <x:c r="L189" t="str">
        <x:v>ROT-014</x:v>
      </x:c>
      <x:c r="M189" t="str">
        <x:v>Sensor de Nível</x:v>
      </x:c>
      <x:c r="N189" t="str">
        <x:v>Sensor</x:v>
      </x:c>
      <x:c r="O189" t="str">
        <x:v>Leitura inconsistente</x:v>
      </x:c>
      <x:c r="P189" t="str">
        <x:v>Falha de nivelamento</x:v>
      </x:c>
      <x:c r="Q189" t="str">
        <x:v>Sensor ajustado/substituído</x:v>
      </x:c>
      <x:c r="R189" t="str">
        <x:v>Condomínio Alameda</x:v>
      </x:c>
      <x:c r="S189" t="str">
        <x:v>Não</x:v>
      </x:c>
      <x:c r="T189" t="str">
        <x:v>Não</x:v>
      </x:c>
      <x:c r="U189" t="str">
        <x:v>CT-2026-004</x:v>
      </x:c>
      <x:c r="V189" t="str">
        <x:v>SP-Sul</x:v>
      </x:c>
      <x:c r="W189" t="str">
        <x:v>Carlos Souza</x:v>
      </x:c>
      <x:c r="X189" t="str">
        <x:v>Supervisor B</x:v>
      </x:c>
      <x:c r="Y189" t="str">
        <x:v>Rota Sul 04</x:v>
      </x:c>
      <x:c r="Z189" t="str">
        <x:v>R. das Acácias, 420 - São Paulo/SP</x:v>
      </x:c>
      <x:c r="AA189" t="str">
        <x:v>São Paulo</x:v>
      </x:c>
      <x:c r="AB189" s="50" t="n">
        <x:v>46273.3326388889</x:v>
      </x:c>
      <x:c r="AC189" s="50" t="n">
        <x:v>46273.3340277778</x:v>
      </x:c>
      <x:c r="AD189" s="50" t="n">
        <x:v>46273.3368055556</x:v>
      </x:c>
      <x:c r="AE189" s="50" t="n">
        <x:v>46273.3465277778</x:v>
      </x:c>
      <x:c r="AF189" s="50" t="n">
        <x:v>46273.3951388889</x:v>
      </x:c>
      <x:c r="AG189" t="n">
        <x:v>20</x:v>
      </x:c>
      <x:c r="AH189" t="n">
        <x:v>65</x:v>
      </x:c>
      <x:c r="AI189" t="str">
        <x:v>Não</x:v>
      </x:c>
      <x:c r="AJ189" t="str">
        <x:v>Não</x:v>
      </x:c>
      <x:c r="AK189" t="n">
        <x:v>180</x:v>
      </x:c>
      <x:c r="AL189" t="n">
        <x:v>0</x:v>
      </x:c>
      <x:c r="AM189" s="64" t="n">
        <x:v>0.4722</x:v>
      </x:c>
      <x:c r="AN189" t="n">
        <x:v>1</x:v>
      </x:c>
      <x:c r="AO189" t="str">
        <x:v>Verde</x:v>
      </x:c>
      <x:c r="AP189" t="str">
        <x:v>operação dentro do esperado</x:v>
      </x:c>
      <x:c r="AQ189" t="str">
        <x:v>Há ocorrência recente semelhante; comparar solução anterior de Sensor de Nível.</x:v>
      </x:c>
      <x:c r="AR189" s="62" t="n">
        <x:v>791</x:v>
      </x:c>
      <x:c r="AS189" t="str">
        <x:v>Médio</x:v>
      </x:c>
      <x:c r="AT189" s="50" t="n">
        <x:v>46273.552083333336</x:v>
      </x:c>
      <x:c r="AU189" t="str">
        <x:v>T07</x:v>
      </x:c>
      <x:c r="AV189" t="str">
        <x:v>T2 original + evolução sintética posterior</x:v>
      </x:c>
    </x:row>
    <x:row r="190">
      <x:c r="A190" t="str">
        <x:v>CH-20260908-011</x:v>
      </x:c>
      <x:c r="B190" t="str">
        <x:v>Porta não fecha</x:v>
      </x:c>
      <x:c r="C190" t="str">
        <x:v>Falha no fechamento</x:v>
      </x:c>
      <x:c r="D190" t="str">
        <x:v>Porta permanece aberta e impede partida.</x:v>
      </x:c>
      <x:c r="E190" t="str">
        <x:v>Concluído</x:v>
      </x:c>
      <x:c r="F190" t="str">
        <x:v>Aplicativo Cliente</x:v>
      </x:c>
      <x:c r="G190" t="str">
        <x:v>E-111</x:v>
      </x:c>
      <x:c r="H190" t="str">
        <x:v>Elevador Social</x:v>
      </x:c>
      <x:c r="I190" t="str">
        <x:v>Microprocessado</x:v>
      </x:c>
      <x:c r="J190" t="str">
        <x:v>Gearless</x:v>
      </x:c>
      <x:c r="K190" t="str">
        <x:v>OTIS</x:v>
      </x:c>
      <x:c r="L190" t="str">
        <x:v>ROT-021</x:v>
      </x:c>
      <x:c r="M190" t="str">
        <x:v>Operador de Porta</x:v>
      </x:c>
      <x:c r="N190" t="str">
        <x:v>Sensor de porta</x:v>
      </x:c>
      <x:c r="O190" t="str">
        <x:v>Falha de leitura</x:v>
      </x:c>
      <x:c r="P190" t="str">
        <x:v>Porta aberta</x:v>
      </x:c>
      <x:c r="Q190" t="str">
        <x:v>Inspeção técnica e normalização demonstrativas de Operador de Porta; resolução sintética, sem confirmação de consumo de peças.</x:v>
      </x:c>
      <x:c r="R190" t="str">
        <x:v>Aeroporto Terminal 3</x:v>
      </x:c>
      <x:c r="S190" t="str">
        <x:v>Sim</x:v>
      </x:c>
      <x:c r="T190" t="str">
        <x:v>Sim</x:v>
      </x:c>
      <x:c r="U190" t="str">
        <x:v>CT-2026-005</x:v>
      </x:c>
      <x:c r="V190" t="str">
        <x:v>GRU</x:v>
      </x:c>
      <x:c r="W190" t="str">
        <x:v>Renata Alves</x:v>
      </x:c>
      <x:c r="X190" t="str">
        <x:v>Supervisor C</x:v>
      </x:c>
      <x:c r="Y190" t="str">
        <x:v>Rota GRU 05</x:v>
      </x:c>
      <x:c r="Z190" t="str">
        <x:v>Rod. Hélio Smidt, s/n - Guarulhos/SP</x:v>
      </x:c>
      <x:c r="AA190" t="str">
        <x:v>São Paulo</x:v>
      </x:c>
      <x:c r="AB190" s="50" t="n">
        <x:v>46273.3354166667</x:v>
      </x:c>
      <x:c r="AC190" s="50" t="n">
        <x:v>46273.3375</x:v>
      </x:c>
      <x:c r="AD190" s="50" t="n">
        <x:v>46273.341666666696</x:v>
      </x:c>
      <x:c r="AE190" s="50" t="n">
        <x:v>46273.3534722222</x:v>
      </x:c>
      <x:c r="AF190" s="50" t="n">
        <x:v>46273.41875</x:v>
      </x:c>
      <x:c r="AG190" t="n">
        <x:v>26</x:v>
      </x:c>
      <x:c r="AH190" t="n">
        <x:v>89</x:v>
      </x:c>
      <x:c r="AI190" t="str">
        <x:v>Não</x:v>
      </x:c>
      <x:c r="AJ190" t="str">
        <x:v>Não</x:v>
      </x:c>
      <x:c r="AK190" t="n">
        <x:v>45</x:v>
      </x:c>
      <x:c r="AL190" t="n">
        <x:v>0</x:v>
      </x:c>
      <x:c r="AM190" s="64" t="n">
        <x:v>2.5556</x:v>
      </x:c>
      <x:c r="AN190" t="n">
        <x:v>2</x:v>
      </x:c>
      <x:c r="AO190" t="str">
        <x:v>Vermelho</x:v>
      </x:c>
      <x:c r="AP190" t="str">
        <x:v>SLA sintético excedido (tempo acumulado ≥ 100% do SLA)</x:v>
      </x:c>
      <x:c r="AQ190" t="str">
        <x:v>Encerramento demonstrativo de Operador de Porta; verificar fechamento e histórico para aprendizado. Sem despacho automático.</x:v>
      </x:c>
      <x:c r="AR190" s="62" t="n">
        <x:v>880</x:v>
      </x:c>
      <x:c r="AS190" t="str">
        <x:v>Médio</x:v>
      </x:c>
      <x:c r="AT190" s="50" t="n">
        <x:v>46273.552083333336</x:v>
      </x:c>
      <x:c r="AU190" t="str">
        <x:v>T07</x:v>
      </x:c>
      <x:c r="AV190" t="str">
        <x:v>T2 original + evolução sintética posterior</x:v>
      </x:c>
    </x:row>
    <x:row r="191">
      <x:c r="A191" t="str">
        <x:v>CH-20260908-012</x:v>
      </x:c>
      <x:c r="B191" t="str">
        <x:v>Painel sem comunicação</x:v>
      </x:c>
      <x:c r="C191" t="str">
        <x:v>Falha de comunicação</x:v>
      </x:c>
      <x:c r="D191" t="str">
        <x:v>Painel não responde aos comandos.</x:v>
      </x:c>
      <x:c r="E191" t="str">
        <x:v>Concluído</x:v>
      </x:c>
      <x:c r="F191" t="str">
        <x:v>Monitoramento Remoto</x:v>
      </x:c>
      <x:c r="G191" t="str">
        <x:v>E-112</x:v>
      </x:c>
      <x:c r="H191" t="str">
        <x:v>Elevador Social</x:v>
      </x:c>
      <x:c r="I191" t="str">
        <x:v>Microprocessado</x:v>
      </x:c>
      <x:c r="J191" t="str">
        <x:v>Gearless</x:v>
      </x:c>
      <x:c r="K191" t="str">
        <x:v>OTIS</x:v>
      </x:c>
      <x:c r="L191" t="str">
        <x:v>ROT-033</x:v>
      </x:c>
      <x:c r="M191" t="str">
        <x:v>Painel/Comando</x:v>
      </x:c>
      <x:c r="N191" t="str">
        <x:v>Interface</x:v>
      </x:c>
      <x:c r="O191" t="str">
        <x:v>Sem comunicação</x:v>
      </x:c>
      <x:c r="P191" t="str">
        <x:v>Falha lógica</x:v>
      </x:c>
      <x:c r="Q191" t="str">
        <x:v>Interface reinicializada/substituída</x:v>
      </x:c>
      <x:c r="R191" t="str">
        <x:v>Universidade Central</x:v>
      </x:c>
      <x:c r="S191" t="str">
        <x:v>Não</x:v>
      </x:c>
      <x:c r="T191" t="str">
        <x:v>Sim</x:v>
      </x:c>
      <x:c r="U191" t="str">
        <x:v>CT-2026-006</x:v>
      </x:c>
      <x:c r="V191" t="str">
        <x:v>SP-Leste</x:v>
      </x:c>
      <x:c r="W191" t="str">
        <x:v>Paulo Mendes</x:v>
      </x:c>
      <x:c r="X191" t="str">
        <x:v>Supervisor D</x:v>
      </x:c>
      <x:c r="Y191" t="str">
        <x:v>Rota Leste 06</x:v>
      </x:c>
      <x:c r="Z191" t="str">
        <x:v>Av. Central, 850 - São Paulo/SP</x:v>
      </x:c>
      <x:c r="AA191" t="str">
        <x:v>São Paulo</x:v>
      </x:c>
      <x:c r="AB191" s="50" t="n">
        <x:v>46273.3381944444</x:v>
      </x:c>
      <x:c r="AC191" s="50" t="n">
        <x:v>46273.3409722222</x:v>
      </x:c>
      <x:c r="AD191" s="50" t="n">
        <x:v>46273.3423611111</x:v>
      </x:c>
      <x:c r="AE191" s="50" t="n">
        <x:v>46273.3618055556</x:v>
      </x:c>
      <x:c r="AF191" s="50" t="n">
        <x:v>46273.3819444444</x:v>
      </x:c>
      <x:c r="AG191" t="n">
        <x:v>34</x:v>
      </x:c>
      <x:c r="AH191" t="n">
        <x:v>24</x:v>
      </x:c>
      <x:c r="AI191" t="str">
        <x:v>Não</x:v>
      </x:c>
      <x:c r="AJ191" t="str">
        <x:v>Não</x:v>
      </x:c>
      <x:c r="AK191" t="n">
        <x:v>120</x:v>
      </x:c>
      <x:c r="AL191" t="n">
        <x:v>0</x:v>
      </x:c>
      <x:c r="AM191" s="64" t="n">
        <x:v>0.4833</x:v>
      </x:c>
      <x:c r="AN191" t="n">
        <x:v>3</x:v>
      </x:c>
      <x:c r="AO191" t="str">
        <x:v>Verde</x:v>
      </x:c>
      <x:c r="AP191" t="str">
        <x:v>3 recorrências/30d</x:v>
      </x:c>
      <x:c r="AQ191" t="str">
        <x:v>Recorrência elevada: verificar padrão histórico em Painel/Comando/Interface.</x:v>
      </x:c>
      <x:c r="AR191" s="62" t="n">
        <x:v>1280</x:v>
      </x:c>
      <x:c r="AS191" t="str">
        <x:v>Alto</x:v>
      </x:c>
      <x:c r="AT191" s="50" t="n">
        <x:v>46273.552083333336</x:v>
      </x:c>
      <x:c r="AU191" t="str">
        <x:v>T07</x:v>
      </x:c>
      <x:c r="AV191" t="str">
        <x:v>T2 original + evolução sintética posterior</x:v>
      </x:c>
    </x:row>
    <x:row r="192">
      <x:c r="A192" t="str">
        <x:v>CH-20260908-013</x:v>
      </x:c>
      <x:c r="B192" t="str">
        <x:v>Falha de Tração</x:v>
      </x:c>
      <x:c r="C192" t="str">
        <x:v>Movimento irregular</x:v>
      </x:c>
      <x:c r="D192" t="str">
        <x:v>Equipamento apresenta perda de tração.</x:v>
      </x:c>
      <x:c r="E192" t="str">
        <x:v>Concluído</x:v>
      </x:c>
      <x:c r="F192" t="str">
        <x:v>Central de Atendimento</x:v>
      </x:c>
      <x:c r="G192" t="str">
        <x:v>E-113</x:v>
      </x:c>
      <x:c r="H192" t="str">
        <x:v>Elevador Social</x:v>
      </x:c>
      <x:c r="I192" t="str">
        <x:v>Microprocessado</x:v>
      </x:c>
      <x:c r="J192" t="str">
        <x:v>Gearless</x:v>
      </x:c>
      <x:c r="K192" t="str">
        <x:v>OTIS</x:v>
      </x:c>
      <x:c r="L192" t="str">
        <x:v>ROT-041</x:v>
      </x:c>
      <x:c r="M192" t="str">
        <x:v>Máquina de Tração</x:v>
      </x:c>
      <x:c r="N192" t="str">
        <x:v>Inversor</x:v>
      </x:c>
      <x:c r="O192" t="str">
        <x:v>Oscilação</x:v>
      </x:c>
      <x:c r="P192" t="str">
        <x:v>Falha de movimento</x:v>
      </x:c>
      <x:c r="Q192" t="str">
        <x:v>Inspeção técnica e normalização demonstrativas de Máquina de Tração; resolução sintética, sem confirmação de consumo de peças.</x:v>
      </x:c>
      <x:c r="R192" t="str">
        <x:v>Hospital São Paulo</x:v>
      </x:c>
      <x:c r="S192" t="str">
        <x:v>Sim</x:v>
      </x:c>
      <x:c r="T192" t="str">
        <x:v>Sim</x:v>
      </x:c>
      <x:c r="U192" t="str">
        <x:v>CT-2026-001</x:v>
      </x:c>
      <x:c r="V192" t="str">
        <x:v>SP-Centro</x:v>
      </x:c>
      <x:c r="W192" t="str">
        <x:v>João Silva</x:v>
      </x:c>
      <x:c r="X192" t="str">
        <x:v>Supervisor A</x:v>
      </x:c>
      <x:c r="Y192" t="str">
        <x:v>Rota Centro 01</x:v>
      </x:c>
      <x:c r="Z192" t="str">
        <x:v>Av. Paulista, 1000 - São Paulo/SP</x:v>
      </x:c>
      <x:c r="AA192" t="str">
        <x:v>São Paulo</x:v>
      </x:c>
      <x:c r="AB192" s="50" t="n">
        <x:v>46273.341666666696</x:v>
      </x:c>
      <x:c r="AC192" s="50" t="n">
        <x:v>46273.3451388889</x:v>
      </x:c>
      <x:c r="AD192" s="50" t="n">
        <x:v>46273.3479166667</x:v>
      </x:c>
      <x:c r="AE192" s="50" t="n">
        <x:v>46273.3722222222</x:v>
      </x:c>
      <x:c r="AF192" s="50" t="n">
        <x:v>46273.43124999998</x:v>
      </x:c>
      <x:c r="AG192" t="n">
        <x:v>44</x:v>
      </x:c>
      <x:c r="AH192" t="n">
        <x:v>80</x:v>
      </x:c>
      <x:c r="AI192" t="str">
        <x:v>Não</x:v>
      </x:c>
      <x:c r="AJ192" t="str">
        <x:v>Sim</x:v>
      </x:c>
      <x:c r="AK192" t="n">
        <x:v>60</x:v>
      </x:c>
      <x:c r="AL192" t="n">
        <x:v>0</x:v>
      </x:c>
      <x:c r="AM192" s="64" t="n">
        <x:v>2.0667</x:v>
      </x:c>
      <x:c r="AN192" t="n">
        <x:v>1</x:v>
      </x:c>
      <x:c r="AO192" t="str">
        <x:v>Vermelho</x:v>
      </x:c>
      <x:c r="AP192" t="str">
        <x:v>SLA sintético excedido (tempo acumulado ≥ 100% do SLA)</x:v>
      </x:c>
      <x:c r="AQ192" t="str">
        <x:v>Encerramento demonstrativo de Máquina de Tração; verificar fechamento e histórico para aprendizado. Sem despacho automático.</x:v>
      </x:c>
      <x:c r="AR192" s="62" t="n">
        <x:v>1085</x:v>
      </x:c>
      <x:c r="AS192" t="str">
        <x:v>Médio</x:v>
      </x:c>
      <x:c r="AT192" s="50" t="n">
        <x:v>46273.552083333336</x:v>
      </x:c>
      <x:c r="AU192" t="str">
        <x:v>T07</x:v>
      </x:c>
      <x:c r="AV192" t="str">
        <x:v>T2 original + evolução sintética posterior</x:v>
      </x:c>
    </x:row>
    <x:row r="193">
      <x:c r="A193" t="str">
        <x:v>CH-20260908-014</x:v>
      </x:c>
      <x:c r="B193" t="str">
        <x:v>Iluminação de Cabine</x:v>
      </x:c>
      <x:c r="C193" t="str">
        <x:v>Iluminação inoperante</x:v>
      </x:c>
      <x:c r="D193" t="str">
        <x:v>Cabine com iluminação parcial ou total indisponível.</x:v>
      </x:c>
      <x:c r="E193" t="str">
        <x:v>Concluído</x:v>
      </x:c>
      <x:c r="F193" t="str">
        <x:v>IoT</x:v>
      </x:c>
      <x:c r="G193" t="str">
        <x:v>E-114</x:v>
      </x:c>
      <x:c r="H193" t="str">
        <x:v>Elevador Social</x:v>
      </x:c>
      <x:c r="I193" t="str">
        <x:v>Microprocessado</x:v>
      </x:c>
      <x:c r="J193" t="str">
        <x:v>Gearless</x:v>
      </x:c>
      <x:c r="K193" t="str">
        <x:v>OTIS</x:v>
      </x:c>
      <x:c r="L193" t="str">
        <x:v>ROT-052</x:v>
      </x:c>
      <x:c r="M193" t="str">
        <x:v>Elétrica</x:v>
      </x:c>
      <x:c r="N193" t="str">
        <x:v>Fonte</x:v>
      </x:c>
      <x:c r="O193" t="str">
        <x:v>Sem alimentação</x:v>
      </x:c>
      <x:c r="P193" t="str">
        <x:v>Falha elétrica</x:v>
      </x:c>
      <x:c r="Q193" t="str">
        <x:v>Inspeção técnica e normalização demonstrativas de Elétrica; resolução sintética, sem confirmação de consumo de peças.</x:v>
      </x:c>
      <x:c r="R193" t="str">
        <x:v>Shopping Center Norte</x:v>
      </x:c>
      <x:c r="S193" t="str">
        <x:v>Não</x:v>
      </x:c>
      <x:c r="T193" t="str">
        <x:v>Sim</x:v>
      </x:c>
      <x:c r="U193" t="str">
        <x:v>CT-2026-002</x:v>
      </x:c>
      <x:c r="V193" t="str">
        <x:v>SP-Norte</x:v>
      </x:c>
      <x:c r="W193" t="str">
        <x:v>Marcos Lima</x:v>
      </x:c>
      <x:c r="X193" t="str">
        <x:v>Supervisor B</x:v>
      </x:c>
      <x:c r="Y193" t="str">
        <x:v>Rota Norte 02</x:v>
      </x:c>
      <x:c r="Z193" t="str">
        <x:v>Av. Otto Baumgart, 245 - São Paulo/SP</x:v>
      </x:c>
      <x:c r="AA193" t="str">
        <x:v>São Paulo</x:v>
      </x:c>
      <x:c r="AB193" s="50" t="n">
        <x:v>46273.3451388889</x:v>
      </x:c>
      <x:c r="AC193" s="50" t="n">
        <x:v>46273.3493055556</x:v>
      </x:c>
      <x:c r="AD193" s="50" t="n">
        <x:v>46273.3534722222</x:v>
      </x:c>
      <x:c r="AE193" s="50" t="n">
        <x:v>46273.3826388889</x:v>
      </x:c>
      <x:c r="AF193" s="50" t="n">
        <x:v>46273.4451388889</x:v>
      </x:c>
      <x:c r="AG193" t="n">
        <x:v>54</x:v>
      </x:c>
      <x:c r="AH193" t="n">
        <x:v>85</x:v>
      </x:c>
      <x:c r="AI193" t="str">
        <x:v>Não</x:v>
      </x:c>
      <x:c r="AJ193" t="str">
        <x:v>Não</x:v>
      </x:c>
      <x:c r="AK193" t="n">
        <x:v>90</x:v>
      </x:c>
      <x:c r="AL193" t="n">
        <x:v>0</x:v>
      </x:c>
      <x:c r="AM193" s="64" t="n">
        <x:v>1.5444</x:v>
      </x:c>
      <x:c r="AN193" t="n">
        <x:v>0</x:v>
      </x:c>
      <x:c r="AO193" t="str">
        <x:v>Vermelho</x:v>
      </x:c>
      <x:c r="AP193" t="str">
        <x:v>SLA sintético excedido (tempo acumulado ≥ 100% do SLA)</x:v>
      </x:c>
      <x:c r="AQ193" t="str">
        <x:v>Encerramento demonstrativo de Elétrica; verificar fechamento e histórico para aprendizado. Sem despacho automático.</x:v>
      </x:c>
      <x:c r="AR193" s="62" t="n">
        <x:v>770</x:v>
      </x:c>
      <x:c r="AS193" t="str">
        <x:v>Médio</x:v>
      </x:c>
      <x:c r="AT193" s="50" t="n">
        <x:v>46273.552083333336</x:v>
      </x:c>
      <x:c r="AU193" t="str">
        <x:v>T07</x:v>
      </x:c>
      <x:c r="AV193" t="str">
        <x:v>T2 original + evolução sintética posterior</x:v>
      </x:c>
    </x:row>
    <x:row r="194">
      <x:c r="A194" t="str">
        <x:v>CH-20260908-015</x:v>
      </x:c>
      <x:c r="B194" t="str">
        <x:v>Botão de Chamada</x:v>
      </x:c>
      <x:c r="C194" t="str">
        <x:v>Botão não responde</x:v>
      </x:c>
      <x:c r="D194" t="str">
        <x:v>Botão de chamada não registra comando.</x:v>
      </x:c>
      <x:c r="E194" t="str">
        <x:v>Concluído</x:v>
      </x:c>
      <x:c r="F194" t="str">
        <x:v>Aplicativo Cliente</x:v>
      </x:c>
      <x:c r="G194" t="str">
        <x:v>E-115</x:v>
      </x:c>
      <x:c r="H194" t="str">
        <x:v>Elevador Social</x:v>
      </x:c>
      <x:c r="I194" t="str">
        <x:v>Microprocessado</x:v>
      </x:c>
      <x:c r="J194" t="str">
        <x:v>Gearless</x:v>
      </x:c>
      <x:c r="K194" t="str">
        <x:v>OTIS</x:v>
      </x:c>
      <x:c r="L194" t="str">
        <x:v>ROT-063</x:v>
      </x:c>
      <x:c r="M194" t="str">
        <x:v>Botoeira</x:v>
      </x:c>
      <x:c r="N194" t="str">
        <x:v>Contato</x:v>
      </x:c>
      <x:c r="O194" t="str">
        <x:v>Mau contato</x:v>
      </x:c>
      <x:c r="P194" t="str">
        <x:v>Falha de comando</x:v>
      </x:c>
      <x:c r="Q194" t="str">
        <x:v>Inspeção técnica e normalização demonstrativas de Botoeira; resolução sintética, sem confirmação de consumo de peças.</x:v>
      </x:c>
      <x:c r="R194" t="str">
        <x:v>Edifício Corporate</x:v>
      </x:c>
      <x:c r="S194" t="str">
        <x:v>Não</x:v>
      </x:c>
      <x:c r="T194" t="str">
        <x:v>Sim</x:v>
      </x:c>
      <x:c r="U194" t="str">
        <x:v>CT-2026-003</x:v>
      </x:c>
      <x:c r="V194" t="str">
        <x:v>SP-Oeste</x:v>
      </x:c>
      <x:c r="W194" t="str">
        <x:v>Ana Costa</x:v>
      </x:c>
      <x:c r="X194" t="str">
        <x:v>Supervisor C</x:v>
      </x:c>
      <x:c r="Y194" t="str">
        <x:v>Rota Oeste 03</x:v>
      </x:c>
      <x:c r="Z194" t="str">
        <x:v>Av. Faria Lima, 3500 - São Paulo/SP</x:v>
      </x:c>
      <x:c r="AA194" t="str">
        <x:v>São Paulo</x:v>
      </x:c>
      <x:c r="AB194" s="50" t="n">
        <x:v>46273.3486111111</x:v>
      </x:c>
      <x:c r="AC194" s="50" t="n">
        <x:v>46273.35</x:v>
      </x:c>
      <x:c r="AD194" s="50" t="n">
        <x:v>46273.3513888889</x:v>
      </x:c>
      <x:c r="AE194" s="50" t="n">
        <x:v>46273.3618055556</x:v>
      </x:c>
      <x:c r="AF194" s="50" t="n">
        <x:v>46273.42152777778</x:v>
      </x:c>
      <x:c r="AG194" t="n">
        <x:v>19</x:v>
      </x:c>
      <x:c r="AH194" t="n">
        <x:v>81</x:v>
      </x:c>
      <x:c r="AI194" t="str">
        <x:v>Não</x:v>
      </x:c>
      <x:c r="AJ194" t="str">
        <x:v>Não</x:v>
      </x:c>
      <x:c r="AK194" t="n">
        <x:v>120</x:v>
      </x:c>
      <x:c r="AL194" t="n">
        <x:v>0</x:v>
      </x:c>
      <x:c r="AM194" s="64" t="n">
        <x:v>0.8333</x:v>
      </x:c>
      <x:c r="AN194" t="n">
        <x:v>2</x:v>
      </x:c>
      <x:c r="AO194" t="str">
        <x:v>Laranja</x:v>
      </x:c>
      <x:c r="AP194" t="str">
        <x:v>janela de intervenção: tempo acumulado ≥ 80% do SLA</x:v>
      </x:c>
      <x:c r="AQ194" t="str">
        <x:v>Encerramento demonstrativo de Botoeira; verificar fechamento e histórico para aprendizado. Sem despacho automático.</x:v>
      </x:c>
      <x:c r="AR194" s="62" t="n">
        <x:v>739</x:v>
      </x:c>
      <x:c r="AS194" t="str">
        <x:v>Baixo</x:v>
      </x:c>
      <x:c r="AT194" s="50" t="n">
        <x:v>46273.552083333336</x:v>
      </x:c>
      <x:c r="AU194" t="str">
        <x:v>T07</x:v>
      </x:c>
      <x:c r="AV194" t="str">
        <x:v>T2 original + evolução sintética posterior</x:v>
      </x:c>
    </x:row>
    <x:row r="195">
      <x:c r="A195" t="str">
        <x:v>CH-20260908-016</x:v>
      </x:c>
      <x:c r="B195" t="str">
        <x:v>Parada Intermitente</x:v>
      </x:c>
      <x:c r="C195" t="str">
        <x:v>Paradas aleatórias</x:v>
      </x:c>
      <x:c r="D195" t="str">
        <x:v>Equipamento interrompe operação de forma intermitente.</x:v>
      </x:c>
      <x:c r="E195" t="str">
        <x:v>Concluído</x:v>
      </x:c>
      <x:c r="F195" t="str">
        <x:v>Monitoramento Remoto</x:v>
      </x:c>
      <x:c r="G195" t="str">
        <x:v>E-116</x:v>
      </x:c>
      <x:c r="H195" t="str">
        <x:v>Elevador Social</x:v>
      </x:c>
      <x:c r="I195" t="str">
        <x:v>Microprocessado</x:v>
      </x:c>
      <x:c r="J195" t="str">
        <x:v>Gearless</x:v>
      </x:c>
      <x:c r="K195" t="str">
        <x:v>OTIS</x:v>
      </x:c>
      <x:c r="L195" t="str">
        <x:v>ROT-074</x:v>
      </x:c>
      <x:c r="M195" t="str">
        <x:v>Painel/Comando</x:v>
      </x:c>
      <x:c r="N195" t="str">
        <x:v>Placa</x:v>
      </x:c>
      <x:c r="O195" t="str">
        <x:v>Intermitência</x:v>
      </x:c>
      <x:c r="P195" t="str">
        <x:v>Falha intermitente</x:v>
      </x:c>
      <x:c r="Q195" t="str">
        <x:v>Inspeção técnica e normalização demonstrativas de Painel/Comando; resolução sintética, sem confirmação de consumo de peças.</x:v>
      </x:c>
      <x:c r="R195" t="str">
        <x:v>Condomínio Alameda</x:v>
      </x:c>
      <x:c r="S195" t="str">
        <x:v>Não</x:v>
      </x:c>
      <x:c r="T195" t="str">
        <x:v>Não</x:v>
      </x:c>
      <x:c r="U195" t="str">
        <x:v>CT-2026-004</x:v>
      </x:c>
      <x:c r="V195" t="str">
        <x:v>SP-Sul</x:v>
      </x:c>
      <x:c r="W195" t="str">
        <x:v>Carlos Souza</x:v>
      </x:c>
      <x:c r="X195" t="str">
        <x:v>Supervisor D</x:v>
      </x:c>
      <x:c r="Y195" t="str">
        <x:v>Rota Sul 04</x:v>
      </x:c>
      <x:c r="Z195" t="str">
        <x:v>R. das Acácias, 420 - São Paulo/SP</x:v>
      </x:c>
      <x:c r="AA195" t="str">
        <x:v>São Paulo</x:v>
      </x:c>
      <x:c r="AB195" s="50" t="n">
        <x:v>46273.3520833333</x:v>
      </x:c>
      <x:c r="AC195" s="50" t="n">
        <x:v>46273.3541666667</x:v>
      </x:c>
      <x:c r="AD195" s="50" t="n">
        <x:v>46273.3569444444</x:v>
      </x:c>
      <x:c r="AE195" s="50" t="n">
        <x:v>46273.3722222222</x:v>
      </x:c>
      <x:c r="AF195" s="50" t="n">
        <x:v>46273.46249999998</x:v>
      </x:c>
      <x:c r="AG195" t="n">
        <x:v>29</x:v>
      </x:c>
      <x:c r="AH195" t="n">
        <x:v>125</x:v>
      </x:c>
      <x:c r="AI195" t="str">
        <x:v>Não</x:v>
      </x:c>
      <x:c r="AJ195" t="str">
        <x:v>Sim</x:v>
      </x:c>
      <x:c r="AK195" t="n">
        <x:v>180</x:v>
      </x:c>
      <x:c r="AL195" t="n">
        <x:v>0</x:v>
      </x:c>
      <x:c r="AM195" s="64" t="n">
        <x:v>0.8556</x:v>
      </x:c>
      <x:c r="AN195" t="n">
        <x:v>4</x:v>
      </x:c>
      <x:c r="AO195" t="str">
        <x:v>Laranja</x:v>
      </x:c>
      <x:c r="AP195" t="str">
        <x:v>janela de intervenção: tempo acumulado ≥ 80% do SLA</x:v>
      </x:c>
      <x:c r="AQ195" t="str">
        <x:v>Encerramento demonstrativo de Painel/Comando; verificar fechamento e histórico para aprendizado. Sem despacho automático.</x:v>
      </x:c>
      <x:c r="AR195" s="62" t="n">
        <x:v>1564</x:v>
      </x:c>
      <x:c r="AS195" t="str">
        <x:v>Alto</x:v>
      </x:c>
      <x:c r="AT195" s="50" t="n">
        <x:v>46273.552083333336</x:v>
      </x:c>
      <x:c r="AU195" t="str">
        <x:v>T07</x:v>
      </x:c>
      <x:c r="AV195" t="str">
        <x:v>T2 original + evolução sintética posterior</x:v>
      </x:c>
    </x:row>
    <x:row r="196">
      <x:c r="A196" t="str">
        <x:v>CH-20260908-017</x:v>
      </x:c>
      <x:c r="B196" t="str">
        <x:v>Passageiro Preso</x:v>
      </x:c>
      <x:c r="C196" t="str">
        <x:v>Elevador parado entre andares</x:v>
      </x:c>
      <x:c r="D196" t="str">
        <x:v>Cabine imobilizada com passageiro no interior.</x:v>
      </x:c>
      <x:c r="E196" t="str">
        <x:v>Concluído</x:v>
      </x:c>
      <x:c r="F196" t="str">
        <x:v>Central de Atendimento</x:v>
      </x:c>
      <x:c r="G196" t="str">
        <x:v>E-117</x:v>
      </x:c>
      <x:c r="H196" t="str">
        <x:v>Elevador Social</x:v>
      </x:c>
      <x:c r="I196" t="str">
        <x:v>Microprocessado</x:v>
      </x:c>
      <x:c r="J196" t="str">
        <x:v>Gearless</x:v>
      </x:c>
      <x:c r="K196" t="str">
        <x:v>OTIS</x:v>
      </x:c>
      <x:c r="L196" t="str">
        <x:v>ROT-001</x:v>
      </x:c>
      <x:c r="M196" t="str">
        <x:v>Tração</x:v>
      </x:c>
      <x:c r="N196" t="str">
        <x:v>Freio</x:v>
      </x:c>
      <x:c r="O196" t="str">
        <x:v>Travamento</x:v>
      </x:c>
      <x:c r="P196" t="str">
        <x:v>Parada total</x:v>
      </x:c>
      <x:c r="Q196" t="str">
        <x:v>Resgate concluído e equipamento normalizado</x:v>
      </x:c>
      <x:c r="R196" t="str">
        <x:v>Aeroporto Terminal 3</x:v>
      </x:c>
      <x:c r="S196" t="str">
        <x:v>Sim</x:v>
      </x:c>
      <x:c r="T196" t="str">
        <x:v>Sim</x:v>
      </x:c>
      <x:c r="U196" t="str">
        <x:v>CT-2026-005</x:v>
      </x:c>
      <x:c r="V196" t="str">
        <x:v>GRU</x:v>
      </x:c>
      <x:c r="W196" t="str">
        <x:v>Renata Alves</x:v>
      </x:c>
      <x:c r="X196" t="str">
        <x:v>Supervisor A</x:v>
      </x:c>
      <x:c r="Y196" t="str">
        <x:v>Rota GRU 05</x:v>
      </x:c>
      <x:c r="Z196" t="str">
        <x:v>Rod. Hélio Smidt, s/n - Guarulhos/SP</x:v>
      </x:c>
      <x:c r="AA196" t="str">
        <x:v>São Paulo</x:v>
      </x:c>
      <x:c r="AB196" s="50" t="n">
        <x:v>46273.3555555556</x:v>
      </x:c>
      <x:c r="AC196" s="50" t="n">
        <x:v>46273.3583333333</x:v>
      </x:c>
      <x:c r="AD196" s="50" t="n">
        <x:v>46273.3625</x:v>
      </x:c>
      <x:c r="AE196" s="50" t="n">
        <x:v>46273.3763888889</x:v>
      </x:c>
      <x:c r="AF196" s="50" t="n">
        <x:v>46273.3993055556</x:v>
      </x:c>
      <x:c r="AG196" t="n">
        <x:v>30</x:v>
      </x:c>
      <x:c r="AH196" t="n">
        <x:v>28</x:v>
      </x:c>
      <x:c r="AI196" t="str">
        <x:v>Sim</x:v>
      </x:c>
      <x:c r="AJ196" t="str">
        <x:v>Sim</x:v>
      </x:c>
      <x:c r="AK196" t="n">
        <x:v>45</x:v>
      </x:c>
      <x:c r="AL196" t="n">
        <x:v>0</x:v>
      </x:c>
      <x:c r="AM196" s="64" t="n">
        <x:v>1.2889</x:v>
      </x:c>
      <x:c r="AN196" t="n">
        <x:v>0</x:v>
      </x:c>
      <x:c r="AO196" t="str">
        <x:v>Vermelho</x:v>
      </x:c>
      <x:c r="AP196" t="str">
        <x:v>passageiro preso; SLA estourado; carro parado</x:v>
      </x:c>
      <x:c r="AQ196" t="str">
        <x:v>Sem recorrência relevante; acompanhar evolução de Tração.</x:v>
      </x:c>
      <x:c r="AR196" s="62" t="n">
        <x:v>906</x:v>
      </x:c>
      <x:c r="AS196" t="str">
        <x:v>Médio</x:v>
      </x:c>
      <x:c r="AT196" s="50" t="n">
        <x:v>46273.552083333336</x:v>
      </x:c>
      <x:c r="AU196" t="str">
        <x:v>T07</x:v>
      </x:c>
      <x:c r="AV196" t="str">
        <x:v>T2 original + evolução sintética posterior</x:v>
      </x:c>
    </x:row>
    <x:row r="197">
      <x:c r="A197" t="str">
        <x:v>CH-20260908-018</x:v>
      </x:c>
      <x:c r="B197" t="str">
        <x:v>Falha de Nivelamento</x:v>
      </x:c>
      <x:c r="C197" t="str">
        <x:v>Cabine desnivelada</x:v>
      </x:c>
      <x:c r="D197" t="str">
        <x:v>Cabine parou fora do nível do pavimento.</x:v>
      </x:c>
      <x:c r="E197" t="str">
        <x:v>Concluído</x:v>
      </x:c>
      <x:c r="F197" t="str">
        <x:v>IoT</x:v>
      </x:c>
      <x:c r="G197" t="str">
        <x:v>E-118</x:v>
      </x:c>
      <x:c r="H197" t="str">
        <x:v>Elevador Social</x:v>
      </x:c>
      <x:c r="I197" t="str">
        <x:v>Microprocessado</x:v>
      </x:c>
      <x:c r="J197" t="str">
        <x:v>Gearless</x:v>
      </x:c>
      <x:c r="K197" t="str">
        <x:v>OTIS</x:v>
      </x:c>
      <x:c r="L197" t="str">
        <x:v>ROT-014</x:v>
      </x:c>
      <x:c r="M197" t="str">
        <x:v>Sensor de Nível</x:v>
      </x:c>
      <x:c r="N197" t="str">
        <x:v>Sensor</x:v>
      </x:c>
      <x:c r="O197" t="str">
        <x:v>Leitura inconsistente</x:v>
      </x:c>
      <x:c r="P197" t="str">
        <x:v>Falha de nivelamento</x:v>
      </x:c>
      <x:c r="Q197" t="str">
        <x:v>Inspeção técnica e normalização demonstrativas de Sensor de Nível; resolução sintética, sem confirmação de consumo de peças.</x:v>
      </x:c>
      <x:c r="R197" t="str">
        <x:v>Universidade Central</x:v>
      </x:c>
      <x:c r="S197" t="str">
        <x:v>Não</x:v>
      </x:c>
      <x:c r="T197" t="str">
        <x:v>Sim</x:v>
      </x:c>
      <x:c r="U197" t="str">
        <x:v>CT-2026-006</x:v>
      </x:c>
      <x:c r="V197" t="str">
        <x:v>SP-Leste</x:v>
      </x:c>
      <x:c r="W197" t="str">
        <x:v>Paulo Mendes</x:v>
      </x:c>
      <x:c r="X197" t="str">
        <x:v>Supervisor B</x:v>
      </x:c>
      <x:c r="Y197" t="str">
        <x:v>Rota Leste 06</x:v>
      </x:c>
      <x:c r="Z197" t="str">
        <x:v>Av. Central, 850 - São Paulo/SP</x:v>
      </x:c>
      <x:c r="AA197" t="str">
        <x:v>São Paulo</x:v>
      </x:c>
      <x:c r="AB197" s="50" t="n">
        <x:v>46273.3590277778</x:v>
      </x:c>
      <x:c r="AC197" s="50" t="n">
        <x:v>46273.3625</x:v>
      </x:c>
      <x:c r="AD197" s="50" t="n">
        <x:v>46273.363888888896</x:v>
      </x:c>
      <x:c r="AE197" s="50" t="n">
        <x:v>46273.3888888889</x:v>
      </x:c>
      <x:c r="AF197" s="50" t="n">
        <x:v>46273.437500000015</x:v>
      </x:c>
      <x:c r="AG197" t="n">
        <x:v>43</x:v>
      </x:c>
      <x:c r="AH197" t="n">
        <x:v>65</x:v>
      </x:c>
      <x:c r="AI197" t="str">
        <x:v>Não</x:v>
      </x:c>
      <x:c r="AJ197" t="str">
        <x:v>Não</x:v>
      </x:c>
      <x:c r="AK197" t="n">
        <x:v>120</x:v>
      </x:c>
      <x:c r="AL197" t="n">
        <x:v>0</x:v>
      </x:c>
      <x:c r="AM197" s="64" t="n">
        <x:v>0.9</x:v>
      </x:c>
      <x:c r="AN197" t="n">
        <x:v>1</x:v>
      </x:c>
      <x:c r="AO197" t="str">
        <x:v>Laranja</x:v>
      </x:c>
      <x:c r="AP197" t="str">
        <x:v>janela de intervenção: tempo acumulado ≥ 80% do SLA</x:v>
      </x:c>
      <x:c r="AQ197" t="str">
        <x:v>Encerramento demonstrativo de Sensor de Nível; verificar fechamento e histórico para aprendizado. Sem despacho automático.</x:v>
      </x:c>
      <x:c r="AR197" s="62" t="n">
        <x:v>613</x:v>
      </x:c>
      <x:c r="AS197" t="str">
        <x:v>Baixo</x:v>
      </x:c>
      <x:c r="AT197" s="50" t="n">
        <x:v>46273.552083333336</x:v>
      </x:c>
      <x:c r="AU197" t="str">
        <x:v>T07</x:v>
      </x:c>
      <x:c r="AV197" t="str">
        <x:v>T2 original + evolução sintética posterior</x:v>
      </x:c>
    </x:row>
    <x:row r="198">
      <x:c r="A198" t="str">
        <x:v>CH-20260908-019</x:v>
      </x:c>
      <x:c r="B198" t="str">
        <x:v>Porta não fecha</x:v>
      </x:c>
      <x:c r="C198" t="str">
        <x:v>Falha no fechamento</x:v>
      </x:c>
      <x:c r="D198" t="str">
        <x:v>Porta permanece aberta e impede partida.</x:v>
      </x:c>
      <x:c r="E198" t="str">
        <x:v>Concluído</x:v>
      </x:c>
      <x:c r="F198" t="str">
        <x:v>Aplicativo Cliente</x:v>
      </x:c>
      <x:c r="G198" t="str">
        <x:v>E-119</x:v>
      </x:c>
      <x:c r="H198" t="str">
        <x:v>Elevador Social</x:v>
      </x:c>
      <x:c r="I198" t="str">
        <x:v>Microprocessado</x:v>
      </x:c>
      <x:c r="J198" t="str">
        <x:v>Gearless</x:v>
      </x:c>
      <x:c r="K198" t="str">
        <x:v>OTIS</x:v>
      </x:c>
      <x:c r="L198" t="str">
        <x:v>ROT-021</x:v>
      </x:c>
      <x:c r="M198" t="str">
        <x:v>Operador de Porta</x:v>
      </x:c>
      <x:c r="N198" t="str">
        <x:v>Sensor de porta</x:v>
      </x:c>
      <x:c r="O198" t="str">
        <x:v>Falha de leitura</x:v>
      </x:c>
      <x:c r="P198" t="str">
        <x:v>Porta aberta</x:v>
      </x:c>
      <x:c r="Q198" t="str">
        <x:v>Inspeção técnica e normalização demonstrativas de Operador de Porta; resolução sintética, sem confirmação de consumo de peças.</x:v>
      </x:c>
      <x:c r="R198" t="str">
        <x:v>Hospital São Paulo</x:v>
      </x:c>
      <x:c r="S198" t="str">
        <x:v>Sim</x:v>
      </x:c>
      <x:c r="T198" t="str">
        <x:v>Sim</x:v>
      </x:c>
      <x:c r="U198" t="str">
        <x:v>CT-2026-001</x:v>
      </x:c>
      <x:c r="V198" t="str">
        <x:v>SP-Centro</x:v>
      </x:c>
      <x:c r="W198" t="str">
        <x:v>João Silva</x:v>
      </x:c>
      <x:c r="X198" t="str">
        <x:v>Supervisor C</x:v>
      </x:c>
      <x:c r="Y198" t="str">
        <x:v>Rota Centro 01</x:v>
      </x:c>
      <x:c r="Z198" t="str">
        <x:v>Av. Paulista, 1000 - São Paulo/SP</x:v>
      </x:c>
      <x:c r="AA198" t="str">
        <x:v>São Paulo</x:v>
      </x:c>
      <x:c r="AB198" s="50" t="n">
        <x:v>46273.3625</x:v>
      </x:c>
      <x:c r="AC198" s="50" t="n">
        <x:v>46273.3666666667</x:v>
      </x:c>
      <x:c r="AD198" s="50" t="n">
        <x:v>46273.3694444444</x:v>
      </x:c>
      <x:c r="AE198" s="50" t="n">
        <x:v>46273.399305555555</x:v>
      </x:c>
      <x:c r="AF198" s="50" t="n">
        <x:v>46273.48263888889</x:v>
      </x:c>
      <x:c r="AG198" t="n">
        <x:v>53</x:v>
      </x:c>
      <x:c r="AH198" t="n">
        <x:v>115</x:v>
      </x:c>
      <x:c r="AI198" t="str">
        <x:v>Não</x:v>
      </x:c>
      <x:c r="AJ198" t="str">
        <x:v>Não</x:v>
      </x:c>
      <x:c r="AK198" t="n">
        <x:v>60</x:v>
      </x:c>
      <x:c r="AL198" t="n">
        <x:v>0</x:v>
      </x:c>
      <x:c r="AM198" s="64" t="n">
        <x:v>2.8</x:v>
      </x:c>
      <x:c r="AN198" t="n">
        <x:v>2</x:v>
      </x:c>
      <x:c r="AO198" t="str">
        <x:v>Vermelho</x:v>
      </x:c>
      <x:c r="AP198" t="str">
        <x:v>SLA sintético excedido (tempo acumulado ≥ 100% do SLA)</x:v>
      </x:c>
      <x:c r="AQ198" t="str">
        <x:v>Encerramento demonstrativo de Operador de Porta; verificar fechamento e histórico para aprendizado. Sem despacho automático.</x:v>
      </x:c>
      <x:c r="AR198" s="62" t="n">
        <x:v>718</x:v>
      </x:c>
      <x:c r="AS198" t="str">
        <x:v>Baixo</x:v>
      </x:c>
      <x:c r="AT198" s="50" t="n">
        <x:v>46273.552083333336</x:v>
      </x:c>
      <x:c r="AU198" t="str">
        <x:v>T07</x:v>
      </x:c>
      <x:c r="AV198" t="str">
        <x:v>T2 original + evolução sintética posterior</x:v>
      </x:c>
    </x:row>
    <x:row r="199">
      <x:c r="A199" t="str">
        <x:v>CH-20260908-020</x:v>
      </x:c>
      <x:c r="B199" t="str">
        <x:v>Painel sem comunicação</x:v>
      </x:c>
      <x:c r="C199" t="str">
        <x:v>Falha de comunicação</x:v>
      </x:c>
      <x:c r="D199" t="str">
        <x:v>Painel não responde aos comandos.</x:v>
      </x:c>
      <x:c r="E199" t="str">
        <x:v>Concluído</x:v>
      </x:c>
      <x:c r="F199" t="str">
        <x:v>Monitoramento Remoto</x:v>
      </x:c>
      <x:c r="G199" t="str">
        <x:v>E-120</x:v>
      </x:c>
      <x:c r="H199" t="str">
        <x:v>Elevador Social</x:v>
      </x:c>
      <x:c r="I199" t="str">
        <x:v>Microprocessado</x:v>
      </x:c>
      <x:c r="J199" t="str">
        <x:v>Gearless</x:v>
      </x:c>
      <x:c r="K199" t="str">
        <x:v>OTIS</x:v>
      </x:c>
      <x:c r="L199" t="str">
        <x:v>ROT-033</x:v>
      </x:c>
      <x:c r="M199" t="str">
        <x:v>Painel/Comando</x:v>
      </x:c>
      <x:c r="N199" t="str">
        <x:v>Interface</x:v>
      </x:c>
      <x:c r="O199" t="str">
        <x:v>Sem comunicação</x:v>
      </x:c>
      <x:c r="P199" t="str">
        <x:v>Falha lógica</x:v>
      </x:c>
      <x:c r="Q199" t="str">
        <x:v>Inspeção técnica e normalização demonstrativas de Painel/Comando; resolução sintética, sem confirmação de consumo de peças.</x:v>
      </x:c>
      <x:c r="R199" t="str">
        <x:v>Shopping Center Norte</x:v>
      </x:c>
      <x:c r="S199" t="str">
        <x:v>Não</x:v>
      </x:c>
      <x:c r="T199" t="str">
        <x:v>Sim</x:v>
      </x:c>
      <x:c r="U199" t="str">
        <x:v>CT-2026-002</x:v>
      </x:c>
      <x:c r="V199" t="str">
        <x:v>SP-Norte</x:v>
      </x:c>
      <x:c r="W199" t="str">
        <x:v>Marcos Lima</x:v>
      </x:c>
      <x:c r="X199" t="str">
        <x:v>Supervisor D</x:v>
      </x:c>
      <x:c r="Y199" t="str">
        <x:v>Rota Norte 02</x:v>
      </x:c>
      <x:c r="Z199" t="str">
        <x:v>Av. Otto Baumgart, 245 - São Paulo/SP</x:v>
      </x:c>
      <x:c r="AA199" t="str">
        <x:v>São Paulo</x:v>
      </x:c>
      <x:c r="AB199" s="50" t="n">
        <x:v>46273.3659722222</x:v>
      </x:c>
      <x:c r="AC199" s="50" t="n">
        <x:v>46273.3673611111</x:v>
      </x:c>
      <x:c r="AD199" s="50" t="n">
        <x:v>46273.3715277778</x:v>
      </x:c>
      <x:c r="AE199" s="50" t="n">
        <x:v>46273.3826388889</x:v>
      </x:c>
      <x:c r="AF199" s="50" t="n">
        <x:v>46273.4763888889</x:v>
      </x:c>
      <x:c r="AG199" t="n">
        <x:v>24</x:v>
      </x:c>
      <x:c r="AH199" t="n">
        <x:v>130</x:v>
      </x:c>
      <x:c r="AI199" t="str">
        <x:v>Não</x:v>
      </x:c>
      <x:c r="AJ199" t="str">
        <x:v>Não</x:v>
      </x:c>
      <x:c r="AK199" t="n">
        <x:v>90</x:v>
      </x:c>
      <x:c r="AL199" t="n">
        <x:v>0</x:v>
      </x:c>
      <x:c r="AM199" s="64" t="n">
        <x:v>1.7111</x:v>
      </x:c>
      <x:c r="AN199" t="n">
        <x:v>3</x:v>
      </x:c>
      <x:c r="AO199" t="str">
        <x:v>Vermelho</x:v>
      </x:c>
      <x:c r="AP199" t="str">
        <x:v>SLA sintético excedido (tempo acumulado ≥ 100% do SLA)</x:v>
      </x:c>
      <x:c r="AQ199" t="str">
        <x:v>Encerramento demonstrativo de Painel/Comando; verificar fechamento e histórico para aprendizado. Sem despacho automático.</x:v>
      </x:c>
      <x:c r="AR199" s="62" t="n">
        <x:v>1407</x:v>
      </x:c>
      <x:c r="AS199" t="str">
        <x:v>Alto</x:v>
      </x:c>
      <x:c r="AT199" s="50" t="n">
        <x:v>46273.552083333336</x:v>
      </x:c>
      <x:c r="AU199" t="str">
        <x:v>T07</x:v>
      </x:c>
      <x:c r="AV199" t="str">
        <x:v>T2 original + evolução sintética posterior</x:v>
      </x:c>
    </x:row>
    <x:row r="200">
      <x:c r="A200" t="str">
        <x:v>CH-20260908-021</x:v>
      </x:c>
      <x:c r="B200" t="str">
        <x:v>Falha de Tração</x:v>
      </x:c>
      <x:c r="C200" t="str">
        <x:v>Movimento irregular</x:v>
      </x:c>
      <x:c r="D200" t="str">
        <x:v>Equipamento apresenta perda de tração.</x:v>
      </x:c>
      <x:c r="E200" t="str">
        <x:v>Concluído</x:v>
      </x:c>
      <x:c r="F200" t="str">
        <x:v>Central de Atendimento</x:v>
      </x:c>
      <x:c r="G200" t="str">
        <x:v>E-121</x:v>
      </x:c>
      <x:c r="H200" t="str">
        <x:v>Elevador Social</x:v>
      </x:c>
      <x:c r="I200" t="str">
        <x:v>Microprocessado</x:v>
      </x:c>
      <x:c r="J200" t="str">
        <x:v>Gearless</x:v>
      </x:c>
      <x:c r="K200" t="str">
        <x:v>OTIS</x:v>
      </x:c>
      <x:c r="L200" t="str">
        <x:v>ROT-041</x:v>
      </x:c>
      <x:c r="M200" t="str">
        <x:v>Máquina de Tração</x:v>
      </x:c>
      <x:c r="N200" t="str">
        <x:v>Inversor</x:v>
      </x:c>
      <x:c r="O200" t="str">
        <x:v>Oscilação</x:v>
      </x:c>
      <x:c r="P200" t="str">
        <x:v>Falha de movimento</x:v>
      </x:c>
      <x:c r="Q200" t="str">
        <x:v>Inspeção técnica e normalização demonstrativas de Máquina de Tração; resolução sintética, sem confirmação de consumo de peças.</x:v>
      </x:c>
      <x:c r="R200" t="str">
        <x:v>Edifício Corporate</x:v>
      </x:c>
      <x:c r="S200" t="str">
        <x:v>Não</x:v>
      </x:c>
      <x:c r="T200" t="str">
        <x:v>Sim</x:v>
      </x:c>
      <x:c r="U200" t="str">
        <x:v>CT-2026-003</x:v>
      </x:c>
      <x:c r="V200" t="str">
        <x:v>SP-Oeste</x:v>
      </x:c>
      <x:c r="W200" t="str">
        <x:v>Ana Costa</x:v>
      </x:c>
      <x:c r="X200" t="str">
        <x:v>Supervisor A</x:v>
      </x:c>
      <x:c r="Y200" t="str">
        <x:v>Rota Oeste 03</x:v>
      </x:c>
      <x:c r="Z200" t="str">
        <x:v>Av. Faria Lima, 3500 - São Paulo/SP</x:v>
      </x:c>
      <x:c r="AA200" t="str">
        <x:v>São Paulo</x:v>
      </x:c>
      <x:c r="AB200" s="50" t="n">
        <x:v>46273.3694444444</x:v>
      </x:c>
      <x:c r="AC200" s="50" t="n">
        <x:v>46273.3715277778</x:v>
      </x:c>
      <x:c r="AD200" s="50" t="n">
        <x:v>46273.372916666696</x:v>
      </x:c>
      <x:c r="AE200" s="50" t="n">
        <x:v>46273.3888888889</x:v>
      </x:c>
      <x:c r="AF200" s="50" t="n">
        <x:v>46273.44791666668</x:v>
      </x:c>
      <x:c r="AG200" t="n">
        <x:v>28</x:v>
      </x:c>
      <x:c r="AH200" t="n">
        <x:v>80</x:v>
      </x:c>
      <x:c r="AI200" t="str">
        <x:v>Não</x:v>
      </x:c>
      <x:c r="AJ200" t="str">
        <x:v>Sim</x:v>
      </x:c>
      <x:c r="AK200" t="n">
        <x:v>120</x:v>
      </x:c>
      <x:c r="AL200" t="n">
        <x:v>0</x:v>
      </x:c>
      <x:c r="AM200" s="64" t="n">
        <x:v>0.9</x:v>
      </x:c>
      <x:c r="AN200" t="n">
        <x:v>1</x:v>
      </x:c>
      <x:c r="AO200" t="str">
        <x:v>Laranja</x:v>
      </x:c>
      <x:c r="AP200" t="str">
        <x:v>janela de intervenção: tempo acumulado ≥ 80% do SLA</x:v>
      </x:c>
      <x:c r="AQ200" t="str">
        <x:v>Encerramento demonstrativo de Máquina de Tração; verificar fechamento e histórico para aprendizado. Sem despacho automático.</x:v>
      </x:c>
      <x:c r="AR200" s="62" t="n">
        <x:v>1212</x:v>
      </x:c>
      <x:c r="AS200" t="str">
        <x:v>Alto</x:v>
      </x:c>
      <x:c r="AT200" s="50" t="n">
        <x:v>46273.552083333336</x:v>
      </x:c>
      <x:c r="AU200" t="str">
        <x:v>T07</x:v>
      </x:c>
      <x:c r="AV200" t="str">
        <x:v>T2 original + evolução sintética posterior</x:v>
      </x:c>
    </x:row>
    <x:row r="201">
      <x:c r="A201" t="str">
        <x:v>CH-20260908-022</x:v>
      </x:c>
      <x:c r="B201" t="str">
        <x:v>Iluminação de Cabine</x:v>
      </x:c>
      <x:c r="C201" t="str">
        <x:v>Iluminação inoperante</x:v>
      </x:c>
      <x:c r="D201" t="str">
        <x:v>Cabine com iluminação parcial ou total indisponível.</x:v>
      </x:c>
      <x:c r="E201" t="str">
        <x:v>Concluído</x:v>
      </x:c>
      <x:c r="F201" t="str">
        <x:v>IoT</x:v>
      </x:c>
      <x:c r="G201" t="str">
        <x:v>E-122</x:v>
      </x:c>
      <x:c r="H201" t="str">
        <x:v>Elevador Social</x:v>
      </x:c>
      <x:c r="I201" t="str">
        <x:v>Microprocessado</x:v>
      </x:c>
      <x:c r="J201" t="str">
        <x:v>Gearless</x:v>
      </x:c>
      <x:c r="K201" t="str">
        <x:v>OTIS</x:v>
      </x:c>
      <x:c r="L201" t="str">
        <x:v>ROT-052</x:v>
      </x:c>
      <x:c r="M201" t="str">
        <x:v>Elétrica</x:v>
      </x:c>
      <x:c r="N201" t="str">
        <x:v>Fonte</x:v>
      </x:c>
      <x:c r="O201" t="str">
        <x:v>Sem alimentação</x:v>
      </x:c>
      <x:c r="P201" t="str">
        <x:v>Falha elétrica</x:v>
      </x:c>
      <x:c r="Q201" t="str">
        <x:v>Inspeção técnica e normalização demonstrativas de Elétrica; resolução sintética, sem confirmação de consumo de peças.</x:v>
      </x:c>
      <x:c r="R201" t="str">
        <x:v>Condomínio Alameda</x:v>
      </x:c>
      <x:c r="S201" t="str">
        <x:v>Não</x:v>
      </x:c>
      <x:c r="T201" t="str">
        <x:v>Não</x:v>
      </x:c>
      <x:c r="U201" t="str">
        <x:v>CT-2026-004</x:v>
      </x:c>
      <x:c r="V201" t="str">
        <x:v>SP-Sul</x:v>
      </x:c>
      <x:c r="W201" t="str">
        <x:v>Carlos Souza</x:v>
      </x:c>
      <x:c r="X201" t="str">
        <x:v>Supervisor B</x:v>
      </x:c>
      <x:c r="Y201" t="str">
        <x:v>Rota Sul 04</x:v>
      </x:c>
      <x:c r="Z201" t="str">
        <x:v>R. das Acácias, 420 - São Paulo/SP</x:v>
      </x:c>
      <x:c r="AA201" t="str">
        <x:v>São Paulo</x:v>
      </x:c>
      <x:c r="AB201" s="50" t="n">
        <x:v>46273.372916666696</x:v>
      </x:c>
      <x:c r="AC201" s="50" t="n">
        <x:v>46273.3756944445</x:v>
      </x:c>
      <x:c r="AD201" s="50" t="n">
        <x:v>46273.3784722222</x:v>
      </x:c>
      <x:c r="AE201" s="50" t="n">
        <x:v>46273.39930555559</x:v>
      </x:c>
      <x:c r="AF201" s="50" t="n">
        <x:v>46273.486111111146</x:v>
      </x:c>
      <x:c r="AG201" t="n">
        <x:v>38</x:v>
      </x:c>
      <x:c r="AH201" t="n">
        <x:v>120</x:v>
      </x:c>
      <x:c r="AI201" t="str">
        <x:v>Não</x:v>
      </x:c>
      <x:c r="AJ201" t="str">
        <x:v>Não</x:v>
      </x:c>
      <x:c r="AK201" t="n">
        <x:v>180</x:v>
      </x:c>
      <x:c r="AL201" t="n">
        <x:v>0</x:v>
      </x:c>
      <x:c r="AM201" s="64" t="n">
        <x:v>0.8778</x:v>
      </x:c>
      <x:c r="AN201" t="n">
        <x:v>0</x:v>
      </x:c>
      <x:c r="AO201" t="str">
        <x:v>Laranja</x:v>
      </x:c>
      <x:c r="AP201" t="str">
        <x:v>janela de intervenção: tempo acumulado ≥ 80% do SLA</x:v>
      </x:c>
      <x:c r="AQ201" t="str">
        <x:v>Encerramento demonstrativo de Elétrica; verificar fechamento e histórico para aprendizado. Sem despacho automático.</x:v>
      </x:c>
      <x:c r="AR201" s="62" t="n">
        <x:v>897</x:v>
      </x:c>
      <x:c r="AS201" t="str">
        <x:v>Médio</x:v>
      </x:c>
      <x:c r="AT201" s="50" t="n">
        <x:v>46273.552083333336</x:v>
      </x:c>
      <x:c r="AU201" t="str">
        <x:v>T07</x:v>
      </x:c>
      <x:c r="AV201" t="str">
        <x:v>T2 original + evolução sintética posterior</x:v>
      </x:c>
    </x:row>
    <x:row r="202">
      <x:c r="A202" t="str">
        <x:v>CH-20260908-023</x:v>
      </x:c>
      <x:c r="B202" t="str">
        <x:v>Botão de Chamada</x:v>
      </x:c>
      <x:c r="C202" t="str">
        <x:v>Botão não responde</x:v>
      </x:c>
      <x:c r="D202" t="str">
        <x:v>Botão de chamada não registra comando.</x:v>
      </x:c>
      <x:c r="E202" t="str">
        <x:v>Concluído</x:v>
      </x:c>
      <x:c r="F202" t="str">
        <x:v>Aplicativo Cliente</x:v>
      </x:c>
      <x:c r="G202" t="str">
        <x:v>E-123</x:v>
      </x:c>
      <x:c r="H202" t="str">
        <x:v>Elevador Social</x:v>
      </x:c>
      <x:c r="I202" t="str">
        <x:v>Microprocessado</x:v>
      </x:c>
      <x:c r="J202" t="str">
        <x:v>Gearless</x:v>
      </x:c>
      <x:c r="K202" t="str">
        <x:v>OTIS</x:v>
      </x:c>
      <x:c r="L202" t="str">
        <x:v>ROT-063</x:v>
      </x:c>
      <x:c r="M202" t="str">
        <x:v>Botoeira</x:v>
      </x:c>
      <x:c r="N202" t="str">
        <x:v>Contato</x:v>
      </x:c>
      <x:c r="O202" t="str">
        <x:v>Mau contato</x:v>
      </x:c>
      <x:c r="P202" t="str">
        <x:v>Falha de comando</x:v>
      </x:c>
      <x:c r="Q202" t="str">
        <x:v>Inspeção técnica e normalização demonstrativas de Botoeira; resolução sintética, sem confirmação de consumo de peças.</x:v>
      </x:c>
      <x:c r="R202" t="str">
        <x:v>Aeroporto Terminal 3</x:v>
      </x:c>
      <x:c r="S202" t="str">
        <x:v>Sim</x:v>
      </x:c>
      <x:c r="T202" t="str">
        <x:v>Sim</x:v>
      </x:c>
      <x:c r="U202" t="str">
        <x:v>CT-2026-005</x:v>
      </x:c>
      <x:c r="V202" t="str">
        <x:v>GRU</x:v>
      </x:c>
      <x:c r="W202" t="str">
        <x:v>Renata Alves</x:v>
      </x:c>
      <x:c r="X202" t="str">
        <x:v>Supervisor C</x:v>
      </x:c>
      <x:c r="Y202" t="str">
        <x:v>Rota GRU 05</x:v>
      </x:c>
      <x:c r="Z202" t="str">
        <x:v>Rod. Hélio Smidt, s/n - Guarulhos/SP</x:v>
      </x:c>
      <x:c r="AA202" t="str">
        <x:v>São Paulo</x:v>
      </x:c>
      <x:c r="AB202" s="50" t="n">
        <x:v>46273.3784722222</x:v>
      </x:c>
      <x:c r="AC202" s="50" t="n">
        <x:v>46273.3819444444</x:v>
      </x:c>
      <x:c r="AD202" s="50" t="n">
        <x:v>46273.386111111104</x:v>
      </x:c>
      <x:c r="AE202" s="50" t="n">
        <x:v>46273.41249999998</x:v>
      </x:c>
      <x:c r="AF202" s="50" t="n">
        <x:v>46273.48541666664</x:v>
      </x:c>
      <x:c r="AG202" t="n">
        <x:v>49</x:v>
      </x:c>
      <x:c r="AH202" t="n">
        <x:v>100</x:v>
      </x:c>
      <x:c r="AI202" t="str">
        <x:v>Não</x:v>
      </x:c>
      <x:c r="AJ202" t="str">
        <x:v>Não</x:v>
      </x:c>
      <x:c r="AK202" t="n">
        <x:v>45</x:v>
      </x:c>
      <x:c r="AL202" t="n">
        <x:v>0</x:v>
      </x:c>
      <x:c r="AM202" s="64" t="n">
        <x:v>3.3111</x:v>
      </x:c>
      <x:c r="AN202" t="n">
        <x:v>2</x:v>
      </x:c>
      <x:c r="AO202" t="str">
        <x:v>Vermelho</x:v>
      </x:c>
      <x:c r="AP202" t="str">
        <x:v>SLA sintético excedido (tempo acumulado ≥ 100% do SLA)</x:v>
      </x:c>
      <x:c r="AQ202" t="str">
        <x:v>Encerramento demonstrativo de Botoeira; verificar fechamento e histórico para aprendizado. Sem despacho automático.</x:v>
      </x:c>
      <x:c r="AR202" s="62" t="n">
        <x:v>545</x:v>
      </x:c>
      <x:c r="AS202" t="str">
        <x:v>Baixo</x:v>
      </x:c>
      <x:c r="AT202" s="50" t="n">
        <x:v>46273.552083333336</x:v>
      </x:c>
      <x:c r="AU202" t="str">
        <x:v>T07</x:v>
      </x:c>
      <x:c r="AV202" t="str">
        <x:v>T2 original + evolução sintética posterior</x:v>
      </x:c>
    </x:row>
    <x:row r="203">
      <x:c r="A203" t="str">
        <x:v>CH-20260908-024</x:v>
      </x:c>
      <x:c r="B203" t="str">
        <x:v>Parada Intermitente</x:v>
      </x:c>
      <x:c r="C203" t="str">
        <x:v>Paradas aleatórias</x:v>
      </x:c>
      <x:c r="D203" t="str">
        <x:v>Equipamento interrompe operação de forma intermitente.</x:v>
      </x:c>
      <x:c r="E203" t="str">
        <x:v>Concluído</x:v>
      </x:c>
      <x:c r="F203" t="str">
        <x:v>Monitoramento Remoto</x:v>
      </x:c>
      <x:c r="G203" t="str">
        <x:v>E-124</x:v>
      </x:c>
      <x:c r="H203" t="str">
        <x:v>Elevador Social</x:v>
      </x:c>
      <x:c r="I203" t="str">
        <x:v>Microprocessado</x:v>
      </x:c>
      <x:c r="J203" t="str">
        <x:v>Gearless</x:v>
      </x:c>
      <x:c r="K203" t="str">
        <x:v>OTIS</x:v>
      </x:c>
      <x:c r="L203" t="str">
        <x:v>ROT-074</x:v>
      </x:c>
      <x:c r="M203" t="str">
        <x:v>Painel/Comando</x:v>
      </x:c>
      <x:c r="N203" t="str">
        <x:v>Placa</x:v>
      </x:c>
      <x:c r="O203" t="str">
        <x:v>Intermitência</x:v>
      </x:c>
      <x:c r="P203" t="str">
        <x:v>Falha intermitente</x:v>
      </x:c>
      <x:c r="Q203" t="str">
        <x:v>Inspeção técnica e normalização demonstrativas de Painel/Comando; resolução sintética, sem confirmação de consumo de peças.</x:v>
      </x:c>
      <x:c r="R203" t="str">
        <x:v>Universidade Central</x:v>
      </x:c>
      <x:c r="S203" t="str">
        <x:v>Não</x:v>
      </x:c>
      <x:c r="T203" t="str">
        <x:v>Sim</x:v>
      </x:c>
      <x:c r="U203" t="str">
        <x:v>CT-2026-006</x:v>
      </x:c>
      <x:c r="V203" t="str">
        <x:v>SP-Leste</x:v>
      </x:c>
      <x:c r="W203" t="str">
        <x:v>Paulo Mendes</x:v>
      </x:c>
      <x:c r="X203" t="str">
        <x:v>Supervisor D</x:v>
      </x:c>
      <x:c r="Y203" t="str">
        <x:v>Rota Leste 06</x:v>
      </x:c>
      <x:c r="Z203" t="str">
        <x:v>Av. Central, 850 - São Paulo/SP</x:v>
      </x:c>
      <x:c r="AA203" t="str">
        <x:v>São Paulo</x:v>
      </x:c>
      <x:c r="AB203" s="50" t="n">
        <x:v>46273.3854166667</x:v>
      </x:c>
      <x:c r="AC203" s="50" t="n">
        <x:v>46273.3895833333</x:v>
      </x:c>
      <x:c r="AD203" s="50" t="n">
        <x:v>46273.3909722222</x:v>
      </x:c>
      <x:c r="AE203" s="50" t="n">
        <x:v>46273.423611111146</x:v>
      </x:c>
      <x:c r="AF203" s="50" t="n">
        <x:v>46273.538194444474</x:v>
      </x:c>
      <x:c r="AG203" t="n">
        <x:v>55</x:v>
      </x:c>
      <x:c r="AH203" t="n">
        <x:v>160</x:v>
      </x:c>
      <x:c r="AI203" t="str">
        <x:v>Não</x:v>
      </x:c>
      <x:c r="AJ203" t="str">
        <x:v>Sim</x:v>
      </x:c>
      <x:c r="AK203" t="n">
        <x:v>120</x:v>
      </x:c>
      <x:c r="AL203" t="n">
        <x:v>0</x:v>
      </x:c>
      <x:c r="AM203" s="64" t="n">
        <x:v>1.7917</x:v>
      </x:c>
      <x:c r="AN203" t="n">
        <x:v>4</x:v>
      </x:c>
      <x:c r="AO203" t="str">
        <x:v>Vermelho</x:v>
      </x:c>
      <x:c r="AP203" t="str">
        <x:v>SLA sintético excedido (tempo acumulado ≥ 100% do SLA)</x:v>
      </x:c>
      <x:c r="AQ203" t="str">
        <x:v>Encerramento demonstrativo de Painel/Comando; verificar fechamento e histórico para aprendizado. Sem despacho automático.</x:v>
      </x:c>
      <x:c r="AR203" s="62" t="n">
        <x:v>1386</x:v>
      </x:c>
      <x:c r="AS203" t="str">
        <x:v>Alto</x:v>
      </x:c>
      <x:c r="AT203" s="50" t="n">
        <x:v>46273.552083333336</x:v>
      </x:c>
      <x:c r="AU203" t="str">
        <x:v>T07</x:v>
      </x:c>
      <x:c r="AV203" t="str">
        <x:v>T2 original + evolução sintética posterior</x:v>
      </x:c>
    </x:row>
    <x:row r="204">
      <x:c r="A204" t="str">
        <x:v>CH-20260908-025</x:v>
      </x:c>
      <x:c r="B204" t="str">
        <x:v>Falha de Tração</x:v>
      </x:c>
      <x:c r="C204" t="str">
        <x:v>Movimento irregular</x:v>
      </x:c>
      <x:c r="D204" t="str">
        <x:v>Equipamento apresenta perda de tração.</x:v>
      </x:c>
      <x:c r="E204" t="str">
        <x:v>Concluído</x:v>
      </x:c>
      <x:c r="F204" t="str">
        <x:v>Central de Atendimento</x:v>
      </x:c>
      <x:c r="G204" t="str">
        <x:v>E-125</x:v>
      </x:c>
      <x:c r="H204" t="str">
        <x:v>Elevador Social</x:v>
      </x:c>
      <x:c r="I204" t="str">
        <x:v>Microprocessado</x:v>
      </x:c>
      <x:c r="J204" t="str">
        <x:v>Gearless</x:v>
      </x:c>
      <x:c r="K204" t="str">
        <x:v>OTIS</x:v>
      </x:c>
      <x:c r="L204" t="str">
        <x:v>ROT-041</x:v>
      </x:c>
      <x:c r="M204" t="str">
        <x:v>Máquina de Tração</x:v>
      </x:c>
      <x:c r="N204" t="str">
        <x:v>Inversor</x:v>
      </x:c>
      <x:c r="O204" t="str">
        <x:v>Oscilação</x:v>
      </x:c>
      <x:c r="P204" t="str">
        <x:v>Falha de movimento</x:v>
      </x:c>
      <x:c r="Q204" t="str">
        <x:v>Diagnóstico e teste funcional simulados em Máquina de Tração; encerramento demonstrativo, sem movimentação de estoque comprovada.</x:v>
      </x:c>
      <x:c r="R204" t="str">
        <x:v>Aeroporto Terminal 3</x:v>
      </x:c>
      <x:c r="S204" t="str">
        <x:v>Sim</x:v>
      </x:c>
      <x:c r="T204" t="str">
        <x:v>Sim</x:v>
      </x:c>
      <x:c r="U204" t="str">
        <x:v>CT-2026-005</x:v>
      </x:c>
      <x:c r="V204" t="str">
        <x:v>GRU</x:v>
      </x:c>
      <x:c r="W204" t="str">
        <x:v>Renata Alves</x:v>
      </x:c>
      <x:c r="X204" t="str">
        <x:v>Supervisor A</x:v>
      </x:c>
      <x:c r="Y204" t="str">
        <x:v>Rota GRU 05</x:v>
      </x:c>
      <x:c r="Z204" t="str">
        <x:v>Rod. Hélio Smidt, s/n - Guarulhos/SP</x:v>
      </x:c>
      <x:c r="AA204" t="str">
        <x:v>São Paulo</x:v>
      </x:c>
      <x:c r="AB204" s="50" t="n">
        <x:v>46273.4</x:v>
      </x:c>
      <x:c r="AC204" s="50" t="n">
        <x:v>46273.402083333334</x:v>
      </x:c>
      <x:c r="AD204" s="50" t="n">
        <x:v>46273.40555555555</x:v>
      </x:c>
      <x:c r="AE204" s="50" t="n">
        <x:v>46273.427083333336</x:v>
      </x:c>
      <x:c r="AF204" s="50" t="n">
        <x:v>46273.461805555555</x:v>
      </x:c>
      <x:c r="AG204" t="n">
        <x:v>39</x:v>
      </x:c>
      <x:c r="AH204" t="n">
        <x:v>45</x:v>
      </x:c>
      <x:c r="AI204" t="str">
        <x:v>Não</x:v>
      </x:c>
      <x:c r="AJ204" t="str">
        <x:v>Sim</x:v>
      </x:c>
      <x:c r="AK204" t="n">
        <x:v>45</x:v>
      </x:c>
      <x:c r="AL204" t="n">
        <x:v>0</x:v>
      </x:c>
      <x:c r="AM204" s="64" t="n">
        <x:v>1.8667</x:v>
      </x:c>
      <x:c r="AN204" t="n">
        <x:v>1</x:v>
      </x:c>
      <x:c r="AO204" t="str">
        <x:v>Vermelho</x:v>
      </x:c>
      <x:c r="AP204" t="str">
        <x:v>SLA sintético excedido (tempo acumulado ≥ 100% do SLA)</x:v>
      </x:c>
      <x:c r="AQ204" t="str">
        <x:v>Encerramento demonstrativo de Máquina de Tração; verificar fechamento e histórico para aprendizado. Sem despacho automático.</x:v>
      </x:c>
      <x:c r="AR204" s="62" t="n">
        <x:v>1297.5</x:v>
      </x:c>
      <x:c r="AS204" t="str">
        <x:v>Alto</x:v>
      </x:c>
      <x:c r="AT204" s="50" t="n">
        <x:v>46273.552083333336</x:v>
      </x:c>
      <x:c r="AU204" t="str">
        <x:v>T07</x:v>
      </x:c>
      <x:c r="AV204" t="str">
        <x:v>Ocorrência adicional sintética; perfil inspirado em CH-20260908-005</x:v>
      </x:c>
    </x:row>
    <x:row r="205">
      <x:c r="A205" t="str">
        <x:v>CH-20260908-026</x:v>
      </x:c>
      <x:c r="B205" t="str">
        <x:v>Painel sem comunicação</x:v>
      </x:c>
      <x:c r="C205" t="str">
        <x:v>Falha de comunicação</x:v>
      </x:c>
      <x:c r="D205" t="str">
        <x:v>Painel não responde aos comandos.</x:v>
      </x:c>
      <x:c r="E205" t="str">
        <x:v>Concluído</x:v>
      </x:c>
      <x:c r="F205" t="str">
        <x:v>Monitoramento Remoto</x:v>
      </x:c>
      <x:c r="G205" t="str">
        <x:v>E-126</x:v>
      </x:c>
      <x:c r="H205" t="str">
        <x:v>Elevador Social</x:v>
      </x:c>
      <x:c r="I205" t="str">
        <x:v>Microprocessado</x:v>
      </x:c>
      <x:c r="J205" t="str">
        <x:v>Gearless</x:v>
      </x:c>
      <x:c r="K205" t="str">
        <x:v>OTIS</x:v>
      </x:c>
      <x:c r="L205" t="str">
        <x:v>ROT-033</x:v>
      </x:c>
      <x:c r="M205" t="str">
        <x:v>Painel/Comando</x:v>
      </x:c>
      <x:c r="N205" t="str">
        <x:v>Interface</x:v>
      </x:c>
      <x:c r="O205" t="str">
        <x:v>Sem comunicação</x:v>
      </x:c>
      <x:c r="P205" t="str">
        <x:v>Falha lógica</x:v>
      </x:c>
      <x:c r="Q205" t="str">
        <x:v>Diagnóstico e teste funcional simulados em Painel/Comando; encerramento demonstrativo, sem movimentação de estoque comprovada.</x:v>
      </x:c>
      <x:c r="R205" t="str">
        <x:v>Universidade Central</x:v>
      </x:c>
      <x:c r="S205" t="str">
        <x:v>Não</x:v>
      </x:c>
      <x:c r="T205" t="str">
        <x:v>Sim</x:v>
      </x:c>
      <x:c r="U205" t="str">
        <x:v>CT-2026-006</x:v>
      </x:c>
      <x:c r="V205" t="str">
        <x:v>SP-Leste</x:v>
      </x:c>
      <x:c r="W205" t="str">
        <x:v>Paulo Mendes</x:v>
      </x:c>
      <x:c r="X205" t="str">
        <x:v>Supervisor D</x:v>
      </x:c>
      <x:c r="Y205" t="str">
        <x:v>Rota Leste 06</x:v>
      </x:c>
      <x:c r="Z205" t="str">
        <x:v>Av. Central, 850 - São Paulo/SP</x:v>
      </x:c>
      <x:c r="AA205" t="str">
        <x:v>São Paulo</x:v>
      </x:c>
      <x:c r="AB205" s="50" t="n">
        <x:v>46273.40972222222</x:v>
      </x:c>
      <x:c r="AC205" s="50" t="n">
        <x:v>46273.4125</x:v>
      </x:c>
      <x:c r="AD205" s="50" t="n">
        <x:v>46273.416666666664</x:v>
      </x:c>
      <x:c r="AE205" s="50" t="n">
        <x:v>46273.44583333333</x:v>
      </x:c>
      <x:c r="AF205" s="50" t="n">
        <x:v>46273.49236111111</x:v>
      </x:c>
      <x:c r="AG205" t="n">
        <x:v>52</x:v>
      </x:c>
      <x:c r="AH205" t="n">
        <x:v>62</x:v>
      </x:c>
      <x:c r="AI205" t="str">
        <x:v>Não</x:v>
      </x:c>
      <x:c r="AJ205" t="str">
        <x:v>Não</x:v>
      </x:c>
      <x:c r="AK205" t="n">
        <x:v>120</x:v>
      </x:c>
      <x:c r="AL205" t="n">
        <x:v>0</x:v>
      </x:c>
      <x:c r="AM205" s="64" t="n">
        <x:v>0.95</x:v>
      </x:c>
      <x:c r="AN205" t="n">
        <x:v>3</x:v>
      </x:c>
      <x:c r="AO205" t="str">
        <x:v>Laranja</x:v>
      </x:c>
      <x:c r="AP205" t="str">
        <x:v>janela de intervenção: tempo acumulado ≥ 80% do SLA</x:v>
      </x:c>
      <x:c r="AQ205" t="str">
        <x:v>Encerramento demonstrativo de Painel/Comando; verificar fechamento e histórico para aprendizado. Sem despacho automático.</x:v>
      </x:c>
      <x:c r="AR205" s="62" t="n">
        <x:v>1357</x:v>
      </x:c>
      <x:c r="AS205" t="str">
        <x:v>Alto</x:v>
      </x:c>
      <x:c r="AT205" s="50" t="n">
        <x:v>46273.552083333336</x:v>
      </x:c>
      <x:c r="AU205" t="str">
        <x:v>T07</x:v>
      </x:c>
      <x:c r="AV205" t="str">
        <x:v>Ocorrência adicional sintética; perfil inspirado em CH-20260908-012</x:v>
      </x:c>
    </x:row>
    <x:row r="206">
      <x:c r="A206" t="str">
        <x:v>CH-20260908-027</x:v>
      </x:c>
      <x:c r="B206" t="str">
        <x:v>Porta não fecha</x:v>
      </x:c>
      <x:c r="C206" t="str">
        <x:v>Falha no fechamento</x:v>
      </x:c>
      <x:c r="D206" t="str">
        <x:v>Porta permanece aberta e impede partida.</x:v>
      </x:c>
      <x:c r="E206" t="str">
        <x:v>Concluído</x:v>
      </x:c>
      <x:c r="F206" t="str">
        <x:v>Aplicativo Cliente</x:v>
      </x:c>
      <x:c r="G206" t="str">
        <x:v>E-127</x:v>
      </x:c>
      <x:c r="H206" t="str">
        <x:v>Elevador Social</x:v>
      </x:c>
      <x:c r="I206" t="str">
        <x:v>Microprocessado</x:v>
      </x:c>
      <x:c r="J206" t="str">
        <x:v>Gearless</x:v>
      </x:c>
      <x:c r="K206" t="str">
        <x:v>OTIS</x:v>
      </x:c>
      <x:c r="L206" t="str">
        <x:v>ROT-021</x:v>
      </x:c>
      <x:c r="M206" t="str">
        <x:v>Operador de Porta</x:v>
      </x:c>
      <x:c r="N206" t="str">
        <x:v>Sensor de porta</x:v>
      </x:c>
      <x:c r="O206" t="str">
        <x:v>Falha de leitura</x:v>
      </x:c>
      <x:c r="P206" t="str">
        <x:v>Porta aberta</x:v>
      </x:c>
      <x:c r="Q206" t="str">
        <x:v>Diagnóstico e teste funcional simulados em Operador de Porta; encerramento demonstrativo, sem movimentação de estoque comprovada.</x:v>
      </x:c>
      <x:c r="R206" t="str">
        <x:v>Hospital São Paulo</x:v>
      </x:c>
      <x:c r="S206" t="str">
        <x:v>Sim</x:v>
      </x:c>
      <x:c r="T206" t="str">
        <x:v>Sim</x:v>
      </x:c>
      <x:c r="U206" t="str">
        <x:v>CT-2026-001</x:v>
      </x:c>
      <x:c r="V206" t="str">
        <x:v>SP-Centro</x:v>
      </x:c>
      <x:c r="W206" t="str">
        <x:v>João Silva</x:v>
      </x:c>
      <x:c r="X206" t="str">
        <x:v>Supervisor C</x:v>
      </x:c>
      <x:c r="Y206" t="str">
        <x:v>Rota Centro 01</x:v>
      </x:c>
      <x:c r="Z206" t="str">
        <x:v>Av. Paulista, 1000 - São Paulo/SP</x:v>
      </x:c>
      <x:c r="AA206" t="str">
        <x:v>São Paulo</x:v>
      </x:c>
      <x:c r="AB206" s="50" t="n">
        <x:v>46273.419444444444</x:v>
      </x:c>
      <x:c r="AC206" s="50" t="n">
        <x:v>46273.42291666667</x:v>
      </x:c>
      <x:c r="AD206" s="50" t="n">
        <x:v>46273.427777777775</x:v>
      </x:c>
      <x:c r="AE206" s="50" t="n">
        <x:v>46273.464583333334</x:v>
      </x:c>
      <x:c r="AF206" s="50" t="n">
        <x:v>46273.52291666667</x:v>
      </x:c>
      <x:c r="AG206" t="n">
        <x:v>65</x:v>
      </x:c>
      <x:c r="AH206" t="n">
        <x:v>79</x:v>
      </x:c>
      <x:c r="AI206" t="str">
        <x:v>Não</x:v>
      </x:c>
      <x:c r="AJ206" t="str">
        <x:v>Não</x:v>
      </x:c>
      <x:c r="AK206" t="n">
        <x:v>60</x:v>
      </x:c>
      <x:c r="AL206" t="n">
        <x:v>0</x:v>
      </x:c>
      <x:c r="AM206" s="64" t="n">
        <x:v>2.4</x:v>
      </x:c>
      <x:c r="AN206" t="n">
        <x:v>2</x:v>
      </x:c>
      <x:c r="AO206" t="str">
        <x:v>Vermelho</x:v>
      </x:c>
      <x:c r="AP206" t="str">
        <x:v>SLA sintético excedido (tempo acumulado ≥ 100% do SLA)</x:v>
      </x:c>
      <x:c r="AQ206" t="str">
        <x:v>Encerramento demonstrativo de Operador de Porta; verificar fechamento e histórico para aprendizado. Sem despacho automático.</x:v>
      </x:c>
      <x:c r="AR206" s="62" t="n">
        <x:v>833.5</x:v>
      </x:c>
      <x:c r="AS206" t="str">
        <x:v>Baixo</x:v>
      </x:c>
      <x:c r="AT206" s="50" t="n">
        <x:v>46273.552083333336</x:v>
      </x:c>
      <x:c r="AU206" t="str">
        <x:v>T07</x:v>
      </x:c>
      <x:c r="AV206" t="str">
        <x:v>Ocorrência adicional sintética; perfil inspirado em CH-20260908-019</x:v>
      </x:c>
    </x:row>
    <x:row r="207">
      <x:c r="A207" t="str">
        <x:v>CH-20260908-028</x:v>
      </x:c>
      <x:c r="B207" t="str">
        <x:v>Falha de Nivelamento</x:v>
      </x:c>
      <x:c r="C207" t="str">
        <x:v>Cabine desnivelada</x:v>
      </x:c>
      <x:c r="D207" t="str">
        <x:v>Cabine parou fora do nível do pavimento.</x:v>
      </x:c>
      <x:c r="E207" t="str">
        <x:v>Em atendimento</x:v>
      </x:c>
      <x:c r="F207" t="str">
        <x:v>IoT</x:v>
      </x:c>
      <x:c r="G207" t="str">
        <x:v>E-128</x:v>
      </x:c>
      <x:c r="H207" t="str">
        <x:v>Elevador Social</x:v>
      </x:c>
      <x:c r="I207" t="str">
        <x:v>Microprocessado</x:v>
      </x:c>
      <x:c r="J207" t="str">
        <x:v>Gearless</x:v>
      </x:c>
      <x:c r="K207" t="str">
        <x:v>OTIS</x:v>
      </x:c>
      <x:c r="L207" t="str">
        <x:v>ROT-014</x:v>
      </x:c>
      <x:c r="M207" t="str">
        <x:v>Sensor de Nível</x:v>
      </x:c>
      <x:c r="N207" t="str">
        <x:v>Sensor</x:v>
      </x:c>
      <x:c r="O207" t="str">
        <x:v>Leitura inconsistente</x:v>
      </x:c>
      <x:c r="P207" t="str">
        <x:v>Falha de nivelamento</x:v>
      </x:c>
      <x:c r="Q207"/>
      <x:c r="R207" t="str">
        <x:v>Shopping Center Norte</x:v>
      </x:c>
      <x:c r="S207" t="str">
        <x:v>Não</x:v>
      </x:c>
      <x:c r="T207" t="str">
        <x:v>Sim</x:v>
      </x:c>
      <x:c r="U207" t="str">
        <x:v>CT-2026-002</x:v>
      </x:c>
      <x:c r="V207" t="str">
        <x:v>SP-Norte</x:v>
      </x:c>
      <x:c r="W207" t="str">
        <x:v>Marcos Lima</x:v>
      </x:c>
      <x:c r="X207" t="str">
        <x:v>Supervisor B</x:v>
      </x:c>
      <x:c r="Y207" t="str">
        <x:v>Rota Norte 02</x:v>
      </x:c>
      <x:c r="Z207" t="str">
        <x:v>Av. Otto Baumgart, 245 - São Paulo/SP</x:v>
      </x:c>
      <x:c r="AA207" t="str">
        <x:v>São Paulo</x:v>
      </x:c>
      <x:c r="AB207" s="50" t="n">
        <x:v>46273.43125</x:v>
      </x:c>
      <x:c r="AC207" s="50" t="n">
        <x:v>46273.43263888889</x:v>
      </x:c>
      <x:c r="AD207" s="50" t="n">
        <x:v>46273.43819444445</x:v>
      </x:c>
      <x:c r="AE207" s="50" t="n">
        <x:v>46273.45</x:v>
      </x:c>
      <x:c r="AF207" s="50"/>
      <x:c r="AG207" t="n">
        <x:v>27</x:v>
      </x:c>
      <x:c r="AH207"/>
      <x:c r="AI207" t="str">
        <x:v>Não</x:v>
      </x:c>
      <x:c r="AJ207" t="str">
        <x:v>Não</x:v>
      </x:c>
      <x:c r="AK207" t="n">
        <x:v>90</x:v>
      </x:c>
      <x:c r="AL207" t="n">
        <x:v>0</x:v>
      </x:c>
      <x:c r="AM207" s="64" t="n">
        <x:v>1.9333</x:v>
      </x:c>
      <x:c r="AN207" t="n">
        <x:v>1</x:v>
      </x:c>
      <x:c r="AO207" t="str">
        <x:v>Vermelho</x:v>
      </x:c>
      <x:c r="AP207" t="str">
        <x:v>SLA sintético excedido (tempo acumulado ≥ 100% do SLA)</x:v>
      </x:c>
      <x:c r="AQ207" t="str">
        <x:v>Priorizar avaliação do chamado em Sensor de Nível; SLA demonstrativo comprometido. Supervisor decide o encaminhamento.</x:v>
      </x:c>
      <x:c r="AR207" s="62" t="n">
        <x:v>818</x:v>
      </x:c>
      <x:c r="AS207" t="str">
        <x:v>Baixo</x:v>
      </x:c>
      <x:c r="AT207" s="50" t="n">
        <x:v>46273.552083333336</x:v>
      </x:c>
      <x:c r="AU207" t="str">
        <x:v>T07</x:v>
      </x:c>
      <x:c r="AV207" t="str">
        <x:v>Ocorrência adicional sintética; perfil inspirado em CH-20260908-002</x:v>
      </x:c>
    </x:row>
    <x:row r="208">
      <x:c r="A208" t="str">
        <x:v>CH-20260908-029</x:v>
      </x:c>
      <x:c r="B208" t="str">
        <x:v>Passageiro Preso</x:v>
      </x:c>
      <x:c r="C208" t="str">
        <x:v>Elevador parado entre andares</x:v>
      </x:c>
      <x:c r="D208" t="str">
        <x:v>Cabine imobilizada com passageiro no interior.</x:v>
      </x:c>
      <x:c r="E208" t="str">
        <x:v>Concluído</x:v>
      </x:c>
      <x:c r="F208" t="str">
        <x:v>Central de Atendimento</x:v>
      </x:c>
      <x:c r="G208" t="str">
        <x:v>E-108</x:v>
      </x:c>
      <x:c r="H208" t="str">
        <x:v>Elevador Social</x:v>
      </x:c>
      <x:c r="I208" t="str">
        <x:v>Microprocessado</x:v>
      </x:c>
      <x:c r="J208" t="str">
        <x:v>Gearless</x:v>
      </x:c>
      <x:c r="K208" t="str">
        <x:v>OTIS</x:v>
      </x:c>
      <x:c r="L208" t="str">
        <x:v>ROT-001</x:v>
      </x:c>
      <x:c r="M208" t="str">
        <x:v>Tração</x:v>
      </x:c>
      <x:c r="N208" t="str">
        <x:v>Freio</x:v>
      </x:c>
      <x:c r="O208" t="str">
        <x:v>Travamento</x:v>
      </x:c>
      <x:c r="P208" t="str">
        <x:v>Parada total</x:v>
      </x:c>
      <x:c r="Q208" t="str">
        <x:v>Diagnóstico e teste funcional simulados em Tração; encerramento demonstrativo, sem movimentação de estoque comprovada.</x:v>
      </x:c>
      <x:c r="R208" t="str">
        <x:v>Edifício Corporate</x:v>
      </x:c>
      <x:c r="S208" t="str">
        <x:v>Não</x:v>
      </x:c>
      <x:c r="T208" t="str">
        <x:v>Sim</x:v>
      </x:c>
      <x:c r="U208" t="str">
        <x:v>CT-2026-003</x:v>
      </x:c>
      <x:c r="V208" t="str">
        <x:v>SP-Oeste</x:v>
      </x:c>
      <x:c r="W208" t="str">
        <x:v>Ana Costa</x:v>
      </x:c>
      <x:c r="X208" t="str">
        <x:v>Supervisor A</x:v>
      </x:c>
      <x:c r="Y208" t="str">
        <x:v>Rota Oeste 03</x:v>
      </x:c>
      <x:c r="Z208" t="str">
        <x:v>Av. Faria Lima, 3500 - São Paulo/SP</x:v>
      </x:c>
      <x:c r="AA208" t="str">
        <x:v>São Paulo</x:v>
      </x:c>
      <x:c r="AB208" s="50" t="n">
        <x:v>46273.44097222222</x:v>
      </x:c>
      <x:c r="AC208" s="50" t="n">
        <x:v>46273.44305555556</x:v>
      </x:c>
      <x:c r="AD208" s="50" t="n">
        <x:v>46273.44930555556</x:v>
      </x:c>
      <x:c r="AE208" s="50" t="n">
        <x:v>46273.46875</x:v>
      </x:c>
      <x:c r="AF208" s="50" t="n">
        <x:v>46273.55069444444</x:v>
      </x:c>
      <x:c r="AG208" t="n">
        <x:v>40</x:v>
      </x:c>
      <x:c r="AH208" t="n">
        <x:v>113</x:v>
      </x:c>
      <x:c r="AI208" t="str">
        <x:v>Sim</x:v>
      </x:c>
      <x:c r="AJ208" t="str">
        <x:v>Sim</x:v>
      </x:c>
      <x:c r="AK208" t="n">
        <x:v>120</x:v>
      </x:c>
      <x:c r="AL208" t="n">
        <x:v>0</x:v>
      </x:c>
      <x:c r="AM208" s="64" t="n">
        <x:v>1.275</x:v>
      </x:c>
      <x:c r="AN208" t="n">
        <x:v>2</x:v>
      </x:c>
      <x:c r="AO208" t="str">
        <x:v>Vermelho</x:v>
      </x:c>
      <x:c r="AP208" t="str">
        <x:v>SLA sintético excedido (tempo acumulado ≥ 100% do SLA)</x:v>
      </x:c>
      <x:c r="AQ208" t="str">
        <x:v>Encerramento demonstrativo de Tração; verificar fechamento e histórico para aprendizado. Sem despacho automático.</x:v>
      </x:c>
      <x:c r="AR208" s="62" t="n">
        <x:v>1162.5</x:v>
      </x:c>
      <x:c r="AS208" t="str">
        <x:v>Médio</x:v>
      </x:c>
      <x:c r="AT208" s="50" t="n">
        <x:v>46273.552083333336</x:v>
      </x:c>
      <x:c r="AU208" t="str">
        <x:v>T07</x:v>
      </x:c>
      <x:c r="AV208" t="str">
        <x:v>Ocorrência adicional sintética; perfil inspirado em CH-20260908-009</x:v>
      </x:c>
    </x:row>
    <x:row r="209">
      <x:c r="A209" t="str">
        <x:v>CH-20260908-030</x:v>
      </x:c>
      <x:c r="B209" t="str">
        <x:v>Parada Intermitente</x:v>
      </x:c>
      <x:c r="C209" t="str">
        <x:v>Paradas aleatórias</x:v>
      </x:c>
      <x:c r="D209" t="str">
        <x:v>Equipamento interrompe operação de forma intermitente.</x:v>
      </x:c>
      <x:c r="E209" t="str">
        <x:v>Concluído</x:v>
      </x:c>
      <x:c r="F209" t="str">
        <x:v>Monitoramento Remoto</x:v>
      </x:c>
      <x:c r="G209" t="str">
        <x:v>E-130</x:v>
      </x:c>
      <x:c r="H209" t="str">
        <x:v>Elevador Social</x:v>
      </x:c>
      <x:c r="I209" t="str">
        <x:v>Microprocessado</x:v>
      </x:c>
      <x:c r="J209" t="str">
        <x:v>Gearless</x:v>
      </x:c>
      <x:c r="K209" t="str">
        <x:v>OTIS</x:v>
      </x:c>
      <x:c r="L209" t="str">
        <x:v>ROT-074</x:v>
      </x:c>
      <x:c r="M209" t="str">
        <x:v>Painel/Comando</x:v>
      </x:c>
      <x:c r="N209" t="str">
        <x:v>Placa</x:v>
      </x:c>
      <x:c r="O209" t="str">
        <x:v>Intermitência</x:v>
      </x:c>
      <x:c r="P209" t="str">
        <x:v>Falha intermitente</x:v>
      </x:c>
      <x:c r="Q209" t="str">
        <x:v>Diagnóstico e teste funcional simulados em Painel/Comando; encerramento demonstrativo, sem movimentação de estoque comprovada.</x:v>
      </x:c>
      <x:c r="R209" t="str">
        <x:v>Condomínio Alameda</x:v>
      </x:c>
      <x:c r="S209" t="str">
        <x:v>Não</x:v>
      </x:c>
      <x:c r="T209" t="str">
        <x:v>Não</x:v>
      </x:c>
      <x:c r="U209" t="str">
        <x:v>CT-2026-004</x:v>
      </x:c>
      <x:c r="V209" t="str">
        <x:v>SP-Sul</x:v>
      </x:c>
      <x:c r="W209" t="str">
        <x:v>Carlos Souza</x:v>
      </x:c>
      <x:c r="X209" t="str">
        <x:v>Supervisor D</x:v>
      </x:c>
      <x:c r="Y209" t="str">
        <x:v>Rota Sul 04</x:v>
      </x:c>
      <x:c r="Z209" t="str">
        <x:v>R. das Acácias, 420 - São Paulo/SP</x:v>
      </x:c>
      <x:c r="AA209" t="str">
        <x:v>São Paulo</x:v>
      </x:c>
      <x:c r="AB209" s="50" t="n">
        <x:v>46273.450694444444</x:v>
      </x:c>
      <x:c r="AC209" s="50" t="n">
        <x:v>46273.45347222222</x:v>
      </x:c>
      <x:c r="AD209" s="50" t="n">
        <x:v>46273.45625</x:v>
      </x:c>
      <x:c r="AE209" s="50" t="n">
        <x:v>46273.4875</x:v>
      </x:c>
      <x:c r="AF209" s="50" t="n">
        <x:v>46273.52361111111</x:v>
      </x:c>
      <x:c r="AG209" t="n">
        <x:v>53</x:v>
      </x:c>
      <x:c r="AH209" t="n">
        <x:v>47</x:v>
      </x:c>
      <x:c r="AI209" t="str">
        <x:v>Não</x:v>
      </x:c>
      <x:c r="AJ209" t="str">
        <x:v>Sim</x:v>
      </x:c>
      <x:c r="AK209" t="n">
        <x:v>180</x:v>
      </x:c>
      <x:c r="AL209" t="n">
        <x:v>0</x:v>
      </x:c>
      <x:c r="AM209" s="64" t="n">
        <x:v>0.5556</x:v>
      </x:c>
      <x:c r="AN209" t="n">
        <x:v>4</x:v>
      </x:c>
      <x:c r="AO209" t="str">
        <x:v>Laranja</x:v>
      </x:c>
      <x:c r="AP209" t="str">
        <x:v>janela de intervenção: recorrência ≥ 4/30d e equipamento parado</x:v>
      </x:c>
      <x:c r="AQ209" t="str">
        <x:v>Encerramento demonstrativo de Painel/Comando; verificar fechamento e histórico para aprendizado. Sem despacho automático.</x:v>
      </x:c>
      <x:c r="AR209" s="62" t="n">
        <x:v>1795</x:v>
      </x:c>
      <x:c r="AS209" t="str">
        <x:v>Alto</x:v>
      </x:c>
      <x:c r="AT209" s="50" t="n">
        <x:v>46273.552083333336</x:v>
      </x:c>
      <x:c r="AU209" t="str">
        <x:v>T07</x:v>
      </x:c>
      <x:c r="AV209" t="str">
        <x:v>Ocorrência adicional sintética; perfil inspirado em CH-20260908-016</x:v>
      </x:c>
    </x:row>
    <x:row r="210">
      <x:c r="A210" t="str">
        <x:v>CH-20260908-031</x:v>
      </x:c>
      <x:c r="B210" t="str">
        <x:v>Botão de Chamada</x:v>
      </x:c>
      <x:c r="C210" t="str">
        <x:v>Botão não responde</x:v>
      </x:c>
      <x:c r="D210" t="str">
        <x:v>Botão de chamada não registra comando.</x:v>
      </x:c>
      <x:c r="E210" t="str">
        <x:v>Concluído</x:v>
      </x:c>
      <x:c r="F210" t="str">
        <x:v>Aplicativo Cliente</x:v>
      </x:c>
      <x:c r="G210" t="str">
        <x:v>E-131</x:v>
      </x:c>
      <x:c r="H210" t="str">
        <x:v>Elevador Social</x:v>
      </x:c>
      <x:c r="I210" t="str">
        <x:v>Microprocessado</x:v>
      </x:c>
      <x:c r="J210" t="str">
        <x:v>Gearless</x:v>
      </x:c>
      <x:c r="K210" t="str">
        <x:v>OTIS</x:v>
      </x:c>
      <x:c r="L210" t="str">
        <x:v>ROT-063</x:v>
      </x:c>
      <x:c r="M210" t="str">
        <x:v>Botoeira</x:v>
      </x:c>
      <x:c r="N210" t="str">
        <x:v>Contato</x:v>
      </x:c>
      <x:c r="O210" t="str">
        <x:v>Mau contato</x:v>
      </x:c>
      <x:c r="P210" t="str">
        <x:v>Falha de comando</x:v>
      </x:c>
      <x:c r="Q210" t="str">
        <x:v>Diagnóstico e teste funcional simulados em Botoeira; encerramento demonstrativo, sem movimentação de estoque comprovada.</x:v>
      </x:c>
      <x:c r="R210" t="str">
        <x:v>Aeroporto Terminal 3</x:v>
      </x:c>
      <x:c r="S210" t="str">
        <x:v>Sim</x:v>
      </x:c>
      <x:c r="T210" t="str">
        <x:v>Sim</x:v>
      </x:c>
      <x:c r="U210" t="str">
        <x:v>CT-2026-005</x:v>
      </x:c>
      <x:c r="V210" t="str">
        <x:v>GRU</x:v>
      </x:c>
      <x:c r="W210" t="str">
        <x:v>Renata Alves</x:v>
      </x:c>
      <x:c r="X210" t="str">
        <x:v>Supervisor C</x:v>
      </x:c>
      <x:c r="Y210" t="str">
        <x:v>Rota GRU 05</x:v>
      </x:c>
      <x:c r="Z210" t="str">
        <x:v>Rod. Hélio Smidt, s/n - Guarulhos/SP</x:v>
      </x:c>
      <x:c r="AA210" t="str">
        <x:v>São Paulo</x:v>
      </x:c>
      <x:c r="AB210" s="50" t="n">
        <x:v>46273.461805555555</x:v>
      </x:c>
      <x:c r="AC210" s="50" t="n">
        <x:v>46273.46527777778</x:v>
      </x:c>
      <x:c r="AD210" s="50" t="n">
        <x:v>46273.46875</x:v>
      </x:c>
      <x:c r="AE210" s="50" t="n">
        <x:v>46273.50763888889</x:v>
      </x:c>
      <x:c r="AF210" s="50"/>
      <x:c r="AG210" t="n">
        <x:v>66</x:v>
      </x:c>
      <x:c r="AH210" t="n">
        <x:v>64</x:v>
      </x:c>
      <x:c r="AI210" t="str">
        <x:v>Não</x:v>
      </x:c>
      <x:c r="AJ210" t="str">
        <x:v>Não</x:v>
      </x:c>
      <x:c r="AK210" t="n">
        <x:v>45</x:v>
      </x:c>
      <x:c r="AL210" t="n">
        <x:v>0</x:v>
      </x:c>
      <x:c r="AM210" s="64" t="n">
        <x:v>2.8889</x:v>
      </x:c>
      <x:c r="AN210" t="n">
        <x:v>2</x:v>
      </x:c>
      <x:c r="AO210" t="str">
        <x:v>Vermelho</x:v>
      </x:c>
      <x:c r="AP210" t="str">
        <x:v>SLA sintético excedido (tempo acumulado ≥ 100% do SLA)</x:v>
      </x:c>
      <x:c r="AQ210" t="str">
        <x:v>Encerramento demonstrativo de Botoeira; verificar fechamento e histórico para aprendizado. Sem despacho automático.</x:v>
      </x:c>
      <x:c r="AR210" s="62" t="n">
        <x:v>814.5</x:v>
      </x:c>
      <x:c r="AS210" t="str">
        <x:v>Baixo</x:v>
      </x:c>
      <x:c r="AT210" s="50" t="n">
        <x:v>46273.552083333336</x:v>
      </x:c>
      <x:c r="AU210" t="str">
        <x:v>T07</x:v>
      </x:c>
      <x:c r="AV210" t="str">
        <x:v>Ocorrência adicional sintética; perfil inspirado em CH-20260908-023</x:v>
      </x:c>
    </x:row>
    <x:row r="211">
      <x:c r="A211" t="str">
        <x:v>CH-20260908-032</x:v>
      </x:c>
      <x:c r="B211" t="str">
        <x:v>Iluminação de Cabine</x:v>
      </x:c>
      <x:c r="C211" t="str">
        <x:v>Iluminação inoperante</x:v>
      </x:c>
      <x:c r="D211" t="str">
        <x:v>Cabine com iluminação parcial ou total indisponível.</x:v>
      </x:c>
      <x:c r="E211" t="str">
        <x:v>Concluído</x:v>
      </x:c>
      <x:c r="F211" t="str">
        <x:v>IoT</x:v>
      </x:c>
      <x:c r="G211" t="str">
        <x:v>E-132</x:v>
      </x:c>
      <x:c r="H211" t="str">
        <x:v>Elevador Social</x:v>
      </x:c>
      <x:c r="I211" t="str">
        <x:v>Microprocessado</x:v>
      </x:c>
      <x:c r="J211" t="str">
        <x:v>Gearless</x:v>
      </x:c>
      <x:c r="K211" t="str">
        <x:v>OTIS</x:v>
      </x:c>
      <x:c r="L211" t="str">
        <x:v>ROT-052</x:v>
      </x:c>
      <x:c r="M211" t="str">
        <x:v>Elétrica</x:v>
      </x:c>
      <x:c r="N211" t="str">
        <x:v>Fonte</x:v>
      </x:c>
      <x:c r="O211" t="str">
        <x:v>Sem alimentação</x:v>
      </x:c>
      <x:c r="P211" t="str">
        <x:v>Falha elétrica</x:v>
      </x:c>
      <x:c r="Q211" t="str">
        <x:v>Diagnóstico e teste funcional simulados em Elétrica; encerramento demonstrativo, sem movimentação de estoque comprovada.</x:v>
      </x:c>
      <x:c r="R211" t="str">
        <x:v>Universidade Central</x:v>
      </x:c>
      <x:c r="S211" t="str">
        <x:v>Não</x:v>
      </x:c>
      <x:c r="T211" t="str">
        <x:v>Sim</x:v>
      </x:c>
      <x:c r="U211" t="str">
        <x:v>CT-2026-006</x:v>
      </x:c>
      <x:c r="V211" t="str">
        <x:v>SP-Leste</x:v>
      </x:c>
      <x:c r="W211" t="str">
        <x:v>Paulo Mendes</x:v>
      </x:c>
      <x:c r="X211" t="str">
        <x:v>Supervisor B</x:v>
      </x:c>
      <x:c r="Y211" t="str">
        <x:v>Rota Leste 06</x:v>
      </x:c>
      <x:c r="Z211" t="str">
        <x:v>Av. Central, 850 - São Paulo/SP</x:v>
      </x:c>
      <x:c r="AA211" t="str">
        <x:v>São Paulo</x:v>
      </x:c>
      <x:c r="AB211" s="50" t="n">
        <x:v>46273.46875</x:v>
      </x:c>
      <x:c r="AC211" s="50" t="n">
        <x:v>46273.470138888886</x:v>
      </x:c>
      <x:c r="AD211" s="50" t="n">
        <x:v>46273.47430555556</x:v>
      </x:c>
      <x:c r="AE211" s="50" t="n">
        <x:v>46273.48819444444</x:v>
      </x:c>
      <x:c r="AF211" s="50" t="n">
        <x:v>46273.54791666667</x:v>
      </x:c>
      <x:c r="AG211" t="n">
        <x:v>28</x:v>
      </x:c>
      <x:c r="AH211" t="n">
        <x:v>81</x:v>
      </x:c>
      <x:c r="AI211" t="str">
        <x:v>Não</x:v>
      </x:c>
      <x:c r="AJ211" t="str">
        <x:v>Não</x:v>
      </x:c>
      <x:c r="AK211" t="n">
        <x:v>120</x:v>
      </x:c>
      <x:c r="AL211" t="n">
        <x:v>0</x:v>
      </x:c>
      <x:c r="AM211" s="64" t="n">
        <x:v>0.9083</x:v>
      </x:c>
      <x:c r="AN211" t="n">
        <x:v>0</x:v>
      </x:c>
      <x:c r="AO211" t="str">
        <x:v>Laranja</x:v>
      </x:c>
      <x:c r="AP211" t="str">
        <x:v>janela de intervenção: tempo acumulado ≥ 80% do SLA</x:v>
      </x:c>
      <x:c r="AQ211" t="str">
        <x:v>Encerramento demonstrativo de Elétrica; verificar fechamento e histórico para aprendizado. Sem despacho automático.</x:v>
      </x:c>
      <x:c r="AR211" s="62" t="n">
        <x:v>507</x:v>
      </x:c>
      <x:c r="AS211" t="str">
        <x:v>Baixo</x:v>
      </x:c>
      <x:c r="AT211" s="50" t="n">
        <x:v>46273.552083333336</x:v>
      </x:c>
      <x:c r="AU211" t="str">
        <x:v>T07</x:v>
      </x:c>
      <x:c r="AV211" t="str">
        <x:v>Ocorrência adicional sintética; perfil inspirado em CH-20260908-006</x:v>
      </x:c>
    </x:row>
    <x:row r="212">
      <x:c r="A212" t="str">
        <x:v>CH-20260908-033</x:v>
      </x:c>
      <x:c r="B212" t="str">
        <x:v>Falha de Tração</x:v>
      </x:c>
      <x:c r="C212" t="str">
        <x:v>Movimento irregular</x:v>
      </x:c>
      <x:c r="D212" t="str">
        <x:v>Equipamento apresenta perda de tração.</x:v>
      </x:c>
      <x:c r="E212" t="str">
        <x:v>Em atendimento</x:v>
      </x:c>
      <x:c r="F212" t="str">
        <x:v>Central de Atendimento</x:v>
      </x:c>
      <x:c r="G212" t="str">
        <x:v>E-133</x:v>
      </x:c>
      <x:c r="H212" t="str">
        <x:v>Elevador Social</x:v>
      </x:c>
      <x:c r="I212" t="str">
        <x:v>Microprocessado</x:v>
      </x:c>
      <x:c r="J212" t="str">
        <x:v>Gearless</x:v>
      </x:c>
      <x:c r="K212" t="str">
        <x:v>OTIS</x:v>
      </x:c>
      <x:c r="L212" t="str">
        <x:v>ROT-041</x:v>
      </x:c>
      <x:c r="M212" t="str">
        <x:v>Máquina de Tração</x:v>
      </x:c>
      <x:c r="N212" t="str">
        <x:v>Inversor</x:v>
      </x:c>
      <x:c r="O212" t="str">
        <x:v>Oscilação</x:v>
      </x:c>
      <x:c r="P212" t="str">
        <x:v>Falha de movimento</x:v>
      </x:c>
      <x:c r="Q212"/>
      <x:c r="R212" t="str">
        <x:v>Hospital São Paulo</x:v>
      </x:c>
      <x:c r="S212" t="str">
        <x:v>Sim</x:v>
      </x:c>
      <x:c r="T212" t="str">
        <x:v>Sim</x:v>
      </x:c>
      <x:c r="U212" t="str">
        <x:v>CT-2026-001</x:v>
      </x:c>
      <x:c r="V212" t="str">
        <x:v>SP-Centro</x:v>
      </x:c>
      <x:c r="W212" t="str">
        <x:v>João Silva</x:v>
      </x:c>
      <x:c r="X212" t="str">
        <x:v>Supervisor A</x:v>
      </x:c>
      <x:c r="Y212" t="str">
        <x:v>Rota Centro 01</x:v>
      </x:c>
      <x:c r="Z212" t="str">
        <x:v>Av. Paulista, 1000 - São Paulo/SP</x:v>
      </x:c>
      <x:c r="AA212" t="str">
        <x:v>São Paulo</x:v>
      </x:c>
      <x:c r="AB212" s="50" t="n">
        <x:v>46273.47638888889</x:v>
      </x:c>
      <x:c r="AC212" s="50" t="n">
        <x:v>46273.478472222225</x:v>
      </x:c>
      <x:c r="AD212" s="50" t="n">
        <x:v>46273.48333333333</x:v>
      </x:c>
      <x:c r="AE212" s="50" t="n">
        <x:v>46273.50486111111</x:v>
      </x:c>
      <x:c r="AF212" s="50"/>
      <x:c r="AG212" t="n">
        <x:v>41</x:v>
      </x:c>
      <x:c r="AH212"/>
      <x:c r="AI212" t="str">
        <x:v>Não</x:v>
      </x:c>
      <x:c r="AJ212" t="str">
        <x:v>Sim</x:v>
      </x:c>
      <x:c r="AK212" t="n">
        <x:v>60</x:v>
      </x:c>
      <x:c r="AL212" t="n">
        <x:v>0</x:v>
      </x:c>
      <x:c r="AM212" s="64" t="n">
        <x:v>1.8167</x:v>
      </x:c>
      <x:c r="AN212" t="n">
        <x:v>1</x:v>
      </x:c>
      <x:c r="AO212" t="str">
        <x:v>Vermelho</x:v>
      </x:c>
      <x:c r="AP212" t="str">
        <x:v>SLA sintético excedido (tempo acumulado ≥ 100% do SLA)</x:v>
      </x:c>
      <x:c r="AQ212" t="str">
        <x:v>Priorizar avaliação do chamado em Máquina de Tração; SLA demonstrativo comprometido. Supervisor decide o encaminhamento.</x:v>
      </x:c>
      <x:c r="AR212" s="62" t="n">
        <x:v>1123.5</x:v>
      </x:c>
      <x:c r="AS212" t="str">
        <x:v>Médio</x:v>
      </x:c>
      <x:c r="AT212" s="50" t="n">
        <x:v>46273.552083333336</x:v>
      </x:c>
      <x:c r="AU212" t="str">
        <x:v>T07</x:v>
      </x:c>
      <x:c r="AV212" t="str">
        <x:v>Ocorrência adicional sintética; perfil inspirado em CH-20260908-013</x:v>
      </x:c>
    </x:row>
    <x:row r="213">
      <x:c r="A213" t="str">
        <x:v>CH-20260908-034</x:v>
      </x:c>
      <x:c r="B213" t="str">
        <x:v>Painel sem comunicação</x:v>
      </x:c>
      <x:c r="C213" t="str">
        <x:v>Falha de comunicação</x:v>
      </x:c>
      <x:c r="D213" t="str">
        <x:v>Painel não responde aos comandos.</x:v>
      </x:c>
      <x:c r="E213" t="str">
        <x:v>Em atendimento</x:v>
      </x:c>
      <x:c r="F213" t="str">
        <x:v>Monitoramento Remoto</x:v>
      </x:c>
      <x:c r="G213" t="str">
        <x:v>E-134</x:v>
      </x:c>
      <x:c r="H213" t="str">
        <x:v>Elevador Social</x:v>
      </x:c>
      <x:c r="I213" t="str">
        <x:v>Microprocessado</x:v>
      </x:c>
      <x:c r="J213" t="str">
        <x:v>Gearless</x:v>
      </x:c>
      <x:c r="K213" t="str">
        <x:v>OTIS</x:v>
      </x:c>
      <x:c r="L213" t="str">
        <x:v>ROT-033</x:v>
      </x:c>
      <x:c r="M213" t="str">
        <x:v>Painel/Comando</x:v>
      </x:c>
      <x:c r="N213" t="str">
        <x:v>Interface</x:v>
      </x:c>
      <x:c r="O213" t="str">
        <x:v>Sem comunicação</x:v>
      </x:c>
      <x:c r="P213" t="str">
        <x:v>Falha lógica</x:v>
      </x:c>
      <x:c r="Q213"/>
      <x:c r="R213" t="str">
        <x:v>Shopping Center Norte</x:v>
      </x:c>
      <x:c r="S213" t="str">
        <x:v>Não</x:v>
      </x:c>
      <x:c r="T213" t="str">
        <x:v>Sim</x:v>
      </x:c>
      <x:c r="U213" t="str">
        <x:v>CT-2026-002</x:v>
      </x:c>
      <x:c r="V213" t="str">
        <x:v>SP-Norte</x:v>
      </x:c>
      <x:c r="W213" t="str">
        <x:v>Marcos Lima</x:v>
      </x:c>
      <x:c r="X213" t="str">
        <x:v>Supervisor D</x:v>
      </x:c>
      <x:c r="Y213" t="str">
        <x:v>Rota Norte 02</x:v>
      </x:c>
      <x:c r="Z213" t="str">
        <x:v>Av. Otto Baumgart, 245 - São Paulo/SP</x:v>
      </x:c>
      <x:c r="AA213" t="str">
        <x:v>São Paulo</x:v>
      </x:c>
      <x:c r="AB213" s="50" t="n">
        <x:v>46273.48402777778</x:v>
      </x:c>
      <x:c r="AC213" s="50" t="n">
        <x:v>46273.486805555556</x:v>
      </x:c>
      <x:c r="AD213" s="50" t="n">
        <x:v>46273.49236111111</x:v>
      </x:c>
      <x:c r="AE213" s="50" t="n">
        <x:v>46273.521527777775</x:v>
      </x:c>
      <x:c r="AF213" s="50"/>
      <x:c r="AG213" t="n">
        <x:v>54</x:v>
      </x:c>
      <x:c r="AH213"/>
      <x:c r="AI213" t="str">
        <x:v>Não</x:v>
      </x:c>
      <x:c r="AJ213" t="str">
        <x:v>Não</x:v>
      </x:c>
      <x:c r="AK213" t="n">
        <x:v>90</x:v>
      </x:c>
      <x:c r="AL213" t="n">
        <x:v>0</x:v>
      </x:c>
      <x:c r="AM213" s="64" t="n">
        <x:v>1.0889</x:v>
      </x:c>
      <x:c r="AN213" t="n">
        <x:v>3</x:v>
      </x:c>
      <x:c r="AO213" t="str">
        <x:v>Vermelho</x:v>
      </x:c>
      <x:c r="AP213" t="str">
        <x:v>SLA sintético excedido (tempo acumulado ≥ 100% do SLA)</x:v>
      </x:c>
      <x:c r="AQ213" t="str">
        <x:v>Priorizar avaliação do chamado em Painel/Comando; SLA demonstrativo comprometido. Supervisor decide o encaminhamento.</x:v>
      </x:c>
      <x:c r="AR213" s="62" t="n">
        <x:v>1484</x:v>
      </x:c>
      <x:c r="AS213" t="str">
        <x:v>Alto</x:v>
      </x:c>
      <x:c r="AT213" s="50" t="n">
        <x:v>46273.552083333336</x:v>
      </x:c>
      <x:c r="AU213" t="str">
        <x:v>T07</x:v>
      </x:c>
      <x:c r="AV213" t="str">
        <x:v>Ocorrência adicional sintética; perfil inspirado em CH-20260908-020</x:v>
      </x:c>
    </x:row>
    <x:row r="214">
      <x:c r="A214" t="str">
        <x:v>CH-20260908-035</x:v>
      </x:c>
      <x:c r="B214" t="str">
        <x:v>Porta não fecha</x:v>
      </x:c>
      <x:c r="C214" t="str">
        <x:v>Falha no fechamento</x:v>
      </x:c>
      <x:c r="D214" t="str">
        <x:v>Porta permanece aberta e impede partida.</x:v>
      </x:c>
      <x:c r="E214" t="str">
        <x:v>Em atendimento</x:v>
      </x:c>
      <x:c r="F214" t="str">
        <x:v>Aplicativo Cliente</x:v>
      </x:c>
      <x:c r="G214" t="str">
        <x:v>E-135</x:v>
      </x:c>
      <x:c r="H214" t="str">
        <x:v>Elevador Social</x:v>
      </x:c>
      <x:c r="I214" t="str">
        <x:v>Microprocessado</x:v>
      </x:c>
      <x:c r="J214" t="str">
        <x:v>Gearless</x:v>
      </x:c>
      <x:c r="K214" t="str">
        <x:v>OTIS</x:v>
      </x:c>
      <x:c r="L214" t="str">
        <x:v>ROT-021</x:v>
      </x:c>
      <x:c r="M214" t="str">
        <x:v>Operador de Porta</x:v>
      </x:c>
      <x:c r="N214" t="str">
        <x:v>Sensor de porta</x:v>
      </x:c>
      <x:c r="O214" t="str">
        <x:v>Falha de leitura</x:v>
      </x:c>
      <x:c r="P214" t="str">
        <x:v>Porta aberta</x:v>
      </x:c>
      <x:c r="Q214"/>
      <x:c r="R214" t="str">
        <x:v>Edifício Corporate</x:v>
      </x:c>
      <x:c r="S214" t="str">
        <x:v>Não</x:v>
      </x:c>
      <x:c r="T214" t="str">
        <x:v>Sim</x:v>
      </x:c>
      <x:c r="U214" t="str">
        <x:v>CT-2026-003</x:v>
      </x:c>
      <x:c r="V214" t="str">
        <x:v>SP-Oeste</x:v>
      </x:c>
      <x:c r="W214" t="str">
        <x:v>Ana Costa</x:v>
      </x:c>
      <x:c r="X214" t="str">
        <x:v>Supervisor C</x:v>
      </x:c>
      <x:c r="Y214" t="str">
        <x:v>Rota Oeste 03</x:v>
      </x:c>
      <x:c r="Z214" t="str">
        <x:v>Av. Faria Lima, 3500 - São Paulo/SP</x:v>
      </x:c>
      <x:c r="AA214" t="str">
        <x:v>São Paulo</x:v>
      </x:c>
      <x:c r="AB214" s="50" t="n">
        <x:v>46273.49375</x:v>
      </x:c>
      <x:c r="AC214" s="50" t="n">
        <x:v>46273.49722222222</x:v>
      </x:c>
      <x:c r="AD214" s="50" t="n">
        <x:v>46273.50347222222</x:v>
      </x:c>
      <x:c r="AE214" s="50" t="n">
        <x:v>46273.54027777778</x:v>
      </x:c>
      <x:c r="AF214" s="50"/>
      <x:c r="AG214" t="n">
        <x:v>67</x:v>
      </x:c>
      <x:c r="AH214"/>
      <x:c r="AI214" t="str">
        <x:v>Não</x:v>
      </x:c>
      <x:c r="AJ214" t="str">
        <x:v>Não</x:v>
      </x:c>
      <x:c r="AK214" t="n">
        <x:v>120</x:v>
      </x:c>
      <x:c r="AL214" t="n">
        <x:v>0</x:v>
      </x:c>
      <x:c r="AM214" s="64" t="n">
        <x:v>0.7</x:v>
      </x:c>
      <x:c r="AN214" t="n">
        <x:v>2</x:v>
      </x:c>
      <x:c r="AO214" t="str">
        <x:v>Amarelo</x:v>
      </x:c>
      <x:c r="AP214" t="str">
        <x:v>atenção: tempo acumulado ≥ 55% do SLA</x:v>
      </x:c>
      <x:c r="AQ214" t="str">
        <x:v>Acompanhar sinais em Operador de Porta; correlacionar histórico e SLA antes de recomendar intervenção.</x:v>
      </x:c>
      <x:c r="AR214" s="62" t="n">
        <x:v>884.5</x:v>
      </x:c>
      <x:c r="AS214" t="str">
        <x:v>Médio</x:v>
      </x:c>
      <x:c r="AT214" s="50" t="n">
        <x:v>46273.552083333336</x:v>
      </x:c>
      <x:c r="AU214" t="str">
        <x:v>T07</x:v>
      </x:c>
      <x:c r="AV214" t="str">
        <x:v>Ocorrência adicional sintética; perfil inspirado em CH-20260908-003</x:v>
      </x:c>
    </x:row>
    <x:row r="215">
      <x:c r="A215" t="str">
        <x:v>CH-20260908-036</x:v>
      </x:c>
      <x:c r="B215" t="str">
        <x:v>Falha de Nivelamento</x:v>
      </x:c>
      <x:c r="C215" t="str">
        <x:v>Cabine desnivelada</x:v>
      </x:c>
      <x:c r="D215" t="str">
        <x:v>Cabine parou fora do nível do pavimento.</x:v>
      </x:c>
      <x:c r="E215" t="str">
        <x:v>Em atendimento</x:v>
      </x:c>
      <x:c r="F215" t="str">
        <x:v>IoT</x:v>
      </x:c>
      <x:c r="G215" t="str">
        <x:v>E-113</x:v>
      </x:c>
      <x:c r="H215" t="str">
        <x:v>Elevador Social</x:v>
      </x:c>
      <x:c r="I215" t="str">
        <x:v>Microprocessado</x:v>
      </x:c>
      <x:c r="J215" t="str">
        <x:v>Gearless</x:v>
      </x:c>
      <x:c r="K215" t="str">
        <x:v>OTIS</x:v>
      </x:c>
      <x:c r="L215" t="str">
        <x:v>ROT-014</x:v>
      </x:c>
      <x:c r="M215" t="str">
        <x:v>Sensor de Nível</x:v>
      </x:c>
      <x:c r="N215" t="str">
        <x:v>Sensor</x:v>
      </x:c>
      <x:c r="O215" t="str">
        <x:v>Leitura inconsistente</x:v>
      </x:c>
      <x:c r="P215" t="str">
        <x:v>Falha de nivelamento</x:v>
      </x:c>
      <x:c r="Q215"/>
      <x:c r="R215" t="str">
        <x:v>Condomínio Alameda</x:v>
      </x:c>
      <x:c r="S215" t="str">
        <x:v>Não</x:v>
      </x:c>
      <x:c r="T215" t="str">
        <x:v>Não</x:v>
      </x:c>
      <x:c r="U215" t="str">
        <x:v>CT-2026-004</x:v>
      </x:c>
      <x:c r="V215" t="str">
        <x:v>SP-Sul</x:v>
      </x:c>
      <x:c r="W215" t="str">
        <x:v>Carlos Souza</x:v>
      </x:c>
      <x:c r="X215" t="str">
        <x:v>Supervisor B</x:v>
      </x:c>
      <x:c r="Y215" t="str">
        <x:v>Rota Sul 04</x:v>
      </x:c>
      <x:c r="Z215" t="str">
        <x:v>R. das Acácias, 420 - São Paulo/SP</x:v>
      </x:c>
      <x:c r="AA215" t="str">
        <x:v>São Paulo</x:v>
      </x:c>
      <x:c r="AB215" s="50" t="n">
        <x:v>46273.50347222222</x:v>
      </x:c>
      <x:c r="AC215" s="50" t="n">
        <x:v>46273.50486111111</x:v>
      </x:c>
      <x:c r="AD215" s="50" t="n">
        <x:v>46273.50763888889</x:v>
      </x:c>
      <x:c r="AE215" s="50" t="n">
        <x:v>46273.52361111111</x:v>
      </x:c>
      <x:c r="AF215" s="50"/>
      <x:c r="AG215" t="n">
        <x:v>29</x:v>
      </x:c>
      <x:c r="AH215"/>
      <x:c r="AI215" t="str">
        <x:v>Não</x:v>
      </x:c>
      <x:c r="AJ215" t="str">
        <x:v>Não</x:v>
      </x:c>
      <x:c r="AK215" t="n">
        <x:v>180</x:v>
      </x:c>
      <x:c r="AL215" t="n">
        <x:v>0</x:v>
      </x:c>
      <x:c r="AM215" s="64" t="n">
        <x:v>0.3889</x:v>
      </x:c>
      <x:c r="AN215" t="n">
        <x:v>2</x:v>
      </x:c>
      <x:c r="AO215" t="str">
        <x:v>Amarelo</x:v>
      </x:c>
      <x:c r="AP215" t="str">
        <x:v>atenção: recorrências em 30 dias</x:v>
      </x:c>
      <x:c r="AQ215" t="str">
        <x:v>Acompanhar sinais em Sensor de Nível; correlacionar histórico e SLA antes de recomendar intervenção.</x:v>
      </x:c>
      <x:c r="AR215" s="62" t="n">
        <x:v>945</x:v>
      </x:c>
      <x:c r="AS215" t="str">
        <x:v>Médio</x:v>
      </x:c>
      <x:c r="AT215" s="50" t="n">
        <x:v>46273.552083333336</x:v>
      </x:c>
      <x:c r="AU215" t="str">
        <x:v>T07</x:v>
      </x:c>
      <x:c r="AV215" t="str">
        <x:v>Ocorrência adicional sintética; perfil inspirado em CH-20260908-010</x:v>
      </x:c>
    </x:row>
    <x:row r="216">
      <x:c r="A216" t="str">
        <x:v>CH-20260908-037</x:v>
      </x:c>
      <x:c r="B216" t="str">
        <x:v>Passageiro Preso</x:v>
      </x:c>
      <x:c r="C216" t="str">
        <x:v>Elevador parado entre andares</x:v>
      </x:c>
      <x:c r="D216" t="str">
        <x:v>Cabine imobilizada com passageiro no interior.</x:v>
      </x:c>
      <x:c r="E216" t="str">
        <x:v>Em atendimento</x:v>
      </x:c>
      <x:c r="F216" t="str">
        <x:v>Central de Atendimento</x:v>
      </x:c>
      <x:c r="G216" t="str">
        <x:v>E-137</x:v>
      </x:c>
      <x:c r="H216" t="str">
        <x:v>Elevador Social</x:v>
      </x:c>
      <x:c r="I216" t="str">
        <x:v>Microprocessado</x:v>
      </x:c>
      <x:c r="J216" t="str">
        <x:v>Gearless</x:v>
      </x:c>
      <x:c r="K216" t="str">
        <x:v>OTIS</x:v>
      </x:c>
      <x:c r="L216" t="str">
        <x:v>ROT-001</x:v>
      </x:c>
      <x:c r="M216" t="str">
        <x:v>Tração</x:v>
      </x:c>
      <x:c r="N216" t="str">
        <x:v>Freio</x:v>
      </x:c>
      <x:c r="O216" t="str">
        <x:v>Travamento</x:v>
      </x:c>
      <x:c r="P216" t="str">
        <x:v>Parada total</x:v>
      </x:c>
      <x:c r="Q216"/>
      <x:c r="R216" t="str">
        <x:v>Aeroporto Terminal 3</x:v>
      </x:c>
      <x:c r="S216" t="str">
        <x:v>Sim</x:v>
      </x:c>
      <x:c r="T216" t="str">
        <x:v>Sim</x:v>
      </x:c>
      <x:c r="U216" t="str">
        <x:v>CT-2026-005</x:v>
      </x:c>
      <x:c r="V216" t="str">
        <x:v>GRU</x:v>
      </x:c>
      <x:c r="W216" t="str">
        <x:v>Renata Alves</x:v>
      </x:c>
      <x:c r="X216" t="str">
        <x:v>Supervisor A</x:v>
      </x:c>
      <x:c r="Y216" t="str">
        <x:v>Rota GRU 05</x:v>
      </x:c>
      <x:c r="Z216" t="str">
        <x:v>Rod. Hélio Smidt, s/n - Guarulhos/SP</x:v>
      </x:c>
      <x:c r="AA216" t="str">
        <x:v>São Paulo</x:v>
      </x:c>
      <x:c r="AB216" s="50" t="n">
        <x:v>46273.513194444444</x:v>
      </x:c>
      <x:c r="AC216" s="50" t="n">
        <x:v>46273.51527777778</x:v>
      </x:c>
      <x:c r="AD216" s="50" t="n">
        <x:v>46273.51875</x:v>
      </x:c>
      <x:c r="AE216" s="50" t="n">
        <x:v>46273.54236111111</x:v>
      </x:c>
      <x:c r="AF216" s="50"/>
      <x:c r="AG216" t="n">
        <x:v>42</x:v>
      </x:c>
      <x:c r="AH216"/>
      <x:c r="AI216" t="str">
        <x:v>Sim</x:v>
      </x:c>
      <x:c r="AJ216" t="str">
        <x:v>Sim</x:v>
      </x:c>
      <x:c r="AK216" t="n">
        <x:v>45</x:v>
      </x:c>
      <x:c r="AL216" t="n">
        <x:v>0</x:v>
      </x:c>
      <x:c r="AM216" s="64" t="n">
        <x:v>1.2444</x:v>
      </x:c>
      <x:c r="AN216" t="n">
        <x:v>0</x:v>
      </x:c>
      <x:c r="AO216" t="str">
        <x:v>Vermelho</x:v>
      </x:c>
      <x:c r="AP216" t="str">
        <x:v>SLA sintético excedido (tempo acumulado ≥ 100% do SLA)</x:v>
      </x:c>
      <x:c r="AQ216" t="str">
        <x:v>Priorizar avaliação do chamado em Tração; SLA demonstrativo comprometido. Supervisor decide o encaminhamento.</x:v>
      </x:c>
      <x:c r="AR216" s="62" t="n">
        <x:v>1098.5</x:v>
      </x:c>
      <x:c r="AS216" t="str">
        <x:v>Médio</x:v>
      </x:c>
      <x:c r="AT216" s="50" t="n">
        <x:v>46273.552083333336</x:v>
      </x:c>
      <x:c r="AU216" t="str">
        <x:v>T07</x:v>
      </x:c>
      <x:c r="AV216" t="str">
        <x:v>Ocorrência adicional sintética; perfil inspirado em CH-20260908-017</x:v>
      </x:c>
    </x:row>
    <x:row r="217">
      <x:c r="A217" t="str">
        <x:v>CH-20260908-038</x:v>
      </x:c>
      <x:c r="B217" t="str">
        <x:v>Parada Intermitente</x:v>
      </x:c>
      <x:c r="C217" t="str">
        <x:v>Paradas aleatórias</x:v>
      </x:c>
      <x:c r="D217" t="str">
        <x:v>Equipamento interrompe operação de forma intermitente.</x:v>
      </x:c>
      <x:c r="E217" t="str">
        <x:v>Técnico a caminho</x:v>
      </x:c>
      <x:c r="F217" t="str">
        <x:v>Monitoramento Remoto</x:v>
      </x:c>
      <x:c r="G217" t="str">
        <x:v>E-138</x:v>
      </x:c>
      <x:c r="H217" t="str">
        <x:v>Elevador Social</x:v>
      </x:c>
      <x:c r="I217" t="str">
        <x:v>Microprocessado</x:v>
      </x:c>
      <x:c r="J217" t="str">
        <x:v>Gearless</x:v>
      </x:c>
      <x:c r="K217" t="str">
        <x:v>OTIS</x:v>
      </x:c>
      <x:c r="L217" t="str">
        <x:v>ROT-074</x:v>
      </x:c>
      <x:c r="M217" t="str">
        <x:v>Painel/Comando</x:v>
      </x:c>
      <x:c r="N217" t="str">
        <x:v>Placa</x:v>
      </x:c>
      <x:c r="O217" t="str">
        <x:v>Intermitência</x:v>
      </x:c>
      <x:c r="P217" t="str">
        <x:v>Falha intermitente</x:v>
      </x:c>
      <x:c r="Q217"/>
      <x:c r="R217" t="str">
        <x:v>Universidade Central</x:v>
      </x:c>
      <x:c r="S217" t="str">
        <x:v>Não</x:v>
      </x:c>
      <x:c r="T217" t="str">
        <x:v>Sim</x:v>
      </x:c>
      <x:c r="U217" t="str">
        <x:v>CT-2026-006</x:v>
      </x:c>
      <x:c r="V217" t="str">
        <x:v>SP-Leste</x:v>
      </x:c>
      <x:c r="W217" t="str">
        <x:v>Paulo Mendes</x:v>
      </x:c>
      <x:c r="X217" t="str">
        <x:v>Supervisor D</x:v>
      </x:c>
      <x:c r="Y217" t="str">
        <x:v>Rota Leste 06</x:v>
      </x:c>
      <x:c r="Z217" t="str">
        <x:v>Av. Central, 850 - São Paulo/SP</x:v>
      </x:c>
      <x:c r="AA217" t="str">
        <x:v>São Paulo</x:v>
      </x:c>
      <x:c r="AB217" s="50" t="n">
        <x:v>46273.524305555555</x:v>
      </x:c>
      <x:c r="AC217" s="50" t="n">
        <x:v>46273.527083333334</x:v>
      </x:c>
      <x:c r="AD217" s="50" t="n">
        <x:v>46273.53125</x:v>
      </x:c>
      <x:c r="AE217" s="50"/>
      <x:c r="AF217" s="50"/>
      <x:c r="AG217"/>
      <x:c r="AH217"/>
      <x:c r="AI217" t="str">
        <x:v>Não</x:v>
      </x:c>
      <x:c r="AJ217" t="str">
        <x:v>Sim</x:v>
      </x:c>
      <x:c r="AK217" t="n">
        <x:v>120</x:v>
      </x:c>
      <x:c r="AL217" t="n">
        <x:v>15</x:v>
      </x:c>
      <x:c r="AM217" s="64" t="n">
        <x:v>0.3333</x:v>
      </x:c>
      <x:c r="AN217" t="n">
        <x:v>4</x:v>
      </x:c>
      <x:c r="AO217" t="str">
        <x:v>Laranja</x:v>
      </x:c>
      <x:c r="AP217" t="str">
        <x:v>janela de intervenção: recorrência ≥ 4/30d e equipamento parado</x:v>
      </x:c>
      <x:c r="AQ217" t="str">
        <x:v>Janela de intervenção em Painel/Comando; revisar recorrências (4/30d) e contexto antes de escalar.</x:v>
      </x:c>
      <x:c r="AR217" s="62" t="n">
        <x:v>1617</x:v>
      </x:c>
      <x:c r="AS217" t="str">
        <x:v>Alto</x:v>
      </x:c>
      <x:c r="AT217" s="50" t="n">
        <x:v>46273.552083333336</x:v>
      </x:c>
      <x:c r="AU217" t="str">
        <x:v>T07</x:v>
      </x:c>
      <x:c r="AV217" t="str">
        <x:v>Ocorrência adicional sintética; perfil inspirado em CH-20260908-024</x:v>
      </x:c>
    </x:row>
    <x:row r="218">
      <x:c r="A218" t="str">
        <x:v>CH-20260908-039</x:v>
      </x:c>
      <x:c r="B218" t="str">
        <x:v>Botão de Chamada</x:v>
      </x:c>
      <x:c r="C218" t="str">
        <x:v>Botão não responde</x:v>
      </x:c>
      <x:c r="D218" t="str">
        <x:v>Botão de chamada não registra comando.</x:v>
      </x:c>
      <x:c r="E218" t="str">
        <x:v>Técnico a caminho</x:v>
      </x:c>
      <x:c r="F218" t="str">
        <x:v>Aplicativo Cliente</x:v>
      </x:c>
      <x:c r="G218" t="str">
        <x:v>E-139</x:v>
      </x:c>
      <x:c r="H218" t="str">
        <x:v>Elevador Social</x:v>
      </x:c>
      <x:c r="I218" t="str">
        <x:v>Microprocessado</x:v>
      </x:c>
      <x:c r="J218" t="str">
        <x:v>Gearless</x:v>
      </x:c>
      <x:c r="K218" t="str">
        <x:v>OTIS</x:v>
      </x:c>
      <x:c r="L218" t="str">
        <x:v>ROT-063</x:v>
      </x:c>
      <x:c r="M218" t="str">
        <x:v>Botoeira</x:v>
      </x:c>
      <x:c r="N218" t="str">
        <x:v>Contato</x:v>
      </x:c>
      <x:c r="O218" t="str">
        <x:v>Mau contato</x:v>
      </x:c>
      <x:c r="P218" t="str">
        <x:v>Falha de comando</x:v>
      </x:c>
      <x:c r="Q218"/>
      <x:c r="R218" t="str">
        <x:v>Hospital São Paulo</x:v>
      </x:c>
      <x:c r="S218" t="str">
        <x:v>Sim</x:v>
      </x:c>
      <x:c r="T218" t="str">
        <x:v>Sim</x:v>
      </x:c>
      <x:c r="U218" t="str">
        <x:v>CT-2026-001</x:v>
      </x:c>
      <x:c r="V218" t="str">
        <x:v>SP-Centro</x:v>
      </x:c>
      <x:c r="W218" t="str">
        <x:v>João Silva</x:v>
      </x:c>
      <x:c r="X218" t="str">
        <x:v>Supervisor C</x:v>
      </x:c>
      <x:c r="Y218" t="str">
        <x:v>Rota Centro 01</x:v>
      </x:c>
      <x:c r="Z218" t="str">
        <x:v>Av. Paulista, 1000 - São Paulo/SP</x:v>
      </x:c>
      <x:c r="AA218" t="str">
        <x:v>São Paulo</x:v>
      </x:c>
      <x:c r="AB218" s="50" t="n">
        <x:v>46273.53125</x:v>
      </x:c>
      <x:c r="AC218" s="50" t="n">
        <x:v>46273.53472222222</x:v>
      </x:c>
      <x:c r="AD218" s="50" t="n">
        <x:v>46273.53958333333</x:v>
      </x:c>
      <x:c r="AE218" s="50"/>
      <x:c r="AF218" s="50"/>
      <x:c r="AG218"/>
      <x:c r="AH218"/>
      <x:c r="AI218" t="str">
        <x:v>Não</x:v>
      </x:c>
      <x:c r="AJ218" t="str">
        <x:v>Não</x:v>
      </x:c>
      <x:c r="AK218" t="n">
        <x:v>60</x:v>
      </x:c>
      <x:c r="AL218" t="n">
        <x:v>38</x:v>
      </x:c>
      <x:c r="AM218" s="64" t="n">
        <x:v>0.5</x:v>
      </x:c>
      <x:c r="AN218" t="n">
        <x:v>2</x:v>
      </x:c>
      <x:c r="AO218" t="str">
        <x:v>Amarelo</x:v>
      </x:c>
      <x:c r="AP218" t="str">
        <x:v>atenção: recorrências em 30 dias</x:v>
      </x:c>
      <x:c r="AQ218" t="str">
        <x:v>Acompanhar sinais em Botoeira; correlacionar histórico e SLA antes de recomendar intervenção.</x:v>
      </x:c>
      <x:c r="AR218" s="62" t="n">
        <x:v>881.5</x:v>
      </x:c>
      <x:c r="AS218" t="str">
        <x:v>Baixo</x:v>
      </x:c>
      <x:c r="AT218" s="50" t="n">
        <x:v>46273.552083333336</x:v>
      </x:c>
      <x:c r="AU218" t="str">
        <x:v>T07</x:v>
      </x:c>
      <x:c r="AV218" t="str">
        <x:v>Ocorrência adicional sintética; perfil inspirado em CH-20260908-007</x:v>
      </x:c>
    </x:row>
    <x:row r="219">
      <x:c r="A219" t="str">
        <x:v>CH-20260908-040</x:v>
      </x:c>
      <x:c r="B219" t="str">
        <x:v>Iluminação de Cabine</x:v>
      </x:c>
      <x:c r="C219" t="str">
        <x:v>Iluminação inoperante</x:v>
      </x:c>
      <x:c r="D219" t="str">
        <x:v>Cabine com iluminação parcial ou total indisponível.</x:v>
      </x:c>
      <x:c r="E219" t="str">
        <x:v>Técnico a caminho</x:v>
      </x:c>
      <x:c r="F219" t="str">
        <x:v>IoT</x:v>
      </x:c>
      <x:c r="G219" t="str">
        <x:v>E-140</x:v>
      </x:c>
      <x:c r="H219" t="str">
        <x:v>Elevador Social</x:v>
      </x:c>
      <x:c r="I219" t="str">
        <x:v>Microprocessado</x:v>
      </x:c>
      <x:c r="J219" t="str">
        <x:v>Gearless</x:v>
      </x:c>
      <x:c r="K219" t="str">
        <x:v>OTIS</x:v>
      </x:c>
      <x:c r="L219" t="str">
        <x:v>ROT-052</x:v>
      </x:c>
      <x:c r="M219" t="str">
        <x:v>Elétrica</x:v>
      </x:c>
      <x:c r="N219" t="str">
        <x:v>Fonte</x:v>
      </x:c>
      <x:c r="O219" t="str">
        <x:v>Sem alimentação</x:v>
      </x:c>
      <x:c r="P219" t="str">
        <x:v>Falha elétrica</x:v>
      </x:c>
      <x:c r="Q219"/>
      <x:c r="R219" t="str">
        <x:v>Shopping Center Norte</x:v>
      </x:c>
      <x:c r="S219" t="str">
        <x:v>Não</x:v>
      </x:c>
      <x:c r="T219" t="str">
        <x:v>Sim</x:v>
      </x:c>
      <x:c r="U219" t="str">
        <x:v>CT-2026-002</x:v>
      </x:c>
      <x:c r="V219" t="str">
        <x:v>SP-Norte</x:v>
      </x:c>
      <x:c r="W219" t="str">
        <x:v>Marcos Lima</x:v>
      </x:c>
      <x:c r="X219" t="str">
        <x:v>Supervisor B</x:v>
      </x:c>
      <x:c r="Y219" t="str">
        <x:v>Rota Norte 02</x:v>
      </x:c>
      <x:c r="Z219" t="str">
        <x:v>Av. Otto Baumgart, 245 - São Paulo/SP</x:v>
      </x:c>
      <x:c r="AA219" t="str">
        <x:v>São Paulo</x:v>
      </x:c>
      <x:c r="AB219" s="50" t="n">
        <x:v>46273.53888888889</x:v>
      </x:c>
      <x:c r="AC219" s="50" t="n">
        <x:v>46273.54027777778</x:v>
      </x:c>
      <x:c r="AD219" s="50" t="n">
        <x:v>46273.54583333333</x:v>
      </x:c>
      <x:c r="AE219" s="50"/>
      <x:c r="AF219" s="50"/>
      <x:c r="AG219"/>
      <x:c r="AH219"/>
      <x:c r="AI219" t="str">
        <x:v>Não</x:v>
      </x:c>
      <x:c r="AJ219" t="str">
        <x:v>Não</x:v>
      </x:c>
      <x:c r="AK219" t="n">
        <x:v>90</x:v>
      </x:c>
      <x:c r="AL219" t="n">
        <x:v>11</x:v>
      </x:c>
      <x:c r="AM219" s="64" t="n">
        <x:v>0.2111</x:v>
      </x:c>
      <x:c r="AN219" t="n">
        <x:v>0</x:v>
      </x:c>
      <x:c r="AO219" t="str">
        <x:v>Verde</x:v>
      </x:c>
      <x:c r="AP219" t="str">
        <x:v>operação dentro dos limiares sintéticos da demonstração</x:v>
      </x:c>
      <x:c r="AQ219" t="str">
        <x:v>Manter acompanhamento do componente Elétrica e dos indicadores operacionais.</x:v>
      </x:c>
      <x:c r="AR219" s="62" t="n">
        <x:v>770</x:v>
      </x:c>
      <x:c r="AS219" t="str">
        <x:v>Médio</x:v>
      </x:c>
      <x:c r="AT219" s="50" t="n">
        <x:v>46273.552083333336</x:v>
      </x:c>
      <x:c r="AU219" t="str">
        <x:v>T07</x:v>
      </x:c>
      <x:c r="AV219" t="str">
        <x:v>Ocorrência adicional sintética; perfil inspirado em CH-20260908-014</x:v>
      </x:c>
    </x:row>
    <x:row r="220">
      <x:c r="A220" t="str">
        <x:v>CH-20260908-041</x:v>
      </x:c>
      <x:c r="B220" t="str">
        <x:v>Falha de Tração</x:v>
      </x:c>
      <x:c r="C220" t="str">
        <x:v>Movimento irregular</x:v>
      </x:c>
      <x:c r="D220" t="str">
        <x:v>Equipamento apresenta perda de tração.</x:v>
      </x:c>
      <x:c r="E220" t="str">
        <x:v>Contactado</x:v>
      </x:c>
      <x:c r="F220" t="str">
        <x:v>Central de Atendimento</x:v>
      </x:c>
      <x:c r="G220" t="str">
        <x:v>E-141</x:v>
      </x:c>
      <x:c r="H220" t="str">
        <x:v>Elevador Social</x:v>
      </x:c>
      <x:c r="I220" t="str">
        <x:v>Microprocessado</x:v>
      </x:c>
      <x:c r="J220" t="str">
        <x:v>Gearless</x:v>
      </x:c>
      <x:c r="K220" t="str">
        <x:v>OTIS</x:v>
      </x:c>
      <x:c r="L220" t="str">
        <x:v>ROT-041</x:v>
      </x:c>
      <x:c r="M220" t="str">
        <x:v>Máquina de Tração</x:v>
      </x:c>
      <x:c r="N220" t="str">
        <x:v>Inversor</x:v>
      </x:c>
      <x:c r="O220" t="str">
        <x:v>Oscilação</x:v>
      </x:c>
      <x:c r="P220" t="str">
        <x:v>Falha de movimento</x:v>
      </x:c>
      <x:c r="Q220"/>
      <x:c r="R220" t="str">
        <x:v>Edifício Corporate</x:v>
      </x:c>
      <x:c r="S220" t="str">
        <x:v>Não</x:v>
      </x:c>
      <x:c r="T220" t="str">
        <x:v>Sim</x:v>
      </x:c>
      <x:c r="U220" t="str">
        <x:v>CT-2026-003</x:v>
      </x:c>
      <x:c r="V220" t="str">
        <x:v>SP-Oeste</x:v>
      </x:c>
      <x:c r="W220" t="str">
        <x:v>Ana Costa</x:v>
      </x:c>
      <x:c r="X220" t="str">
        <x:v>Supervisor A</x:v>
      </x:c>
      <x:c r="Y220" t="str">
        <x:v>Rota Oeste 03</x:v>
      </x:c>
      <x:c r="Z220" t="str">
        <x:v>Av. Faria Lima, 3500 - São Paulo/SP</x:v>
      </x:c>
      <x:c r="AA220" t="str">
        <x:v>São Paulo</x:v>
      </x:c>
      <x:c r="AB220" s="50" t="n">
        <x:v>46273.54652777778</x:v>
      </x:c>
      <x:c r="AC220" s="50" t="n">
        <x:v>46273.54861111111</x:v>
      </x:c>
      <x:c r="AD220" s="50"/>
      <x:c r="AE220" s="50"/>
      <x:c r="AF220" s="50"/>
      <x:c r="AG220"/>
      <x:c r="AH220"/>
      <x:c r="AI220" t="str">
        <x:v>Não</x:v>
      </x:c>
      <x:c r="AJ220" t="str">
        <x:v>Sim</x:v>
      </x:c>
      <x:c r="AK220" t="n">
        <x:v>120</x:v>
      </x:c>
      <x:c r="AL220" t="n">
        <x:v>35</x:v>
      </x:c>
      <x:c r="AM220" s="64" t="n">
        <x:v>0.0667</x:v>
      </x:c>
      <x:c r="AN220" t="n">
        <x:v>1</x:v>
      </x:c>
      <x:c r="AO220" t="str">
        <x:v>Amarelo</x:v>
      </x:c>
      <x:c r="AP220" t="str">
        <x:v>atenção: condição operacional sensível</x:v>
      </x:c>
      <x:c r="AQ220" t="str">
        <x:v>Acompanhar sinais em Máquina de Tração; correlacionar histórico e SLA antes de recomendar intervenção.</x:v>
      </x:c>
      <x:c r="AR220" s="62" t="n">
        <x:v>1250.5</x:v>
      </x:c>
      <x:c r="AS220" t="str">
        <x:v>Alto</x:v>
      </x:c>
      <x:c r="AT220" s="50" t="n">
        <x:v>46273.552083333336</x:v>
      </x:c>
      <x:c r="AU220" t="str">
        <x:v>T07</x:v>
      </x:c>
      <x:c r="AV220" t="str">
        <x:v>Ocorrência adicional sintética; perfil inspirado em CH-20260908-021</x:v>
      </x:c>
    </x:row>
    <x:row r="221">
      <x:c r="A221" t="str">
        <x:v>CH-20260908-001</x:v>
      </x:c>
      <x:c r="B221" t="str">
        <x:v>Passageiro Preso</x:v>
      </x:c>
      <x:c r="C221" t="str">
        <x:v>Elevador parado entre andares</x:v>
      </x:c>
      <x:c r="D221" t="str">
        <x:v>Cabine imobilizada com passageiro no interior.</x:v>
      </x:c>
      <x:c r="E221" t="str">
        <x:v>Concluído</x:v>
      </x:c>
      <x:c r="F221" t="str">
        <x:v>Central de Atendimento</x:v>
      </x:c>
      <x:c r="G221" t="str">
        <x:v>E-101</x:v>
      </x:c>
      <x:c r="H221" t="str">
        <x:v>Elevador Social</x:v>
      </x:c>
      <x:c r="I221" t="str">
        <x:v>Microprocessado</x:v>
      </x:c>
      <x:c r="J221" t="str">
        <x:v>Gearless</x:v>
      </x:c>
      <x:c r="K221" t="str">
        <x:v>OTIS</x:v>
      </x:c>
      <x:c r="L221" t="str">
        <x:v>ROT-001</x:v>
      </x:c>
      <x:c r="M221" t="str">
        <x:v>Tração</x:v>
      </x:c>
      <x:c r="N221" t="str">
        <x:v>Freio</x:v>
      </x:c>
      <x:c r="O221" t="str">
        <x:v>Travamento</x:v>
      </x:c>
      <x:c r="P221" t="str">
        <x:v>Parada total</x:v>
      </x:c>
      <x:c r="Q221" t="str">
        <x:v>Resgate concluído e equipamento normalizado</x:v>
      </x:c>
      <x:c r="R221" t="str">
        <x:v>Hospital São Paulo</x:v>
      </x:c>
      <x:c r="S221" t="str">
        <x:v>Sim</x:v>
      </x:c>
      <x:c r="T221" t="str">
        <x:v>Sim</x:v>
      </x:c>
      <x:c r="U221" t="str">
        <x:v>CT-2026-001</x:v>
      </x:c>
      <x:c r="V221" t="str">
        <x:v>SP-Centro</x:v>
      </x:c>
      <x:c r="W221" t="str">
        <x:v>João Silva</x:v>
      </x:c>
      <x:c r="X221" t="str">
        <x:v>Supervisor A</x:v>
      </x:c>
      <x:c r="Y221" t="str">
        <x:v>Rota Centro 01</x:v>
      </x:c>
      <x:c r="Z221" t="str">
        <x:v>Av. Paulista, 1000 - São Paulo/SP</x:v>
      </x:c>
      <x:c r="AA221" t="str">
        <x:v>São Paulo</x:v>
      </x:c>
      <x:c r="AB221" s="50" t="n">
        <x:v>46273.3055555556</x:v>
      </x:c>
      <x:c r="AC221" s="50" t="n">
        <x:v>46273.3076388889</x:v>
      </x:c>
      <x:c r="AD221" s="50" t="n">
        <x:v>46273.3104166667</x:v>
      </x:c>
      <x:c r="AE221" s="50" t="n">
        <x:v>46273.3201388889</x:v>
      </x:c>
      <x:c r="AF221" s="50" t="n">
        <x:v>46273.3430555556</x:v>
      </x:c>
      <x:c r="AG221" t="n">
        <x:v>21</x:v>
      </x:c>
      <x:c r="AH221" t="n">
        <x:v>28</x:v>
      </x:c>
      <x:c r="AI221" t="str">
        <x:v>Sim</x:v>
      </x:c>
      <x:c r="AJ221" t="str">
        <x:v>Sim</x:v>
      </x:c>
      <x:c r="AK221" t="n">
        <x:v>60</x:v>
      </x:c>
      <x:c r="AL221" t="n">
        <x:v>0</x:v>
      </x:c>
      <x:c r="AM221" s="64" t="n">
        <x:v>0.8167</x:v>
      </x:c>
      <x:c r="AN221" t="n">
        <x:v>0</x:v>
      </x:c>
      <x:c r="AO221" t="str">
        <x:v>Amarelo</x:v>
      </x:c>
      <x:c r="AP221" t="str">
        <x:v>passageiro preso; SLA acima de 80%; carro parado</x:v>
      </x:c>
      <x:c r="AQ221" t="str">
        <x:v>Sem recorrência relevante; acompanhar evolução de Tração.</x:v>
      </x:c>
      <x:c r="AR221" s="62" t="n">
        <x:v>882</x:v>
      </x:c>
      <x:c r="AS221" t="str">
        <x:v>Médio</x:v>
      </x:c>
      <x:c r="AT221" s="50" t="n">
        <x:v>46273.583333333336</x:v>
      </x:c>
      <x:c r="AU221" t="str">
        <x:v>T08</x:v>
      </x:c>
      <x:c r="AV221" t="str">
        <x:v>T2 original + evolução sintética posterior</x:v>
      </x:c>
    </x:row>
    <x:row r="222">
      <x:c r="A222" t="str">
        <x:v>CH-20260908-002</x:v>
      </x:c>
      <x:c r="B222" t="str">
        <x:v>Falha de Nivelamento</x:v>
      </x:c>
      <x:c r="C222" t="str">
        <x:v>Cabine desnivelada</x:v>
      </x:c>
      <x:c r="D222" t="str">
        <x:v>Cabine parou fora do nível do pavimento.</x:v>
      </x:c>
      <x:c r="E222" t="str">
        <x:v>Concluído</x:v>
      </x:c>
      <x:c r="F222" t="str">
        <x:v>IoT</x:v>
      </x:c>
      <x:c r="G222" t="str">
        <x:v>E-102</x:v>
      </x:c>
      <x:c r="H222" t="str">
        <x:v>Elevador Social</x:v>
      </x:c>
      <x:c r="I222" t="str">
        <x:v>Microprocessado</x:v>
      </x:c>
      <x:c r="J222" t="str">
        <x:v>Gearless</x:v>
      </x:c>
      <x:c r="K222" t="str">
        <x:v>OTIS</x:v>
      </x:c>
      <x:c r="L222" t="str">
        <x:v>ROT-014</x:v>
      </x:c>
      <x:c r="M222" t="str">
        <x:v>Sensor de Nível</x:v>
      </x:c>
      <x:c r="N222" t="str">
        <x:v>Sensor</x:v>
      </x:c>
      <x:c r="O222" t="str">
        <x:v>Leitura inconsistente</x:v>
      </x:c>
      <x:c r="P222" t="str">
        <x:v>Falha de nivelamento</x:v>
      </x:c>
      <x:c r="Q222" t="str">
        <x:v>Sensor ajustado/substituído</x:v>
      </x:c>
      <x:c r="R222" t="str">
        <x:v>Shopping Center Norte</x:v>
      </x:c>
      <x:c r="S222" t="str">
        <x:v>Não</x:v>
      </x:c>
      <x:c r="T222" t="str">
        <x:v>Sim</x:v>
      </x:c>
      <x:c r="U222" t="str">
        <x:v>CT-2026-002</x:v>
      </x:c>
      <x:c r="V222" t="str">
        <x:v>SP-Norte</x:v>
      </x:c>
      <x:c r="W222" t="str">
        <x:v>Marcos Lima</x:v>
      </x:c>
      <x:c r="X222" t="str">
        <x:v>Supervisor B</x:v>
      </x:c>
      <x:c r="Y222" t="str">
        <x:v>Rota Norte 02</x:v>
      </x:c>
      <x:c r="Z222" t="str">
        <x:v>Av. Otto Baumgart, 245 - São Paulo/SP</x:v>
      </x:c>
      <x:c r="AA222" t="str">
        <x:v>São Paulo</x:v>
      </x:c>
      <x:c r="AB222" s="50" t="n">
        <x:v>46273.3090277778</x:v>
      </x:c>
      <x:c r="AC222" s="50" t="n">
        <x:v>46273.3118055556</x:v>
      </x:c>
      <x:c r="AD222" s="50" t="n">
        <x:v>46273.3159722222</x:v>
      </x:c>
      <x:c r="AE222" s="50" t="n">
        <x:v>46273.3340277778</x:v>
      </x:c>
      <x:c r="AF222" s="50" t="n">
        <x:v>46273.3652777778</x:v>
      </x:c>
      <x:c r="AG222" t="n">
        <x:v>36</x:v>
      </x:c>
      <x:c r="AH222" t="n">
        <x:v>40</x:v>
      </x:c>
      <x:c r="AI222" t="str">
        <x:v>Não</x:v>
      </x:c>
      <x:c r="AJ222" t="str">
        <x:v>Não</x:v>
      </x:c>
      <x:c r="AK222" t="n">
        <x:v>90</x:v>
      </x:c>
      <x:c r="AL222" t="n">
        <x:v>0</x:v>
      </x:c>
      <x:c r="AM222" s="64" t="n">
        <x:v>0.8444</x:v>
      </x:c>
      <x:c r="AN222" t="n">
        <x:v>1</x:v>
      </x:c>
      <x:c r="AO222" t="str">
        <x:v>Amarelo</x:v>
      </x:c>
      <x:c r="AP222" t="str">
        <x:v>SLA acima de 80%</x:v>
      </x:c>
      <x:c r="AQ222" t="str">
        <x:v>Há ocorrência recente semelhante; comparar solução anterior de Sensor de Nível.</x:v>
      </x:c>
      <x:c r="AR222" s="62" t="n">
        <x:v>664</x:v>
      </x:c>
      <x:c r="AS222" t="str">
        <x:v>Baixo</x:v>
      </x:c>
      <x:c r="AT222" s="50" t="n">
        <x:v>46273.583333333336</x:v>
      </x:c>
      <x:c r="AU222" t="str">
        <x:v>T08</x:v>
      </x:c>
      <x:c r="AV222" t="str">
        <x:v>T2 original + evolução sintética posterior</x:v>
      </x:c>
    </x:row>
    <x:row r="223">
      <x:c r="A223" t="str">
        <x:v>CH-20260908-003</x:v>
      </x:c>
      <x:c r="B223" t="str">
        <x:v>Porta não fecha</x:v>
      </x:c>
      <x:c r="C223" t="str">
        <x:v>Falha no fechamento</x:v>
      </x:c>
      <x:c r="D223" t="str">
        <x:v>Porta permanece aberta e impede partida.</x:v>
      </x:c>
      <x:c r="E223" t="str">
        <x:v>Concluído</x:v>
      </x:c>
      <x:c r="F223" t="str">
        <x:v>Aplicativo Cliente</x:v>
      </x:c>
      <x:c r="G223" t="str">
        <x:v>E-103</x:v>
      </x:c>
      <x:c r="H223" t="str">
        <x:v>Elevador Social</x:v>
      </x:c>
      <x:c r="I223" t="str">
        <x:v>Microprocessado</x:v>
      </x:c>
      <x:c r="J223" t="str">
        <x:v>Gearless</x:v>
      </x:c>
      <x:c r="K223" t="str">
        <x:v>OTIS</x:v>
      </x:c>
      <x:c r="L223" t="str">
        <x:v>ROT-021</x:v>
      </x:c>
      <x:c r="M223" t="str">
        <x:v>Operador de Porta</x:v>
      </x:c>
      <x:c r="N223" t="str">
        <x:v>Sensor de porta</x:v>
      </x:c>
      <x:c r="O223" t="str">
        <x:v>Falha de leitura</x:v>
      </x:c>
      <x:c r="P223" t="str">
        <x:v>Porta aberta</x:v>
      </x:c>
      <x:c r="Q223" t="str">
        <x:v>Sensor de porta ajustado</x:v>
      </x:c>
      <x:c r="R223" t="str">
        <x:v>Edifício Corporate</x:v>
      </x:c>
      <x:c r="S223" t="str">
        <x:v>Não</x:v>
      </x:c>
      <x:c r="T223" t="str">
        <x:v>Sim</x:v>
      </x:c>
      <x:c r="U223" t="str">
        <x:v>CT-2026-003</x:v>
      </x:c>
      <x:c r="V223" t="str">
        <x:v>SP-Oeste</x:v>
      </x:c>
      <x:c r="W223" t="str">
        <x:v>Ana Costa</x:v>
      </x:c>
      <x:c r="X223" t="str">
        <x:v>Supervisor C</x:v>
      </x:c>
      <x:c r="Y223" t="str">
        <x:v>Rota Oeste 03</x:v>
      </x:c>
      <x:c r="Z223" t="str">
        <x:v>Av. Faria Lima, 3500 - São Paulo/SP</x:v>
      </x:c>
      <x:c r="AA223" t="str">
        <x:v>São Paulo</x:v>
      </x:c>
      <x:c r="AB223" s="50" t="n">
        <x:v>46273.3118055556</x:v>
      </x:c>
      <x:c r="AC223" s="50" t="n">
        <x:v>46273.3152777778</x:v>
      </x:c>
      <x:c r="AD223" s="50" t="n">
        <x:v>46273.3166666667</x:v>
      </x:c>
      <x:c r="AE223" s="50" t="n">
        <x:v>46273.3395833333</x:v>
      </x:c>
      <x:c r="AF223" s="50" t="n">
        <x:v>46273.3784722222</x:v>
      </x:c>
      <x:c r="AG223" t="n">
        <x:v>40</x:v>
      </x:c>
      <x:c r="AH223" t="n">
        <x:v>51</x:v>
      </x:c>
      <x:c r="AI223" t="str">
        <x:v>Não</x:v>
      </x:c>
      <x:c r="AJ223" t="str">
        <x:v>Não</x:v>
      </x:c>
      <x:c r="AK223" t="n">
        <x:v>120</x:v>
      </x:c>
      <x:c r="AL223" t="n">
        <x:v>0</x:v>
      </x:c>
      <x:c r="AM223" s="64" t="n">
        <x:v>0.7583</x:v>
      </x:c>
      <x:c r="AN223" t="n">
        <x:v>2</x:v>
      </x:c>
      <x:c r="AO223" t="str">
        <x:v>Amarelo</x:v>
      </x:c>
      <x:c r="AP223" t="str">
        <x:v>2 recorrências/30d; SLA acima de 55%</x:v>
      </x:c>
      <x:c r="AQ223" t="str">
        <x:v>Há ocorrência recente semelhante; comparar solução anterior de Operador de Porta.</x:v>
      </x:c>
      <x:c r="AR223" s="62" t="n">
        <x:v>769</x:v>
      </x:c>
      <x:c r="AS223" t="str">
        <x:v>Médio</x:v>
      </x:c>
      <x:c r="AT223" s="50" t="n">
        <x:v>46273.583333333336</x:v>
      </x:c>
      <x:c r="AU223" t="str">
        <x:v>T08</x:v>
      </x:c>
      <x:c r="AV223" t="str">
        <x:v>T2 original + evolução sintética posterior</x:v>
      </x:c>
    </x:row>
    <x:row r="224">
      <x:c r="A224" t="str">
        <x:v>CH-20260908-004</x:v>
      </x:c>
      <x:c r="B224" t="str">
        <x:v>Painel sem comunicação</x:v>
      </x:c>
      <x:c r="C224" t="str">
        <x:v>Falha de comunicação</x:v>
      </x:c>
      <x:c r="D224" t="str">
        <x:v>Painel não responde aos comandos.</x:v>
      </x:c>
      <x:c r="E224" t="str">
        <x:v>Concluído</x:v>
      </x:c>
      <x:c r="F224" t="str">
        <x:v>Monitoramento Remoto</x:v>
      </x:c>
      <x:c r="G224" t="str">
        <x:v>E-104</x:v>
      </x:c>
      <x:c r="H224" t="str">
        <x:v>Elevador Social</x:v>
      </x:c>
      <x:c r="I224" t="str">
        <x:v>Microprocessado</x:v>
      </x:c>
      <x:c r="J224" t="str">
        <x:v>Gearless</x:v>
      </x:c>
      <x:c r="K224" t="str">
        <x:v>OTIS</x:v>
      </x:c>
      <x:c r="L224" t="str">
        <x:v>ROT-033</x:v>
      </x:c>
      <x:c r="M224" t="str">
        <x:v>Painel/Comando</x:v>
      </x:c>
      <x:c r="N224" t="str">
        <x:v>Interface</x:v>
      </x:c>
      <x:c r="O224" t="str">
        <x:v>Sem comunicação</x:v>
      </x:c>
      <x:c r="P224" t="str">
        <x:v>Falha lógica</x:v>
      </x:c>
      <x:c r="Q224" t="str">
        <x:v>Interface reinicializada/substituída</x:v>
      </x:c>
      <x:c r="R224" t="str">
        <x:v>Condomínio Alameda</x:v>
      </x:c>
      <x:c r="S224" t="str">
        <x:v>Não</x:v>
      </x:c>
      <x:c r="T224" t="str">
        <x:v>Não</x:v>
      </x:c>
      <x:c r="U224" t="str">
        <x:v>CT-2026-004</x:v>
      </x:c>
      <x:c r="V224" t="str">
        <x:v>SP-Sul</x:v>
      </x:c>
      <x:c r="W224" t="str">
        <x:v>Carlos Souza</x:v>
      </x:c>
      <x:c r="X224" t="str">
        <x:v>Supervisor D</x:v>
      </x:c>
      <x:c r="Y224" t="str">
        <x:v>Rota Sul 04</x:v>
      </x:c>
      <x:c r="Z224" t="str">
        <x:v>R. das Acácias, 420 - São Paulo/SP</x:v>
      </x:c>
      <x:c r="AA224" t="str">
        <x:v>São Paulo</x:v>
      </x:c>
      <x:c r="AB224" s="50" t="n">
        <x:v>46273.3145833333</x:v>
      </x:c>
      <x:c r="AC224" s="50" t="n">
        <x:v>46273.31875</x:v>
      </x:c>
      <x:c r="AD224" s="50" t="n">
        <x:v>46273.3215277778</x:v>
      </x:c>
      <x:c r="AE224" s="50" t="n">
        <x:v>46273.3493055556</x:v>
      </x:c>
      <x:c r="AF224" s="50" t="n">
        <x:v>46273.3958333333</x:v>
      </x:c>
      <x:c r="AG224" t="n">
        <x:v>50</x:v>
      </x:c>
      <x:c r="AH224" t="n">
        <x:v>62</x:v>
      </x:c>
      <x:c r="AI224" t="str">
        <x:v>Não</x:v>
      </x:c>
      <x:c r="AJ224" t="str">
        <x:v>Não</x:v>
      </x:c>
      <x:c r="AK224" t="n">
        <x:v>180</x:v>
      </x:c>
      <x:c r="AL224" t="n">
        <x:v>0</x:v>
      </x:c>
      <x:c r="AM224" s="64" t="n">
        <x:v>0.6222</x:v>
      </x:c>
      <x:c r="AN224" t="n">
        <x:v>3</x:v>
      </x:c>
      <x:c r="AO224" t="str">
        <x:v>Verde</x:v>
      </x:c>
      <x:c r="AP224" t="str">
        <x:v>3 recorrências/30d; SLA acima de 55%</x:v>
      </x:c>
      <x:c r="AQ224" t="str">
        <x:v>Recorrência elevada: verificar padrão histórico em Painel/Comando/Interface.</x:v>
      </x:c>
      <x:c r="AR224" s="62" t="n">
        <x:v>1594</x:v>
      </x:c>
      <x:c r="AS224" t="str">
        <x:v>Alto</x:v>
      </x:c>
      <x:c r="AT224" s="50" t="n">
        <x:v>46273.583333333336</x:v>
      </x:c>
      <x:c r="AU224" t="str">
        <x:v>T08</x:v>
      </x:c>
      <x:c r="AV224" t="str">
        <x:v>T2 original + evolução sintética posterior</x:v>
      </x:c>
    </x:row>
    <x:row r="225">
      <x:c r="A225" t="str">
        <x:v>CH-20260908-005</x:v>
      </x:c>
      <x:c r="B225" t="str">
        <x:v>Falha de Tração</x:v>
      </x:c>
      <x:c r="C225" t="str">
        <x:v>Movimento irregular</x:v>
      </x:c>
      <x:c r="D225" t="str">
        <x:v>Equipamento apresenta perda de tração.</x:v>
      </x:c>
      <x:c r="E225" t="str">
        <x:v>Concluído</x:v>
      </x:c>
      <x:c r="F225" t="str">
        <x:v>Central de Atendimento</x:v>
      </x:c>
      <x:c r="G225" t="str">
        <x:v>E-105</x:v>
      </x:c>
      <x:c r="H225" t="str">
        <x:v>Elevador Social</x:v>
      </x:c>
      <x:c r="I225" t="str">
        <x:v>Microprocessado</x:v>
      </x:c>
      <x:c r="J225" t="str">
        <x:v>Gearless</x:v>
      </x:c>
      <x:c r="K225" t="str">
        <x:v>OTIS</x:v>
      </x:c>
      <x:c r="L225" t="str">
        <x:v>ROT-041</x:v>
      </x:c>
      <x:c r="M225" t="str">
        <x:v>Máquina de Tração</x:v>
      </x:c>
      <x:c r="N225" t="str">
        <x:v>Inversor</x:v>
      </x:c>
      <x:c r="O225" t="str">
        <x:v>Oscilação</x:v>
      </x:c>
      <x:c r="P225" t="str">
        <x:v>Falha de movimento</x:v>
      </x:c>
      <x:c r="Q225" t="str">
        <x:v>Parâmetros do inversor corrigidos</x:v>
      </x:c>
      <x:c r="R225" t="str">
        <x:v>Aeroporto Terminal 3</x:v>
      </x:c>
      <x:c r="S225" t="str">
        <x:v>Sim</x:v>
      </x:c>
      <x:c r="T225" t="str">
        <x:v>Sim</x:v>
      </x:c>
      <x:c r="U225" t="str">
        <x:v>CT-2026-005</x:v>
      </x:c>
      <x:c r="V225" t="str">
        <x:v>GRU</x:v>
      </x:c>
      <x:c r="W225" t="str">
        <x:v>Renata Alves</x:v>
      </x:c>
      <x:c r="X225" t="str">
        <x:v>Supervisor A</x:v>
      </x:c>
      <x:c r="Y225" t="str">
        <x:v>Rota GRU 05</x:v>
      </x:c>
      <x:c r="Z225" t="str">
        <x:v>Rod. Hélio Smidt, s/n - Guarulhos/SP</x:v>
      </x:c>
      <x:c r="AA225" t="str">
        <x:v>São Paulo</x:v>
      </x:c>
      <x:c r="AB225" s="50" t="n">
        <x:v>46273.3180555556</x:v>
      </x:c>
      <x:c r="AC225" s="50" t="n">
        <x:v>46273.3194444444</x:v>
      </x:c>
      <x:c r="AD225" s="50" t="n">
        <x:v>46273.3236111111</x:v>
      </x:c>
      <x:c r="AE225" s="50" t="n">
        <x:v>46273.3319444444</x:v>
      </x:c>
      <x:c r="AF225" s="50" t="n">
        <x:v>46273.3861111111</x:v>
      </x:c>
      <x:c r="AG225" t="n">
        <x:v>20</x:v>
      </x:c>
      <x:c r="AH225" t="n">
        <x:v>73</x:v>
      </x:c>
      <x:c r="AI225" t="str">
        <x:v>Não</x:v>
      </x:c>
      <x:c r="AJ225" t="str">
        <x:v>Sim</x:v>
      </x:c>
      <x:c r="AK225" t="n">
        <x:v>45</x:v>
      </x:c>
      <x:c r="AL225" t="n">
        <x:v>0</x:v>
      </x:c>
      <x:c r="AM225" s="64" t="n">
        <x:v>2.0667</x:v>
      </x:c>
      <x:c r="AN225" t="n">
        <x:v>1</x:v>
      </x:c>
      <x:c r="AO225" t="str">
        <x:v>Vermelho</x:v>
      </x:c>
      <x:c r="AP225" t="str">
        <x:v>SLA estourado; carro parado</x:v>
      </x:c>
      <x:c r="AQ225" t="str">
        <x:v>Há ocorrência recente semelhante; comparar solução anterior de Máquina de Tração.</x:v>
      </x:c>
      <x:c r="AR225" s="62" t="n">
        <x:v>1259</x:v>
      </x:c>
      <x:c r="AS225" t="str">
        <x:v>Alto</x:v>
      </x:c>
      <x:c r="AT225" s="50" t="n">
        <x:v>46273.583333333336</x:v>
      </x:c>
      <x:c r="AU225" t="str">
        <x:v>T08</x:v>
      </x:c>
      <x:c r="AV225" t="str">
        <x:v>T2 original + evolução sintética posterior</x:v>
      </x:c>
    </x:row>
    <x:row r="226">
      <x:c r="A226" t="str">
        <x:v>CH-20260908-006</x:v>
      </x:c>
      <x:c r="B226" t="str">
        <x:v>Iluminação de Cabine</x:v>
      </x:c>
      <x:c r="C226" t="str">
        <x:v>Iluminação inoperante</x:v>
      </x:c>
      <x:c r="D226" t="str">
        <x:v>Cabine com iluminação parcial ou total indisponível.</x:v>
      </x:c>
      <x:c r="E226" t="str">
        <x:v>Concluído</x:v>
      </x:c>
      <x:c r="F226" t="str">
        <x:v>IoT</x:v>
      </x:c>
      <x:c r="G226" t="str">
        <x:v>E-106</x:v>
      </x:c>
      <x:c r="H226" t="str">
        <x:v>Elevador Social</x:v>
      </x:c>
      <x:c r="I226" t="str">
        <x:v>Microprocessado</x:v>
      </x:c>
      <x:c r="J226" t="str">
        <x:v>Gearless</x:v>
      </x:c>
      <x:c r="K226" t="str">
        <x:v>OTIS</x:v>
      </x:c>
      <x:c r="L226" t="str">
        <x:v>ROT-052</x:v>
      </x:c>
      <x:c r="M226" t="str">
        <x:v>Elétrica</x:v>
      </x:c>
      <x:c r="N226" t="str">
        <x:v>Fonte</x:v>
      </x:c>
      <x:c r="O226" t="str">
        <x:v>Sem alimentação</x:v>
      </x:c>
      <x:c r="P226" t="str">
        <x:v>Falha elétrica</x:v>
      </x:c>
      <x:c r="Q226" t="str">
        <x:v>Fonte substituída</x:v>
      </x:c>
      <x:c r="R226" t="str">
        <x:v>Universidade Central</x:v>
      </x:c>
      <x:c r="S226" t="str">
        <x:v>Não</x:v>
      </x:c>
      <x:c r="T226" t="str">
        <x:v>Sim</x:v>
      </x:c>
      <x:c r="U226" t="str">
        <x:v>CT-2026-006</x:v>
      </x:c>
      <x:c r="V226" t="str">
        <x:v>SP-Leste</x:v>
      </x:c>
      <x:c r="W226" t="str">
        <x:v>Paulo Mendes</x:v>
      </x:c>
      <x:c r="X226" t="str">
        <x:v>Supervisor B</x:v>
      </x:c>
      <x:c r="Y226" t="str">
        <x:v>Rota Leste 06</x:v>
      </x:c>
      <x:c r="Z226" t="str">
        <x:v>Av. Central, 850 - São Paulo/SP</x:v>
      </x:c>
      <x:c r="AA226" t="str">
        <x:v>São Paulo</x:v>
      </x:c>
      <x:c r="AB226" s="50" t="n">
        <x:v>46273.3215277778</x:v>
      </x:c>
      <x:c r="AC226" s="50" t="n">
        <x:v>46273.3236111111</x:v>
      </x:c>
      <x:c r="AD226" s="50" t="n">
        <x:v>46273.325</x:v>
      </x:c>
      <x:c r="AE226" s="50" t="n">
        <x:v>46273.3388888889</x:v>
      </x:c>
      <x:c r="AF226" s="50" t="n">
        <x:v>46273.3569444444</x:v>
      </x:c>
      <x:c r="AG226" t="n">
        <x:v>25</x:v>
      </x:c>
      <x:c r="AH226" t="n">
        <x:v>21</x:v>
      </x:c>
      <x:c r="AI226" t="str">
        <x:v>Não</x:v>
      </x:c>
      <x:c r="AJ226" t="str">
        <x:v>Não</x:v>
      </x:c>
      <x:c r="AK226" t="n">
        <x:v>120</x:v>
      </x:c>
      <x:c r="AL226" t="n">
        <x:v>0</x:v>
      </x:c>
      <x:c r="AM226" s="64" t="n">
        <x:v>0.3833</x:v>
      </x:c>
      <x:c r="AN226" t="n">
        <x:v>0</x:v>
      </x:c>
      <x:c r="AO226" t="str">
        <x:v>Verde</x:v>
      </x:c>
      <x:c r="AP226" t="str">
        <x:v>operação dentro do esperado</x:v>
      </x:c>
      <x:c r="AQ226" t="str">
        <x:v>Sem recorrência relevante; acompanhar evolução de Elétrica.</x:v>
      </x:c>
      <x:c r="AR226" s="62" t="n">
        <x:v>507</x:v>
      </x:c>
      <x:c r="AS226" t="str">
        <x:v>Baixo</x:v>
      </x:c>
      <x:c r="AT226" s="50" t="n">
        <x:v>46273.583333333336</x:v>
      </x:c>
      <x:c r="AU226" t="str">
        <x:v>T08</x:v>
      </x:c>
      <x:c r="AV226" t="str">
        <x:v>T2 original + evolução sintética posterior</x:v>
      </x:c>
    </x:row>
    <x:row r="227">
      <x:c r="A227" t="str">
        <x:v>CH-20260908-007</x:v>
      </x:c>
      <x:c r="B227" t="str">
        <x:v>Botão de Chamada</x:v>
      </x:c>
      <x:c r="C227" t="str">
        <x:v>Botão não responde</x:v>
      </x:c>
      <x:c r="D227" t="str">
        <x:v>Botão de chamada não registra comando.</x:v>
      </x:c>
      <x:c r="E227" t="str">
        <x:v>Concluído</x:v>
      </x:c>
      <x:c r="F227" t="str">
        <x:v>Aplicativo Cliente</x:v>
      </x:c>
      <x:c r="G227" t="str">
        <x:v>E-107</x:v>
      </x:c>
      <x:c r="H227" t="str">
        <x:v>Elevador Social</x:v>
      </x:c>
      <x:c r="I227" t="str">
        <x:v>Microprocessado</x:v>
      </x:c>
      <x:c r="J227" t="str">
        <x:v>Gearless</x:v>
      </x:c>
      <x:c r="K227" t="str">
        <x:v>OTIS</x:v>
      </x:c>
      <x:c r="L227" t="str">
        <x:v>ROT-063</x:v>
      </x:c>
      <x:c r="M227" t="str">
        <x:v>Botoeira</x:v>
      </x:c>
      <x:c r="N227" t="str">
        <x:v>Contato</x:v>
      </x:c>
      <x:c r="O227" t="str">
        <x:v>Mau contato</x:v>
      </x:c>
      <x:c r="P227" t="str">
        <x:v>Falha de comando</x:v>
      </x:c>
      <x:c r="Q227" t="str">
        <x:v>Contato reparado</x:v>
      </x:c>
      <x:c r="R227" t="str">
        <x:v>Hospital São Paulo</x:v>
      </x:c>
      <x:c r="S227" t="str">
        <x:v>Sim</x:v>
      </x:c>
      <x:c r="T227" t="str">
        <x:v>Sim</x:v>
      </x:c>
      <x:c r="U227" t="str">
        <x:v>CT-2026-001</x:v>
      </x:c>
      <x:c r="V227" t="str">
        <x:v>SP-Centro</x:v>
      </x:c>
      <x:c r="W227" t="str">
        <x:v>João Silva</x:v>
      </x:c>
      <x:c r="X227" t="str">
        <x:v>Supervisor C</x:v>
      </x:c>
      <x:c r="Y227" t="str">
        <x:v>Rota Centro 01</x:v>
      </x:c>
      <x:c r="Z227" t="str">
        <x:v>Av. Paulista, 1000 - São Paulo/SP</x:v>
      </x:c>
      <x:c r="AA227" t="str">
        <x:v>São Paulo</x:v>
      </x:c>
      <x:c r="AB227" s="50" t="n">
        <x:v>46273.3243055556</x:v>
      </x:c>
      <x:c r="AC227" s="50" t="n">
        <x:v>46273.3270833333</x:v>
      </x:c>
      <x:c r="AD227" s="50" t="n">
        <x:v>46273.3298611111</x:v>
      </x:c>
      <x:c r="AE227" s="50" t="n">
        <x:v>46273.3486111111</x:v>
      </x:c>
      <x:c r="AF227" s="50" t="n">
        <x:v>46273.3743055556</x:v>
      </x:c>
      <x:c r="AG227" t="n">
        <x:v>35</x:v>
      </x:c>
      <x:c r="AH227" t="n">
        <x:v>32</x:v>
      </x:c>
      <x:c r="AI227" t="str">
        <x:v>Não</x:v>
      </x:c>
      <x:c r="AJ227" t="str">
        <x:v>Não</x:v>
      </x:c>
      <x:c r="AK227" t="n">
        <x:v>60</x:v>
      </x:c>
      <x:c r="AL227" t="n">
        <x:v>0</x:v>
      </x:c>
      <x:c r="AM227" s="64" t="n">
        <x:v>1.1167</x:v>
      </x:c>
      <x:c r="AN227" t="n">
        <x:v>2</x:v>
      </x:c>
      <x:c r="AO227" t="str">
        <x:v>Vermelho</x:v>
      </x:c>
      <x:c r="AP227" t="str">
        <x:v>2 recorrências/30d; SLA estourado</x:v>
      </x:c>
      <x:c r="AQ227" t="str">
        <x:v>Há ocorrência recente semelhante; comparar solução anterior de Botoeira.</x:v>
      </x:c>
      <x:c r="AR227" s="62" t="n">
        <x:v>612</x:v>
      </x:c>
      <x:c r="AS227" t="str">
        <x:v>Baixo</x:v>
      </x:c>
      <x:c r="AT227" s="50" t="n">
        <x:v>46273.583333333336</x:v>
      </x:c>
      <x:c r="AU227" t="str">
        <x:v>T08</x:v>
      </x:c>
      <x:c r="AV227" t="str">
        <x:v>T2 original + evolução sintética posterior</x:v>
      </x:c>
    </x:row>
    <x:row r="228">
      <x:c r="A228" t="str">
        <x:v>CH-20260908-008</x:v>
      </x:c>
      <x:c r="B228" t="str">
        <x:v>Parada Intermitente</x:v>
      </x:c>
      <x:c r="C228" t="str">
        <x:v>Paradas aleatórias</x:v>
      </x:c>
      <x:c r="D228" t="str">
        <x:v>Equipamento interrompe operação de forma intermitente.</x:v>
      </x:c>
      <x:c r="E228" t="str">
        <x:v>Concluído</x:v>
      </x:c>
      <x:c r="F228" t="str">
        <x:v>Monitoramento Remoto</x:v>
      </x:c>
      <x:c r="G228" t="str">
        <x:v>E-108</x:v>
      </x:c>
      <x:c r="H228" t="str">
        <x:v>Elevador Social</x:v>
      </x:c>
      <x:c r="I228" t="str">
        <x:v>Microprocessado</x:v>
      </x:c>
      <x:c r="J228" t="str">
        <x:v>Gearless</x:v>
      </x:c>
      <x:c r="K228" t="str">
        <x:v>OTIS</x:v>
      </x:c>
      <x:c r="L228" t="str">
        <x:v>ROT-074</x:v>
      </x:c>
      <x:c r="M228" t="str">
        <x:v>Painel/Comando</x:v>
      </x:c>
      <x:c r="N228" t="str">
        <x:v>Placa</x:v>
      </x:c>
      <x:c r="O228" t="str">
        <x:v>Intermitência</x:v>
      </x:c>
      <x:c r="P228" t="str">
        <x:v>Falha intermitente</x:v>
      </x:c>
      <x:c r="Q228" t="str">
        <x:v>Placa revisada e teste funcional</x:v>
      </x:c>
      <x:c r="R228" t="str">
        <x:v>Shopping Center Norte</x:v>
      </x:c>
      <x:c r="S228" t="str">
        <x:v>Não</x:v>
      </x:c>
      <x:c r="T228" t="str">
        <x:v>Sim</x:v>
      </x:c>
      <x:c r="U228" t="str">
        <x:v>CT-2026-002</x:v>
      </x:c>
      <x:c r="V228" t="str">
        <x:v>SP-Norte</x:v>
      </x:c>
      <x:c r="W228" t="str">
        <x:v>Marcos Lima</x:v>
      </x:c>
      <x:c r="X228" t="str">
        <x:v>Supervisor D</x:v>
      </x:c>
      <x:c r="Y228" t="str">
        <x:v>Rota Norte 02</x:v>
      </x:c>
      <x:c r="Z228" t="str">
        <x:v>Av. Otto Baumgart, 245 - São Paulo/SP</x:v>
      </x:c>
      <x:c r="AA228" t="str">
        <x:v>São Paulo</x:v>
      </x:c>
      <x:c r="AB228" s="50" t="n">
        <x:v>46273.3270833333</x:v>
      </x:c>
      <x:c r="AC228" s="50" t="n">
        <x:v>46273.3305555556</x:v>
      </x:c>
      <x:c r="AD228" s="50" t="n">
        <x:v>46273.3347222222</x:v>
      </x:c>
      <x:c r="AE228" s="50" t="n">
        <x:v>46273.3583333333</x:v>
      </x:c>
      <x:c r="AF228" s="50" t="n">
        <x:v>46273.3916666667</x:v>
      </x:c>
      <x:c r="AG228" t="n">
        <x:v>45</x:v>
      </x:c>
      <x:c r="AH228" t="n">
        <x:v>43</x:v>
      </x:c>
      <x:c r="AI228" t="str">
        <x:v>Não</x:v>
      </x:c>
      <x:c r="AJ228" t="str">
        <x:v>Sim</x:v>
      </x:c>
      <x:c r="AK228" t="n">
        <x:v>90</x:v>
      </x:c>
      <x:c r="AL228" t="n">
        <x:v>0</x:v>
      </x:c>
      <x:c r="AM228" s="64" t="n">
        <x:v>0.9778</x:v>
      </x:c>
      <x:c r="AN228" t="n">
        <x:v>4</x:v>
      </x:c>
      <x:c r="AO228" t="str">
        <x:v>Laranja</x:v>
      </x:c>
      <x:c r="AP228" t="str">
        <x:v>4 recorrências/30d; SLA acima de 80%; carro parado</x:v>
      </x:c>
      <x:c r="AQ228" t="str">
        <x:v>Recorrência elevada: verificar padrão histórico em Painel/Comando/Placa.</x:v>
      </x:c>
      <x:c r="AR228" s="62" t="n">
        <x:v>1437</x:v>
      </x:c>
      <x:c r="AS228" t="str">
        <x:v>Alto</x:v>
      </x:c>
      <x:c r="AT228" s="50" t="n">
        <x:v>46273.583333333336</x:v>
      </x:c>
      <x:c r="AU228" t="str">
        <x:v>T08</x:v>
      </x:c>
      <x:c r="AV228" t="str">
        <x:v>T2 original + evolução sintética posterior</x:v>
      </x:c>
    </x:row>
    <x:row r="229">
      <x:c r="A229" t="str">
        <x:v>CH-20260908-009</x:v>
      </x:c>
      <x:c r="B229" t="str">
        <x:v>Passageiro Preso</x:v>
      </x:c>
      <x:c r="C229" t="str">
        <x:v>Elevador parado entre andares</x:v>
      </x:c>
      <x:c r="D229" t="str">
        <x:v>Cabine imobilizada com passageiro no interior.</x:v>
      </x:c>
      <x:c r="E229" t="str">
        <x:v>Concluído</x:v>
      </x:c>
      <x:c r="F229" t="str">
        <x:v>Central de Atendimento</x:v>
      </x:c>
      <x:c r="G229" t="str">
        <x:v>E-109</x:v>
      </x:c>
      <x:c r="H229" t="str">
        <x:v>Elevador Social</x:v>
      </x:c>
      <x:c r="I229" t="str">
        <x:v>Microprocessado</x:v>
      </x:c>
      <x:c r="J229" t="str">
        <x:v>Gearless</x:v>
      </x:c>
      <x:c r="K229" t="str">
        <x:v>OTIS</x:v>
      </x:c>
      <x:c r="L229" t="str">
        <x:v>ROT-001</x:v>
      </x:c>
      <x:c r="M229" t="str">
        <x:v>Tração</x:v>
      </x:c>
      <x:c r="N229" t="str">
        <x:v>Freio</x:v>
      </x:c>
      <x:c r="O229" t="str">
        <x:v>Travamento</x:v>
      </x:c>
      <x:c r="P229" t="str">
        <x:v>Parada total</x:v>
      </x:c>
      <x:c r="Q229" t="str">
        <x:v>Resgate concluído e equipamento normalizado</x:v>
      </x:c>
      <x:c r="R229" t="str">
        <x:v>Edifício Corporate</x:v>
      </x:c>
      <x:c r="S229" t="str">
        <x:v>Não</x:v>
      </x:c>
      <x:c r="T229" t="str">
        <x:v>Sim</x:v>
      </x:c>
      <x:c r="U229" t="str">
        <x:v>CT-2026-003</x:v>
      </x:c>
      <x:c r="V229" t="str">
        <x:v>SP-Oeste</x:v>
      </x:c>
      <x:c r="W229" t="str">
        <x:v>Ana Costa</x:v>
      </x:c>
      <x:c r="X229" t="str">
        <x:v>Supervisor A</x:v>
      </x:c>
      <x:c r="Y229" t="str">
        <x:v>Rota Oeste 03</x:v>
      </x:c>
      <x:c r="Z229" t="str">
        <x:v>Av. Faria Lima, 3500 - São Paulo/SP</x:v>
      </x:c>
      <x:c r="AA229" t="str">
        <x:v>São Paulo</x:v>
      </x:c>
      <x:c r="AB229" s="50" t="n">
        <x:v>46273.3298611111</x:v>
      </x:c>
      <x:c r="AC229" s="50" t="n">
        <x:v>46273.3340277778</x:v>
      </x:c>
      <x:c r="AD229" s="50" t="n">
        <x:v>46273.3354166667</x:v>
      </x:c>
      <x:c r="AE229" s="50" t="n">
        <x:v>46273.3604166667</x:v>
      </x:c>
      <x:c r="AF229" s="50" t="n">
        <x:v>46273.3833333333</x:v>
      </x:c>
      <x:c r="AG229" t="n">
        <x:v>44</x:v>
      </x:c>
      <x:c r="AH229" t="n">
        <x:v>28</x:v>
      </x:c>
      <x:c r="AI229" t="str">
        <x:v>Sim</x:v>
      </x:c>
      <x:c r="AJ229" t="str">
        <x:v>Sim</x:v>
      </x:c>
      <x:c r="AK229" t="n">
        <x:v>120</x:v>
      </x:c>
      <x:c r="AL229" t="n">
        <x:v>0</x:v>
      </x:c>
      <x:c r="AM229" s="64" t="n">
        <x:v>0.6</x:v>
      </x:c>
      <x:c r="AN229" t="n">
        <x:v>0</x:v>
      </x:c>
      <x:c r="AO229" t="str">
        <x:v>Verde</x:v>
      </x:c>
      <x:c r="AP229" t="str">
        <x:v>passageiro preso; SLA acima de 55%; carro parado</x:v>
      </x:c>
      <x:c r="AQ229" t="str">
        <x:v>Sem recorrência relevante; acompanhar evolução de Tração.</x:v>
      </x:c>
      <x:c r="AR229" s="62" t="n">
        <x:v>970</x:v>
      </x:c>
      <x:c r="AS229" t="str">
        <x:v>Médio</x:v>
      </x:c>
      <x:c r="AT229" s="50" t="n">
        <x:v>46273.583333333336</x:v>
      </x:c>
      <x:c r="AU229" t="str">
        <x:v>T08</x:v>
      </x:c>
      <x:c r="AV229" t="str">
        <x:v>T2 original + evolução sintética posterior</x:v>
      </x:c>
    </x:row>
    <x:row r="230">
      <x:c r="A230" t="str">
        <x:v>CH-20260908-010</x:v>
      </x:c>
      <x:c r="B230" t="str">
        <x:v>Falha de Nivelamento</x:v>
      </x:c>
      <x:c r="C230" t="str">
        <x:v>Cabine desnivelada</x:v>
      </x:c>
      <x:c r="D230" t="str">
        <x:v>Cabine parou fora do nível do pavimento.</x:v>
      </x:c>
      <x:c r="E230" t="str">
        <x:v>Concluído</x:v>
      </x:c>
      <x:c r="F230" t="str">
        <x:v>IoT</x:v>
      </x:c>
      <x:c r="G230" t="str">
        <x:v>E-110</x:v>
      </x:c>
      <x:c r="H230" t="str">
        <x:v>Elevador Social</x:v>
      </x:c>
      <x:c r="I230" t="str">
        <x:v>Microprocessado</x:v>
      </x:c>
      <x:c r="J230" t="str">
        <x:v>Gearless</x:v>
      </x:c>
      <x:c r="K230" t="str">
        <x:v>OTIS</x:v>
      </x:c>
      <x:c r="L230" t="str">
        <x:v>ROT-014</x:v>
      </x:c>
      <x:c r="M230" t="str">
        <x:v>Sensor de Nível</x:v>
      </x:c>
      <x:c r="N230" t="str">
        <x:v>Sensor</x:v>
      </x:c>
      <x:c r="O230" t="str">
        <x:v>Leitura inconsistente</x:v>
      </x:c>
      <x:c r="P230" t="str">
        <x:v>Falha de nivelamento</x:v>
      </x:c>
      <x:c r="Q230" t="str">
        <x:v>Sensor ajustado/substituído</x:v>
      </x:c>
      <x:c r="R230" t="str">
        <x:v>Condomínio Alameda</x:v>
      </x:c>
      <x:c r="S230" t="str">
        <x:v>Não</x:v>
      </x:c>
      <x:c r="T230" t="str">
        <x:v>Não</x:v>
      </x:c>
      <x:c r="U230" t="str">
        <x:v>CT-2026-004</x:v>
      </x:c>
      <x:c r="V230" t="str">
        <x:v>SP-Sul</x:v>
      </x:c>
      <x:c r="W230" t="str">
        <x:v>Carlos Souza</x:v>
      </x:c>
      <x:c r="X230" t="str">
        <x:v>Supervisor B</x:v>
      </x:c>
      <x:c r="Y230" t="str">
        <x:v>Rota Sul 04</x:v>
      </x:c>
      <x:c r="Z230" t="str">
        <x:v>R. das Acácias, 420 - São Paulo/SP</x:v>
      </x:c>
      <x:c r="AA230" t="str">
        <x:v>São Paulo</x:v>
      </x:c>
      <x:c r="AB230" s="50" t="n">
        <x:v>46273.3326388889</x:v>
      </x:c>
      <x:c r="AC230" s="50" t="n">
        <x:v>46273.3340277778</x:v>
      </x:c>
      <x:c r="AD230" s="50" t="n">
        <x:v>46273.3368055556</x:v>
      </x:c>
      <x:c r="AE230" s="50" t="n">
        <x:v>46273.3465277778</x:v>
      </x:c>
      <x:c r="AF230" s="50" t="n">
        <x:v>46273.3951388889</x:v>
      </x:c>
      <x:c r="AG230" t="n">
        <x:v>20</x:v>
      </x:c>
      <x:c r="AH230" t="n">
        <x:v>65</x:v>
      </x:c>
      <x:c r="AI230" t="str">
        <x:v>Não</x:v>
      </x:c>
      <x:c r="AJ230" t="str">
        <x:v>Não</x:v>
      </x:c>
      <x:c r="AK230" t="n">
        <x:v>180</x:v>
      </x:c>
      <x:c r="AL230" t="n">
        <x:v>0</x:v>
      </x:c>
      <x:c r="AM230" s="64" t="n">
        <x:v>0.4722</x:v>
      </x:c>
      <x:c r="AN230" t="n">
        <x:v>1</x:v>
      </x:c>
      <x:c r="AO230" t="str">
        <x:v>Verde</x:v>
      </x:c>
      <x:c r="AP230" t="str">
        <x:v>operação dentro do esperado</x:v>
      </x:c>
      <x:c r="AQ230" t="str">
        <x:v>Há ocorrência recente semelhante; comparar solução anterior de Sensor de Nível.</x:v>
      </x:c>
      <x:c r="AR230" s="62" t="n">
        <x:v>791</x:v>
      </x:c>
      <x:c r="AS230" t="str">
        <x:v>Médio</x:v>
      </x:c>
      <x:c r="AT230" s="50" t="n">
        <x:v>46273.583333333336</x:v>
      </x:c>
      <x:c r="AU230" t="str">
        <x:v>T08</x:v>
      </x:c>
      <x:c r="AV230" t="str">
        <x:v>T2 original + evolução sintética posterior</x:v>
      </x:c>
    </x:row>
    <x:row r="231">
      <x:c r="A231" t="str">
        <x:v>CH-20260908-011</x:v>
      </x:c>
      <x:c r="B231" t="str">
        <x:v>Porta não fecha</x:v>
      </x:c>
      <x:c r="C231" t="str">
        <x:v>Falha no fechamento</x:v>
      </x:c>
      <x:c r="D231" t="str">
        <x:v>Porta permanece aberta e impede partida.</x:v>
      </x:c>
      <x:c r="E231" t="str">
        <x:v>Concluído</x:v>
      </x:c>
      <x:c r="F231" t="str">
        <x:v>Aplicativo Cliente</x:v>
      </x:c>
      <x:c r="G231" t="str">
        <x:v>E-111</x:v>
      </x:c>
      <x:c r="H231" t="str">
        <x:v>Elevador Social</x:v>
      </x:c>
      <x:c r="I231" t="str">
        <x:v>Microprocessado</x:v>
      </x:c>
      <x:c r="J231" t="str">
        <x:v>Gearless</x:v>
      </x:c>
      <x:c r="K231" t="str">
        <x:v>OTIS</x:v>
      </x:c>
      <x:c r="L231" t="str">
        <x:v>ROT-021</x:v>
      </x:c>
      <x:c r="M231" t="str">
        <x:v>Operador de Porta</x:v>
      </x:c>
      <x:c r="N231" t="str">
        <x:v>Sensor de porta</x:v>
      </x:c>
      <x:c r="O231" t="str">
        <x:v>Falha de leitura</x:v>
      </x:c>
      <x:c r="P231" t="str">
        <x:v>Porta aberta</x:v>
      </x:c>
      <x:c r="Q231" t="str">
        <x:v>Inspeção técnica e normalização demonstrativas de Operador de Porta; resolução sintética, sem confirmação de consumo de peças.</x:v>
      </x:c>
      <x:c r="R231" t="str">
        <x:v>Aeroporto Terminal 3</x:v>
      </x:c>
      <x:c r="S231" t="str">
        <x:v>Sim</x:v>
      </x:c>
      <x:c r="T231" t="str">
        <x:v>Sim</x:v>
      </x:c>
      <x:c r="U231" t="str">
        <x:v>CT-2026-005</x:v>
      </x:c>
      <x:c r="V231" t="str">
        <x:v>GRU</x:v>
      </x:c>
      <x:c r="W231" t="str">
        <x:v>Renata Alves</x:v>
      </x:c>
      <x:c r="X231" t="str">
        <x:v>Supervisor C</x:v>
      </x:c>
      <x:c r="Y231" t="str">
        <x:v>Rota GRU 05</x:v>
      </x:c>
      <x:c r="Z231" t="str">
        <x:v>Rod. Hélio Smidt, s/n - Guarulhos/SP</x:v>
      </x:c>
      <x:c r="AA231" t="str">
        <x:v>São Paulo</x:v>
      </x:c>
      <x:c r="AB231" s="50" t="n">
        <x:v>46273.3354166667</x:v>
      </x:c>
      <x:c r="AC231" s="50" t="n">
        <x:v>46273.3375</x:v>
      </x:c>
      <x:c r="AD231" s="50" t="n">
        <x:v>46273.341666666696</x:v>
      </x:c>
      <x:c r="AE231" s="50" t="n">
        <x:v>46273.3534722222</x:v>
      </x:c>
      <x:c r="AF231" s="50" t="n">
        <x:v>46273.41875</x:v>
      </x:c>
      <x:c r="AG231" t="n">
        <x:v>26</x:v>
      </x:c>
      <x:c r="AH231" t="n">
        <x:v>89</x:v>
      </x:c>
      <x:c r="AI231" t="str">
        <x:v>Não</x:v>
      </x:c>
      <x:c r="AJ231" t="str">
        <x:v>Não</x:v>
      </x:c>
      <x:c r="AK231" t="n">
        <x:v>45</x:v>
      </x:c>
      <x:c r="AL231" t="n">
        <x:v>0</x:v>
      </x:c>
      <x:c r="AM231" s="64" t="n">
        <x:v>2.5556</x:v>
      </x:c>
      <x:c r="AN231" t="n">
        <x:v>2</x:v>
      </x:c>
      <x:c r="AO231" t="str">
        <x:v>Vermelho</x:v>
      </x:c>
      <x:c r="AP231" t="str">
        <x:v>SLA sintético excedido (tempo acumulado ≥ 100% do SLA)</x:v>
      </x:c>
      <x:c r="AQ231" t="str">
        <x:v>Encerramento demonstrativo de Operador de Porta; verificar fechamento e histórico para aprendizado. Sem despacho automático.</x:v>
      </x:c>
      <x:c r="AR231" s="62" t="n">
        <x:v>880</x:v>
      </x:c>
      <x:c r="AS231" t="str">
        <x:v>Médio</x:v>
      </x:c>
      <x:c r="AT231" s="50" t="n">
        <x:v>46273.583333333336</x:v>
      </x:c>
      <x:c r="AU231" t="str">
        <x:v>T08</x:v>
      </x:c>
      <x:c r="AV231" t="str">
        <x:v>T2 original + evolução sintética posterior</x:v>
      </x:c>
    </x:row>
    <x:row r="232">
      <x:c r="A232" t="str">
        <x:v>CH-20260908-012</x:v>
      </x:c>
      <x:c r="B232" t="str">
        <x:v>Painel sem comunicação</x:v>
      </x:c>
      <x:c r="C232" t="str">
        <x:v>Falha de comunicação</x:v>
      </x:c>
      <x:c r="D232" t="str">
        <x:v>Painel não responde aos comandos.</x:v>
      </x:c>
      <x:c r="E232" t="str">
        <x:v>Concluído</x:v>
      </x:c>
      <x:c r="F232" t="str">
        <x:v>Monitoramento Remoto</x:v>
      </x:c>
      <x:c r="G232" t="str">
        <x:v>E-112</x:v>
      </x:c>
      <x:c r="H232" t="str">
        <x:v>Elevador Social</x:v>
      </x:c>
      <x:c r="I232" t="str">
        <x:v>Microprocessado</x:v>
      </x:c>
      <x:c r="J232" t="str">
        <x:v>Gearless</x:v>
      </x:c>
      <x:c r="K232" t="str">
        <x:v>OTIS</x:v>
      </x:c>
      <x:c r="L232" t="str">
        <x:v>ROT-033</x:v>
      </x:c>
      <x:c r="M232" t="str">
        <x:v>Painel/Comando</x:v>
      </x:c>
      <x:c r="N232" t="str">
        <x:v>Interface</x:v>
      </x:c>
      <x:c r="O232" t="str">
        <x:v>Sem comunicação</x:v>
      </x:c>
      <x:c r="P232" t="str">
        <x:v>Falha lógica</x:v>
      </x:c>
      <x:c r="Q232" t="str">
        <x:v>Interface reinicializada/substituída</x:v>
      </x:c>
      <x:c r="R232" t="str">
        <x:v>Universidade Central</x:v>
      </x:c>
      <x:c r="S232" t="str">
        <x:v>Não</x:v>
      </x:c>
      <x:c r="T232" t="str">
        <x:v>Sim</x:v>
      </x:c>
      <x:c r="U232" t="str">
        <x:v>CT-2026-006</x:v>
      </x:c>
      <x:c r="V232" t="str">
        <x:v>SP-Leste</x:v>
      </x:c>
      <x:c r="W232" t="str">
        <x:v>Paulo Mendes</x:v>
      </x:c>
      <x:c r="X232" t="str">
        <x:v>Supervisor D</x:v>
      </x:c>
      <x:c r="Y232" t="str">
        <x:v>Rota Leste 06</x:v>
      </x:c>
      <x:c r="Z232" t="str">
        <x:v>Av. Central, 850 - São Paulo/SP</x:v>
      </x:c>
      <x:c r="AA232" t="str">
        <x:v>São Paulo</x:v>
      </x:c>
      <x:c r="AB232" s="50" t="n">
        <x:v>46273.3381944444</x:v>
      </x:c>
      <x:c r="AC232" s="50" t="n">
        <x:v>46273.3409722222</x:v>
      </x:c>
      <x:c r="AD232" s="50" t="n">
        <x:v>46273.3423611111</x:v>
      </x:c>
      <x:c r="AE232" s="50" t="n">
        <x:v>46273.3618055556</x:v>
      </x:c>
      <x:c r="AF232" s="50" t="n">
        <x:v>46273.3819444444</x:v>
      </x:c>
      <x:c r="AG232" t="n">
        <x:v>34</x:v>
      </x:c>
      <x:c r="AH232" t="n">
        <x:v>24</x:v>
      </x:c>
      <x:c r="AI232" t="str">
        <x:v>Não</x:v>
      </x:c>
      <x:c r="AJ232" t="str">
        <x:v>Não</x:v>
      </x:c>
      <x:c r="AK232" t="n">
        <x:v>120</x:v>
      </x:c>
      <x:c r="AL232" t="n">
        <x:v>0</x:v>
      </x:c>
      <x:c r="AM232" s="64" t="n">
        <x:v>0.4833</x:v>
      </x:c>
      <x:c r="AN232" t="n">
        <x:v>3</x:v>
      </x:c>
      <x:c r="AO232" t="str">
        <x:v>Verde</x:v>
      </x:c>
      <x:c r="AP232" t="str">
        <x:v>3 recorrências/30d</x:v>
      </x:c>
      <x:c r="AQ232" t="str">
        <x:v>Recorrência elevada: verificar padrão histórico em Painel/Comando/Interface.</x:v>
      </x:c>
      <x:c r="AR232" s="62" t="n">
        <x:v>1280</x:v>
      </x:c>
      <x:c r="AS232" t="str">
        <x:v>Alto</x:v>
      </x:c>
      <x:c r="AT232" s="50" t="n">
        <x:v>46273.583333333336</x:v>
      </x:c>
      <x:c r="AU232" t="str">
        <x:v>T08</x:v>
      </x:c>
      <x:c r="AV232" t="str">
        <x:v>T2 original + evolução sintética posterior</x:v>
      </x:c>
    </x:row>
    <x:row r="233">
      <x:c r="A233" t="str">
        <x:v>CH-20260908-013</x:v>
      </x:c>
      <x:c r="B233" t="str">
        <x:v>Falha de Tração</x:v>
      </x:c>
      <x:c r="C233" t="str">
        <x:v>Movimento irregular</x:v>
      </x:c>
      <x:c r="D233" t="str">
        <x:v>Equipamento apresenta perda de tração.</x:v>
      </x:c>
      <x:c r="E233" t="str">
        <x:v>Concluído</x:v>
      </x:c>
      <x:c r="F233" t="str">
        <x:v>Central de Atendimento</x:v>
      </x:c>
      <x:c r="G233" t="str">
        <x:v>E-113</x:v>
      </x:c>
      <x:c r="H233" t="str">
        <x:v>Elevador Social</x:v>
      </x:c>
      <x:c r="I233" t="str">
        <x:v>Microprocessado</x:v>
      </x:c>
      <x:c r="J233" t="str">
        <x:v>Gearless</x:v>
      </x:c>
      <x:c r="K233" t="str">
        <x:v>OTIS</x:v>
      </x:c>
      <x:c r="L233" t="str">
        <x:v>ROT-041</x:v>
      </x:c>
      <x:c r="M233" t="str">
        <x:v>Máquina de Tração</x:v>
      </x:c>
      <x:c r="N233" t="str">
        <x:v>Inversor</x:v>
      </x:c>
      <x:c r="O233" t="str">
        <x:v>Oscilação</x:v>
      </x:c>
      <x:c r="P233" t="str">
        <x:v>Falha de movimento</x:v>
      </x:c>
      <x:c r="Q233" t="str">
        <x:v>Inspeção técnica e normalização demonstrativas de Máquina de Tração; resolução sintética, sem confirmação de consumo de peças.</x:v>
      </x:c>
      <x:c r="R233" t="str">
        <x:v>Hospital São Paulo</x:v>
      </x:c>
      <x:c r="S233" t="str">
        <x:v>Sim</x:v>
      </x:c>
      <x:c r="T233" t="str">
        <x:v>Sim</x:v>
      </x:c>
      <x:c r="U233" t="str">
        <x:v>CT-2026-001</x:v>
      </x:c>
      <x:c r="V233" t="str">
        <x:v>SP-Centro</x:v>
      </x:c>
      <x:c r="W233" t="str">
        <x:v>João Silva</x:v>
      </x:c>
      <x:c r="X233" t="str">
        <x:v>Supervisor A</x:v>
      </x:c>
      <x:c r="Y233" t="str">
        <x:v>Rota Centro 01</x:v>
      </x:c>
      <x:c r="Z233" t="str">
        <x:v>Av. Paulista, 1000 - São Paulo/SP</x:v>
      </x:c>
      <x:c r="AA233" t="str">
        <x:v>São Paulo</x:v>
      </x:c>
      <x:c r="AB233" s="50" t="n">
        <x:v>46273.341666666696</x:v>
      </x:c>
      <x:c r="AC233" s="50" t="n">
        <x:v>46273.3451388889</x:v>
      </x:c>
      <x:c r="AD233" s="50" t="n">
        <x:v>46273.3479166667</x:v>
      </x:c>
      <x:c r="AE233" s="50" t="n">
        <x:v>46273.3722222222</x:v>
      </x:c>
      <x:c r="AF233" s="50" t="n">
        <x:v>46273.43124999998</x:v>
      </x:c>
      <x:c r="AG233" t="n">
        <x:v>44</x:v>
      </x:c>
      <x:c r="AH233" t="n">
        <x:v>80</x:v>
      </x:c>
      <x:c r="AI233" t="str">
        <x:v>Não</x:v>
      </x:c>
      <x:c r="AJ233" t="str">
        <x:v>Sim</x:v>
      </x:c>
      <x:c r="AK233" t="n">
        <x:v>60</x:v>
      </x:c>
      <x:c r="AL233" t="n">
        <x:v>0</x:v>
      </x:c>
      <x:c r="AM233" s="64" t="n">
        <x:v>2.0667</x:v>
      </x:c>
      <x:c r="AN233" t="n">
        <x:v>1</x:v>
      </x:c>
      <x:c r="AO233" t="str">
        <x:v>Vermelho</x:v>
      </x:c>
      <x:c r="AP233" t="str">
        <x:v>SLA sintético excedido (tempo acumulado ≥ 100% do SLA)</x:v>
      </x:c>
      <x:c r="AQ233" t="str">
        <x:v>Encerramento demonstrativo de Máquina de Tração; verificar fechamento e histórico para aprendizado. Sem despacho automático.</x:v>
      </x:c>
      <x:c r="AR233" s="62" t="n">
        <x:v>1085</x:v>
      </x:c>
      <x:c r="AS233" t="str">
        <x:v>Médio</x:v>
      </x:c>
      <x:c r="AT233" s="50" t="n">
        <x:v>46273.583333333336</x:v>
      </x:c>
      <x:c r="AU233" t="str">
        <x:v>T08</x:v>
      </x:c>
      <x:c r="AV233" t="str">
        <x:v>T2 original + evolução sintética posterior</x:v>
      </x:c>
    </x:row>
    <x:row r="234">
      <x:c r="A234" t="str">
        <x:v>CH-20260908-014</x:v>
      </x:c>
      <x:c r="B234" t="str">
        <x:v>Iluminação de Cabine</x:v>
      </x:c>
      <x:c r="C234" t="str">
        <x:v>Iluminação inoperante</x:v>
      </x:c>
      <x:c r="D234" t="str">
        <x:v>Cabine com iluminação parcial ou total indisponível.</x:v>
      </x:c>
      <x:c r="E234" t="str">
        <x:v>Concluído</x:v>
      </x:c>
      <x:c r="F234" t="str">
        <x:v>IoT</x:v>
      </x:c>
      <x:c r="G234" t="str">
        <x:v>E-114</x:v>
      </x:c>
      <x:c r="H234" t="str">
        <x:v>Elevador Social</x:v>
      </x:c>
      <x:c r="I234" t="str">
        <x:v>Microprocessado</x:v>
      </x:c>
      <x:c r="J234" t="str">
        <x:v>Gearless</x:v>
      </x:c>
      <x:c r="K234" t="str">
        <x:v>OTIS</x:v>
      </x:c>
      <x:c r="L234" t="str">
        <x:v>ROT-052</x:v>
      </x:c>
      <x:c r="M234" t="str">
        <x:v>Elétrica</x:v>
      </x:c>
      <x:c r="N234" t="str">
        <x:v>Fonte</x:v>
      </x:c>
      <x:c r="O234" t="str">
        <x:v>Sem alimentação</x:v>
      </x:c>
      <x:c r="P234" t="str">
        <x:v>Falha elétrica</x:v>
      </x:c>
      <x:c r="Q234" t="str">
        <x:v>Inspeção técnica e normalização demonstrativas de Elétrica; resolução sintética, sem confirmação de consumo de peças.</x:v>
      </x:c>
      <x:c r="R234" t="str">
        <x:v>Shopping Center Norte</x:v>
      </x:c>
      <x:c r="S234" t="str">
        <x:v>Não</x:v>
      </x:c>
      <x:c r="T234" t="str">
        <x:v>Sim</x:v>
      </x:c>
      <x:c r="U234" t="str">
        <x:v>CT-2026-002</x:v>
      </x:c>
      <x:c r="V234" t="str">
        <x:v>SP-Norte</x:v>
      </x:c>
      <x:c r="W234" t="str">
        <x:v>Marcos Lima</x:v>
      </x:c>
      <x:c r="X234" t="str">
        <x:v>Supervisor B</x:v>
      </x:c>
      <x:c r="Y234" t="str">
        <x:v>Rota Norte 02</x:v>
      </x:c>
      <x:c r="Z234" t="str">
        <x:v>Av. Otto Baumgart, 245 - São Paulo/SP</x:v>
      </x:c>
      <x:c r="AA234" t="str">
        <x:v>São Paulo</x:v>
      </x:c>
      <x:c r="AB234" s="50" t="n">
        <x:v>46273.3451388889</x:v>
      </x:c>
      <x:c r="AC234" s="50" t="n">
        <x:v>46273.3493055556</x:v>
      </x:c>
      <x:c r="AD234" s="50" t="n">
        <x:v>46273.3534722222</x:v>
      </x:c>
      <x:c r="AE234" s="50" t="n">
        <x:v>46273.3826388889</x:v>
      </x:c>
      <x:c r="AF234" s="50" t="n">
        <x:v>46273.4451388889</x:v>
      </x:c>
      <x:c r="AG234" t="n">
        <x:v>54</x:v>
      </x:c>
      <x:c r="AH234" t="n">
        <x:v>85</x:v>
      </x:c>
      <x:c r="AI234" t="str">
        <x:v>Não</x:v>
      </x:c>
      <x:c r="AJ234" t="str">
        <x:v>Não</x:v>
      </x:c>
      <x:c r="AK234" t="n">
        <x:v>90</x:v>
      </x:c>
      <x:c r="AL234" t="n">
        <x:v>0</x:v>
      </x:c>
      <x:c r="AM234" s="64" t="n">
        <x:v>1.5444</x:v>
      </x:c>
      <x:c r="AN234" t="n">
        <x:v>0</x:v>
      </x:c>
      <x:c r="AO234" t="str">
        <x:v>Vermelho</x:v>
      </x:c>
      <x:c r="AP234" t="str">
        <x:v>SLA sintético excedido (tempo acumulado ≥ 100% do SLA)</x:v>
      </x:c>
      <x:c r="AQ234" t="str">
        <x:v>Encerramento demonstrativo de Elétrica; verificar fechamento e histórico para aprendizado. Sem despacho automático.</x:v>
      </x:c>
      <x:c r="AR234" s="62" t="n">
        <x:v>770</x:v>
      </x:c>
      <x:c r="AS234" t="str">
        <x:v>Médio</x:v>
      </x:c>
      <x:c r="AT234" s="50" t="n">
        <x:v>46273.583333333336</x:v>
      </x:c>
      <x:c r="AU234" t="str">
        <x:v>T08</x:v>
      </x:c>
      <x:c r="AV234" t="str">
        <x:v>T2 original + evolução sintética posterior</x:v>
      </x:c>
    </x:row>
    <x:row r="235">
      <x:c r="A235" t="str">
        <x:v>CH-20260908-015</x:v>
      </x:c>
      <x:c r="B235" t="str">
        <x:v>Botão de Chamada</x:v>
      </x:c>
      <x:c r="C235" t="str">
        <x:v>Botão não responde</x:v>
      </x:c>
      <x:c r="D235" t="str">
        <x:v>Botão de chamada não registra comando.</x:v>
      </x:c>
      <x:c r="E235" t="str">
        <x:v>Concluído</x:v>
      </x:c>
      <x:c r="F235" t="str">
        <x:v>Aplicativo Cliente</x:v>
      </x:c>
      <x:c r="G235" t="str">
        <x:v>E-115</x:v>
      </x:c>
      <x:c r="H235" t="str">
        <x:v>Elevador Social</x:v>
      </x:c>
      <x:c r="I235" t="str">
        <x:v>Microprocessado</x:v>
      </x:c>
      <x:c r="J235" t="str">
        <x:v>Gearless</x:v>
      </x:c>
      <x:c r="K235" t="str">
        <x:v>OTIS</x:v>
      </x:c>
      <x:c r="L235" t="str">
        <x:v>ROT-063</x:v>
      </x:c>
      <x:c r="M235" t="str">
        <x:v>Botoeira</x:v>
      </x:c>
      <x:c r="N235" t="str">
        <x:v>Contato</x:v>
      </x:c>
      <x:c r="O235" t="str">
        <x:v>Mau contato</x:v>
      </x:c>
      <x:c r="P235" t="str">
        <x:v>Falha de comando</x:v>
      </x:c>
      <x:c r="Q235" t="str">
        <x:v>Inspeção técnica e normalização demonstrativas de Botoeira; resolução sintética, sem confirmação de consumo de peças.</x:v>
      </x:c>
      <x:c r="R235" t="str">
        <x:v>Edifício Corporate</x:v>
      </x:c>
      <x:c r="S235" t="str">
        <x:v>Não</x:v>
      </x:c>
      <x:c r="T235" t="str">
        <x:v>Sim</x:v>
      </x:c>
      <x:c r="U235" t="str">
        <x:v>CT-2026-003</x:v>
      </x:c>
      <x:c r="V235" t="str">
        <x:v>SP-Oeste</x:v>
      </x:c>
      <x:c r="W235" t="str">
        <x:v>Ana Costa</x:v>
      </x:c>
      <x:c r="X235" t="str">
        <x:v>Supervisor C</x:v>
      </x:c>
      <x:c r="Y235" t="str">
        <x:v>Rota Oeste 03</x:v>
      </x:c>
      <x:c r="Z235" t="str">
        <x:v>Av. Faria Lima, 3500 - São Paulo/SP</x:v>
      </x:c>
      <x:c r="AA235" t="str">
        <x:v>São Paulo</x:v>
      </x:c>
      <x:c r="AB235" s="50" t="n">
        <x:v>46273.3486111111</x:v>
      </x:c>
      <x:c r="AC235" s="50" t="n">
        <x:v>46273.35</x:v>
      </x:c>
      <x:c r="AD235" s="50" t="n">
        <x:v>46273.3513888889</x:v>
      </x:c>
      <x:c r="AE235" s="50" t="n">
        <x:v>46273.3618055556</x:v>
      </x:c>
      <x:c r="AF235" s="50" t="n">
        <x:v>46273.42152777778</x:v>
      </x:c>
      <x:c r="AG235" t="n">
        <x:v>19</x:v>
      </x:c>
      <x:c r="AH235" t="n">
        <x:v>81</x:v>
      </x:c>
      <x:c r="AI235" t="str">
        <x:v>Não</x:v>
      </x:c>
      <x:c r="AJ235" t="str">
        <x:v>Não</x:v>
      </x:c>
      <x:c r="AK235" t="n">
        <x:v>120</x:v>
      </x:c>
      <x:c r="AL235" t="n">
        <x:v>0</x:v>
      </x:c>
      <x:c r="AM235" s="64" t="n">
        <x:v>0.8333</x:v>
      </x:c>
      <x:c r="AN235" t="n">
        <x:v>2</x:v>
      </x:c>
      <x:c r="AO235" t="str">
        <x:v>Laranja</x:v>
      </x:c>
      <x:c r="AP235" t="str">
        <x:v>janela de intervenção: tempo acumulado ≥ 80% do SLA</x:v>
      </x:c>
      <x:c r="AQ235" t="str">
        <x:v>Encerramento demonstrativo de Botoeira; verificar fechamento e histórico para aprendizado. Sem despacho automático.</x:v>
      </x:c>
      <x:c r="AR235" s="62" t="n">
        <x:v>739</x:v>
      </x:c>
      <x:c r="AS235" t="str">
        <x:v>Baixo</x:v>
      </x:c>
      <x:c r="AT235" s="50" t="n">
        <x:v>46273.583333333336</x:v>
      </x:c>
      <x:c r="AU235" t="str">
        <x:v>T08</x:v>
      </x:c>
      <x:c r="AV235" t="str">
        <x:v>T2 original + evolução sintética posterior</x:v>
      </x:c>
    </x:row>
    <x:row r="236">
      <x:c r="A236" t="str">
        <x:v>CH-20260908-016</x:v>
      </x:c>
      <x:c r="B236" t="str">
        <x:v>Parada Intermitente</x:v>
      </x:c>
      <x:c r="C236" t="str">
        <x:v>Paradas aleatórias</x:v>
      </x:c>
      <x:c r="D236" t="str">
        <x:v>Equipamento interrompe operação de forma intermitente.</x:v>
      </x:c>
      <x:c r="E236" t="str">
        <x:v>Concluído</x:v>
      </x:c>
      <x:c r="F236" t="str">
        <x:v>Monitoramento Remoto</x:v>
      </x:c>
      <x:c r="G236" t="str">
        <x:v>E-116</x:v>
      </x:c>
      <x:c r="H236" t="str">
        <x:v>Elevador Social</x:v>
      </x:c>
      <x:c r="I236" t="str">
        <x:v>Microprocessado</x:v>
      </x:c>
      <x:c r="J236" t="str">
        <x:v>Gearless</x:v>
      </x:c>
      <x:c r="K236" t="str">
        <x:v>OTIS</x:v>
      </x:c>
      <x:c r="L236" t="str">
        <x:v>ROT-074</x:v>
      </x:c>
      <x:c r="M236" t="str">
        <x:v>Painel/Comando</x:v>
      </x:c>
      <x:c r="N236" t="str">
        <x:v>Placa</x:v>
      </x:c>
      <x:c r="O236" t="str">
        <x:v>Intermitência</x:v>
      </x:c>
      <x:c r="P236" t="str">
        <x:v>Falha intermitente</x:v>
      </x:c>
      <x:c r="Q236" t="str">
        <x:v>Inspeção técnica e normalização demonstrativas de Painel/Comando; resolução sintética, sem confirmação de consumo de peças.</x:v>
      </x:c>
      <x:c r="R236" t="str">
        <x:v>Condomínio Alameda</x:v>
      </x:c>
      <x:c r="S236" t="str">
        <x:v>Não</x:v>
      </x:c>
      <x:c r="T236" t="str">
        <x:v>Não</x:v>
      </x:c>
      <x:c r="U236" t="str">
        <x:v>CT-2026-004</x:v>
      </x:c>
      <x:c r="V236" t="str">
        <x:v>SP-Sul</x:v>
      </x:c>
      <x:c r="W236" t="str">
        <x:v>Carlos Souza</x:v>
      </x:c>
      <x:c r="X236" t="str">
        <x:v>Supervisor D</x:v>
      </x:c>
      <x:c r="Y236" t="str">
        <x:v>Rota Sul 04</x:v>
      </x:c>
      <x:c r="Z236" t="str">
        <x:v>R. das Acácias, 420 - São Paulo/SP</x:v>
      </x:c>
      <x:c r="AA236" t="str">
        <x:v>São Paulo</x:v>
      </x:c>
      <x:c r="AB236" s="50" t="n">
        <x:v>46273.3520833333</x:v>
      </x:c>
      <x:c r="AC236" s="50" t="n">
        <x:v>46273.3541666667</x:v>
      </x:c>
      <x:c r="AD236" s="50" t="n">
        <x:v>46273.3569444444</x:v>
      </x:c>
      <x:c r="AE236" s="50" t="n">
        <x:v>46273.3722222222</x:v>
      </x:c>
      <x:c r="AF236" s="50" t="n">
        <x:v>46273.46249999998</x:v>
      </x:c>
      <x:c r="AG236" t="n">
        <x:v>29</x:v>
      </x:c>
      <x:c r="AH236" t="n">
        <x:v>125</x:v>
      </x:c>
      <x:c r="AI236" t="str">
        <x:v>Não</x:v>
      </x:c>
      <x:c r="AJ236" t="str">
        <x:v>Sim</x:v>
      </x:c>
      <x:c r="AK236" t="n">
        <x:v>180</x:v>
      </x:c>
      <x:c r="AL236" t="n">
        <x:v>0</x:v>
      </x:c>
      <x:c r="AM236" s="64" t="n">
        <x:v>0.8556</x:v>
      </x:c>
      <x:c r="AN236" t="n">
        <x:v>4</x:v>
      </x:c>
      <x:c r="AO236" t="str">
        <x:v>Laranja</x:v>
      </x:c>
      <x:c r="AP236" t="str">
        <x:v>janela de intervenção: tempo acumulado ≥ 80% do SLA</x:v>
      </x:c>
      <x:c r="AQ236" t="str">
        <x:v>Encerramento demonstrativo de Painel/Comando; verificar fechamento e histórico para aprendizado. Sem despacho automático.</x:v>
      </x:c>
      <x:c r="AR236" s="62" t="n">
        <x:v>1564</x:v>
      </x:c>
      <x:c r="AS236" t="str">
        <x:v>Alto</x:v>
      </x:c>
      <x:c r="AT236" s="50" t="n">
        <x:v>46273.583333333336</x:v>
      </x:c>
      <x:c r="AU236" t="str">
        <x:v>T08</x:v>
      </x:c>
      <x:c r="AV236" t="str">
        <x:v>T2 original + evolução sintética posterior</x:v>
      </x:c>
    </x:row>
    <x:row r="237">
      <x:c r="A237" t="str">
        <x:v>CH-20260908-017</x:v>
      </x:c>
      <x:c r="B237" t="str">
        <x:v>Passageiro Preso</x:v>
      </x:c>
      <x:c r="C237" t="str">
        <x:v>Elevador parado entre andares</x:v>
      </x:c>
      <x:c r="D237" t="str">
        <x:v>Cabine imobilizada com passageiro no interior.</x:v>
      </x:c>
      <x:c r="E237" t="str">
        <x:v>Concluído</x:v>
      </x:c>
      <x:c r="F237" t="str">
        <x:v>Central de Atendimento</x:v>
      </x:c>
      <x:c r="G237" t="str">
        <x:v>E-117</x:v>
      </x:c>
      <x:c r="H237" t="str">
        <x:v>Elevador Social</x:v>
      </x:c>
      <x:c r="I237" t="str">
        <x:v>Microprocessado</x:v>
      </x:c>
      <x:c r="J237" t="str">
        <x:v>Gearless</x:v>
      </x:c>
      <x:c r="K237" t="str">
        <x:v>OTIS</x:v>
      </x:c>
      <x:c r="L237" t="str">
        <x:v>ROT-001</x:v>
      </x:c>
      <x:c r="M237" t="str">
        <x:v>Tração</x:v>
      </x:c>
      <x:c r="N237" t="str">
        <x:v>Freio</x:v>
      </x:c>
      <x:c r="O237" t="str">
        <x:v>Travamento</x:v>
      </x:c>
      <x:c r="P237" t="str">
        <x:v>Parada total</x:v>
      </x:c>
      <x:c r="Q237" t="str">
        <x:v>Resgate concluído e equipamento normalizado</x:v>
      </x:c>
      <x:c r="R237" t="str">
        <x:v>Aeroporto Terminal 3</x:v>
      </x:c>
      <x:c r="S237" t="str">
        <x:v>Sim</x:v>
      </x:c>
      <x:c r="T237" t="str">
        <x:v>Sim</x:v>
      </x:c>
      <x:c r="U237" t="str">
        <x:v>CT-2026-005</x:v>
      </x:c>
      <x:c r="V237" t="str">
        <x:v>GRU</x:v>
      </x:c>
      <x:c r="W237" t="str">
        <x:v>Renata Alves</x:v>
      </x:c>
      <x:c r="X237" t="str">
        <x:v>Supervisor A</x:v>
      </x:c>
      <x:c r="Y237" t="str">
        <x:v>Rota GRU 05</x:v>
      </x:c>
      <x:c r="Z237" t="str">
        <x:v>Rod. Hélio Smidt, s/n - Guarulhos/SP</x:v>
      </x:c>
      <x:c r="AA237" t="str">
        <x:v>São Paulo</x:v>
      </x:c>
      <x:c r="AB237" s="50" t="n">
        <x:v>46273.3555555556</x:v>
      </x:c>
      <x:c r="AC237" s="50" t="n">
        <x:v>46273.3583333333</x:v>
      </x:c>
      <x:c r="AD237" s="50" t="n">
        <x:v>46273.3625</x:v>
      </x:c>
      <x:c r="AE237" s="50" t="n">
        <x:v>46273.3763888889</x:v>
      </x:c>
      <x:c r="AF237" s="50" t="n">
        <x:v>46273.3993055556</x:v>
      </x:c>
      <x:c r="AG237" t="n">
        <x:v>30</x:v>
      </x:c>
      <x:c r="AH237" t="n">
        <x:v>28</x:v>
      </x:c>
      <x:c r="AI237" t="str">
        <x:v>Sim</x:v>
      </x:c>
      <x:c r="AJ237" t="str">
        <x:v>Sim</x:v>
      </x:c>
      <x:c r="AK237" t="n">
        <x:v>45</x:v>
      </x:c>
      <x:c r="AL237" t="n">
        <x:v>0</x:v>
      </x:c>
      <x:c r="AM237" s="64" t="n">
        <x:v>1.2889</x:v>
      </x:c>
      <x:c r="AN237" t="n">
        <x:v>0</x:v>
      </x:c>
      <x:c r="AO237" t="str">
        <x:v>Vermelho</x:v>
      </x:c>
      <x:c r="AP237" t="str">
        <x:v>passageiro preso; SLA estourado; carro parado</x:v>
      </x:c>
      <x:c r="AQ237" t="str">
        <x:v>Sem recorrência relevante; acompanhar evolução de Tração.</x:v>
      </x:c>
      <x:c r="AR237" s="62" t="n">
        <x:v>906</x:v>
      </x:c>
      <x:c r="AS237" t="str">
        <x:v>Médio</x:v>
      </x:c>
      <x:c r="AT237" s="50" t="n">
        <x:v>46273.583333333336</x:v>
      </x:c>
      <x:c r="AU237" t="str">
        <x:v>T08</x:v>
      </x:c>
      <x:c r="AV237" t="str">
        <x:v>T2 original + evolução sintética posterior</x:v>
      </x:c>
    </x:row>
    <x:row r="238">
      <x:c r="A238" t="str">
        <x:v>CH-20260908-018</x:v>
      </x:c>
      <x:c r="B238" t="str">
        <x:v>Falha de Nivelamento</x:v>
      </x:c>
      <x:c r="C238" t="str">
        <x:v>Cabine desnivelada</x:v>
      </x:c>
      <x:c r="D238" t="str">
        <x:v>Cabine parou fora do nível do pavimento.</x:v>
      </x:c>
      <x:c r="E238" t="str">
        <x:v>Concluído</x:v>
      </x:c>
      <x:c r="F238" t="str">
        <x:v>IoT</x:v>
      </x:c>
      <x:c r="G238" t="str">
        <x:v>E-118</x:v>
      </x:c>
      <x:c r="H238" t="str">
        <x:v>Elevador Social</x:v>
      </x:c>
      <x:c r="I238" t="str">
        <x:v>Microprocessado</x:v>
      </x:c>
      <x:c r="J238" t="str">
        <x:v>Gearless</x:v>
      </x:c>
      <x:c r="K238" t="str">
        <x:v>OTIS</x:v>
      </x:c>
      <x:c r="L238" t="str">
        <x:v>ROT-014</x:v>
      </x:c>
      <x:c r="M238" t="str">
        <x:v>Sensor de Nível</x:v>
      </x:c>
      <x:c r="N238" t="str">
        <x:v>Sensor</x:v>
      </x:c>
      <x:c r="O238" t="str">
        <x:v>Leitura inconsistente</x:v>
      </x:c>
      <x:c r="P238" t="str">
        <x:v>Falha de nivelamento</x:v>
      </x:c>
      <x:c r="Q238" t="str">
        <x:v>Inspeção técnica e normalização demonstrativas de Sensor de Nível; resolução sintética, sem confirmação de consumo de peças.</x:v>
      </x:c>
      <x:c r="R238" t="str">
        <x:v>Universidade Central</x:v>
      </x:c>
      <x:c r="S238" t="str">
        <x:v>Não</x:v>
      </x:c>
      <x:c r="T238" t="str">
        <x:v>Sim</x:v>
      </x:c>
      <x:c r="U238" t="str">
        <x:v>CT-2026-006</x:v>
      </x:c>
      <x:c r="V238" t="str">
        <x:v>SP-Leste</x:v>
      </x:c>
      <x:c r="W238" t="str">
        <x:v>Paulo Mendes</x:v>
      </x:c>
      <x:c r="X238" t="str">
        <x:v>Supervisor B</x:v>
      </x:c>
      <x:c r="Y238" t="str">
        <x:v>Rota Leste 06</x:v>
      </x:c>
      <x:c r="Z238" t="str">
        <x:v>Av. Central, 850 - São Paulo/SP</x:v>
      </x:c>
      <x:c r="AA238" t="str">
        <x:v>São Paulo</x:v>
      </x:c>
      <x:c r="AB238" s="50" t="n">
        <x:v>46273.3590277778</x:v>
      </x:c>
      <x:c r="AC238" s="50" t="n">
        <x:v>46273.3625</x:v>
      </x:c>
      <x:c r="AD238" s="50" t="n">
        <x:v>46273.363888888896</x:v>
      </x:c>
      <x:c r="AE238" s="50" t="n">
        <x:v>46273.3888888889</x:v>
      </x:c>
      <x:c r="AF238" s="50" t="n">
        <x:v>46273.437500000015</x:v>
      </x:c>
      <x:c r="AG238" t="n">
        <x:v>43</x:v>
      </x:c>
      <x:c r="AH238" t="n">
        <x:v>65</x:v>
      </x:c>
      <x:c r="AI238" t="str">
        <x:v>Não</x:v>
      </x:c>
      <x:c r="AJ238" t="str">
        <x:v>Não</x:v>
      </x:c>
      <x:c r="AK238" t="n">
        <x:v>120</x:v>
      </x:c>
      <x:c r="AL238" t="n">
        <x:v>0</x:v>
      </x:c>
      <x:c r="AM238" s="64" t="n">
        <x:v>0.9</x:v>
      </x:c>
      <x:c r="AN238" t="n">
        <x:v>1</x:v>
      </x:c>
      <x:c r="AO238" t="str">
        <x:v>Laranja</x:v>
      </x:c>
      <x:c r="AP238" t="str">
        <x:v>janela de intervenção: tempo acumulado ≥ 80% do SLA</x:v>
      </x:c>
      <x:c r="AQ238" t="str">
        <x:v>Encerramento demonstrativo de Sensor de Nível; verificar fechamento e histórico para aprendizado. Sem despacho automático.</x:v>
      </x:c>
      <x:c r="AR238" s="62" t="n">
        <x:v>613</x:v>
      </x:c>
      <x:c r="AS238" t="str">
        <x:v>Baixo</x:v>
      </x:c>
      <x:c r="AT238" s="50" t="n">
        <x:v>46273.583333333336</x:v>
      </x:c>
      <x:c r="AU238" t="str">
        <x:v>T08</x:v>
      </x:c>
      <x:c r="AV238" t="str">
        <x:v>T2 original + evolução sintética posterior</x:v>
      </x:c>
    </x:row>
    <x:row r="239">
      <x:c r="A239" t="str">
        <x:v>CH-20260908-019</x:v>
      </x:c>
      <x:c r="B239" t="str">
        <x:v>Porta não fecha</x:v>
      </x:c>
      <x:c r="C239" t="str">
        <x:v>Falha no fechamento</x:v>
      </x:c>
      <x:c r="D239" t="str">
        <x:v>Porta permanece aberta e impede partida.</x:v>
      </x:c>
      <x:c r="E239" t="str">
        <x:v>Concluído</x:v>
      </x:c>
      <x:c r="F239" t="str">
        <x:v>Aplicativo Cliente</x:v>
      </x:c>
      <x:c r="G239" t="str">
        <x:v>E-119</x:v>
      </x:c>
      <x:c r="H239" t="str">
        <x:v>Elevador Social</x:v>
      </x:c>
      <x:c r="I239" t="str">
        <x:v>Microprocessado</x:v>
      </x:c>
      <x:c r="J239" t="str">
        <x:v>Gearless</x:v>
      </x:c>
      <x:c r="K239" t="str">
        <x:v>OTIS</x:v>
      </x:c>
      <x:c r="L239" t="str">
        <x:v>ROT-021</x:v>
      </x:c>
      <x:c r="M239" t="str">
        <x:v>Operador de Porta</x:v>
      </x:c>
      <x:c r="N239" t="str">
        <x:v>Sensor de porta</x:v>
      </x:c>
      <x:c r="O239" t="str">
        <x:v>Falha de leitura</x:v>
      </x:c>
      <x:c r="P239" t="str">
        <x:v>Porta aberta</x:v>
      </x:c>
      <x:c r="Q239" t="str">
        <x:v>Inspeção técnica e normalização demonstrativas de Operador de Porta; resolução sintética, sem confirmação de consumo de peças.</x:v>
      </x:c>
      <x:c r="R239" t="str">
        <x:v>Hospital São Paulo</x:v>
      </x:c>
      <x:c r="S239" t="str">
        <x:v>Sim</x:v>
      </x:c>
      <x:c r="T239" t="str">
        <x:v>Sim</x:v>
      </x:c>
      <x:c r="U239" t="str">
        <x:v>CT-2026-001</x:v>
      </x:c>
      <x:c r="V239" t="str">
        <x:v>SP-Centro</x:v>
      </x:c>
      <x:c r="W239" t="str">
        <x:v>João Silva</x:v>
      </x:c>
      <x:c r="X239" t="str">
        <x:v>Supervisor C</x:v>
      </x:c>
      <x:c r="Y239" t="str">
        <x:v>Rota Centro 01</x:v>
      </x:c>
      <x:c r="Z239" t="str">
        <x:v>Av. Paulista, 1000 - São Paulo/SP</x:v>
      </x:c>
      <x:c r="AA239" t="str">
        <x:v>São Paulo</x:v>
      </x:c>
      <x:c r="AB239" s="50" t="n">
        <x:v>46273.3625</x:v>
      </x:c>
      <x:c r="AC239" s="50" t="n">
        <x:v>46273.3666666667</x:v>
      </x:c>
      <x:c r="AD239" s="50" t="n">
        <x:v>46273.3694444444</x:v>
      </x:c>
      <x:c r="AE239" s="50" t="n">
        <x:v>46273.399305555555</x:v>
      </x:c>
      <x:c r="AF239" s="50" t="n">
        <x:v>46273.48263888889</x:v>
      </x:c>
      <x:c r="AG239" t="n">
        <x:v>53</x:v>
      </x:c>
      <x:c r="AH239" t="n">
        <x:v>115</x:v>
      </x:c>
      <x:c r="AI239" t="str">
        <x:v>Não</x:v>
      </x:c>
      <x:c r="AJ239" t="str">
        <x:v>Não</x:v>
      </x:c>
      <x:c r="AK239" t="n">
        <x:v>60</x:v>
      </x:c>
      <x:c r="AL239" t="n">
        <x:v>0</x:v>
      </x:c>
      <x:c r="AM239" s="64" t="n">
        <x:v>2.8</x:v>
      </x:c>
      <x:c r="AN239" t="n">
        <x:v>2</x:v>
      </x:c>
      <x:c r="AO239" t="str">
        <x:v>Vermelho</x:v>
      </x:c>
      <x:c r="AP239" t="str">
        <x:v>SLA sintético excedido (tempo acumulado ≥ 100% do SLA)</x:v>
      </x:c>
      <x:c r="AQ239" t="str">
        <x:v>Encerramento demonstrativo de Operador de Porta; verificar fechamento e histórico para aprendizado. Sem despacho automático.</x:v>
      </x:c>
      <x:c r="AR239" s="62" t="n">
        <x:v>718</x:v>
      </x:c>
      <x:c r="AS239" t="str">
        <x:v>Baixo</x:v>
      </x:c>
      <x:c r="AT239" s="50" t="n">
        <x:v>46273.583333333336</x:v>
      </x:c>
      <x:c r="AU239" t="str">
        <x:v>T08</x:v>
      </x:c>
      <x:c r="AV239" t="str">
        <x:v>T2 original + evolução sintética posterior</x:v>
      </x:c>
    </x:row>
    <x:row r="240">
      <x:c r="A240" t="str">
        <x:v>CH-20260908-020</x:v>
      </x:c>
      <x:c r="B240" t="str">
        <x:v>Painel sem comunicação</x:v>
      </x:c>
      <x:c r="C240" t="str">
        <x:v>Falha de comunicação</x:v>
      </x:c>
      <x:c r="D240" t="str">
        <x:v>Painel não responde aos comandos.</x:v>
      </x:c>
      <x:c r="E240" t="str">
        <x:v>Concluído</x:v>
      </x:c>
      <x:c r="F240" t="str">
        <x:v>Monitoramento Remoto</x:v>
      </x:c>
      <x:c r="G240" t="str">
        <x:v>E-120</x:v>
      </x:c>
      <x:c r="H240" t="str">
        <x:v>Elevador Social</x:v>
      </x:c>
      <x:c r="I240" t="str">
        <x:v>Microprocessado</x:v>
      </x:c>
      <x:c r="J240" t="str">
        <x:v>Gearless</x:v>
      </x:c>
      <x:c r="K240" t="str">
        <x:v>OTIS</x:v>
      </x:c>
      <x:c r="L240" t="str">
        <x:v>ROT-033</x:v>
      </x:c>
      <x:c r="M240" t="str">
        <x:v>Painel/Comando</x:v>
      </x:c>
      <x:c r="N240" t="str">
        <x:v>Interface</x:v>
      </x:c>
      <x:c r="O240" t="str">
        <x:v>Sem comunicação</x:v>
      </x:c>
      <x:c r="P240" t="str">
        <x:v>Falha lógica</x:v>
      </x:c>
      <x:c r="Q240" t="str">
        <x:v>Inspeção técnica e normalização demonstrativas de Painel/Comando; resolução sintética, sem confirmação de consumo de peças.</x:v>
      </x:c>
      <x:c r="R240" t="str">
        <x:v>Shopping Center Norte</x:v>
      </x:c>
      <x:c r="S240" t="str">
        <x:v>Não</x:v>
      </x:c>
      <x:c r="T240" t="str">
        <x:v>Sim</x:v>
      </x:c>
      <x:c r="U240" t="str">
        <x:v>CT-2026-002</x:v>
      </x:c>
      <x:c r="V240" t="str">
        <x:v>SP-Norte</x:v>
      </x:c>
      <x:c r="W240" t="str">
        <x:v>Marcos Lima</x:v>
      </x:c>
      <x:c r="X240" t="str">
        <x:v>Supervisor D</x:v>
      </x:c>
      <x:c r="Y240" t="str">
        <x:v>Rota Norte 02</x:v>
      </x:c>
      <x:c r="Z240" t="str">
        <x:v>Av. Otto Baumgart, 245 - São Paulo/SP</x:v>
      </x:c>
      <x:c r="AA240" t="str">
        <x:v>São Paulo</x:v>
      </x:c>
      <x:c r="AB240" s="50" t="n">
        <x:v>46273.3659722222</x:v>
      </x:c>
      <x:c r="AC240" s="50" t="n">
        <x:v>46273.3673611111</x:v>
      </x:c>
      <x:c r="AD240" s="50" t="n">
        <x:v>46273.3715277778</x:v>
      </x:c>
      <x:c r="AE240" s="50" t="n">
        <x:v>46273.3826388889</x:v>
      </x:c>
      <x:c r="AF240" s="50" t="n">
        <x:v>46273.4763888889</x:v>
      </x:c>
      <x:c r="AG240" t="n">
        <x:v>24</x:v>
      </x:c>
      <x:c r="AH240" t="n">
        <x:v>130</x:v>
      </x:c>
      <x:c r="AI240" t="str">
        <x:v>Não</x:v>
      </x:c>
      <x:c r="AJ240" t="str">
        <x:v>Não</x:v>
      </x:c>
      <x:c r="AK240" t="n">
        <x:v>90</x:v>
      </x:c>
      <x:c r="AL240" t="n">
        <x:v>0</x:v>
      </x:c>
      <x:c r="AM240" s="64" t="n">
        <x:v>1.7111</x:v>
      </x:c>
      <x:c r="AN240" t="n">
        <x:v>3</x:v>
      </x:c>
      <x:c r="AO240" t="str">
        <x:v>Vermelho</x:v>
      </x:c>
      <x:c r="AP240" t="str">
        <x:v>SLA sintético excedido (tempo acumulado ≥ 100% do SLA)</x:v>
      </x:c>
      <x:c r="AQ240" t="str">
        <x:v>Encerramento demonstrativo de Painel/Comando; verificar fechamento e histórico para aprendizado. Sem despacho automático.</x:v>
      </x:c>
      <x:c r="AR240" s="62" t="n">
        <x:v>1407</x:v>
      </x:c>
      <x:c r="AS240" t="str">
        <x:v>Alto</x:v>
      </x:c>
      <x:c r="AT240" s="50" t="n">
        <x:v>46273.583333333336</x:v>
      </x:c>
      <x:c r="AU240" t="str">
        <x:v>T08</x:v>
      </x:c>
      <x:c r="AV240" t="str">
        <x:v>T2 original + evolução sintética posterior</x:v>
      </x:c>
    </x:row>
    <x:row r="241">
      <x:c r="A241" t="str">
        <x:v>CH-20260908-021</x:v>
      </x:c>
      <x:c r="B241" t="str">
        <x:v>Falha de Tração</x:v>
      </x:c>
      <x:c r="C241" t="str">
        <x:v>Movimento irregular</x:v>
      </x:c>
      <x:c r="D241" t="str">
        <x:v>Equipamento apresenta perda de tração.</x:v>
      </x:c>
      <x:c r="E241" t="str">
        <x:v>Concluído</x:v>
      </x:c>
      <x:c r="F241" t="str">
        <x:v>Central de Atendimento</x:v>
      </x:c>
      <x:c r="G241" t="str">
        <x:v>E-121</x:v>
      </x:c>
      <x:c r="H241" t="str">
        <x:v>Elevador Social</x:v>
      </x:c>
      <x:c r="I241" t="str">
        <x:v>Microprocessado</x:v>
      </x:c>
      <x:c r="J241" t="str">
        <x:v>Gearless</x:v>
      </x:c>
      <x:c r="K241" t="str">
        <x:v>OTIS</x:v>
      </x:c>
      <x:c r="L241" t="str">
        <x:v>ROT-041</x:v>
      </x:c>
      <x:c r="M241" t="str">
        <x:v>Máquina de Tração</x:v>
      </x:c>
      <x:c r="N241" t="str">
        <x:v>Inversor</x:v>
      </x:c>
      <x:c r="O241" t="str">
        <x:v>Oscilação</x:v>
      </x:c>
      <x:c r="P241" t="str">
        <x:v>Falha de movimento</x:v>
      </x:c>
      <x:c r="Q241" t="str">
        <x:v>Inspeção técnica e normalização demonstrativas de Máquina de Tração; resolução sintética, sem confirmação de consumo de peças.</x:v>
      </x:c>
      <x:c r="R241" t="str">
        <x:v>Edifício Corporate</x:v>
      </x:c>
      <x:c r="S241" t="str">
        <x:v>Não</x:v>
      </x:c>
      <x:c r="T241" t="str">
        <x:v>Sim</x:v>
      </x:c>
      <x:c r="U241" t="str">
        <x:v>CT-2026-003</x:v>
      </x:c>
      <x:c r="V241" t="str">
        <x:v>SP-Oeste</x:v>
      </x:c>
      <x:c r="W241" t="str">
        <x:v>Ana Costa</x:v>
      </x:c>
      <x:c r="X241" t="str">
        <x:v>Supervisor A</x:v>
      </x:c>
      <x:c r="Y241" t="str">
        <x:v>Rota Oeste 03</x:v>
      </x:c>
      <x:c r="Z241" t="str">
        <x:v>Av. Faria Lima, 3500 - São Paulo/SP</x:v>
      </x:c>
      <x:c r="AA241" t="str">
        <x:v>São Paulo</x:v>
      </x:c>
      <x:c r="AB241" s="50" t="n">
        <x:v>46273.3694444444</x:v>
      </x:c>
      <x:c r="AC241" s="50" t="n">
        <x:v>46273.3715277778</x:v>
      </x:c>
      <x:c r="AD241" s="50" t="n">
        <x:v>46273.372916666696</x:v>
      </x:c>
      <x:c r="AE241" s="50" t="n">
        <x:v>46273.3888888889</x:v>
      </x:c>
      <x:c r="AF241" s="50" t="n">
        <x:v>46273.44791666668</x:v>
      </x:c>
      <x:c r="AG241" t="n">
        <x:v>28</x:v>
      </x:c>
      <x:c r="AH241" t="n">
        <x:v>80</x:v>
      </x:c>
      <x:c r="AI241" t="str">
        <x:v>Não</x:v>
      </x:c>
      <x:c r="AJ241" t="str">
        <x:v>Sim</x:v>
      </x:c>
      <x:c r="AK241" t="n">
        <x:v>120</x:v>
      </x:c>
      <x:c r="AL241" t="n">
        <x:v>0</x:v>
      </x:c>
      <x:c r="AM241" s="64" t="n">
        <x:v>0.9</x:v>
      </x:c>
      <x:c r="AN241" t="n">
        <x:v>1</x:v>
      </x:c>
      <x:c r="AO241" t="str">
        <x:v>Laranja</x:v>
      </x:c>
      <x:c r="AP241" t="str">
        <x:v>janela de intervenção: tempo acumulado ≥ 80% do SLA</x:v>
      </x:c>
      <x:c r="AQ241" t="str">
        <x:v>Encerramento demonstrativo de Máquina de Tração; verificar fechamento e histórico para aprendizado. Sem despacho automático.</x:v>
      </x:c>
      <x:c r="AR241" s="62" t="n">
        <x:v>1212</x:v>
      </x:c>
      <x:c r="AS241" t="str">
        <x:v>Alto</x:v>
      </x:c>
      <x:c r="AT241" s="50" t="n">
        <x:v>46273.583333333336</x:v>
      </x:c>
      <x:c r="AU241" t="str">
        <x:v>T08</x:v>
      </x:c>
      <x:c r="AV241" t="str">
        <x:v>T2 original + evolução sintética posterior</x:v>
      </x:c>
    </x:row>
    <x:row r="242">
      <x:c r="A242" t="str">
        <x:v>CH-20260908-022</x:v>
      </x:c>
      <x:c r="B242" t="str">
        <x:v>Iluminação de Cabine</x:v>
      </x:c>
      <x:c r="C242" t="str">
        <x:v>Iluminação inoperante</x:v>
      </x:c>
      <x:c r="D242" t="str">
        <x:v>Cabine com iluminação parcial ou total indisponível.</x:v>
      </x:c>
      <x:c r="E242" t="str">
        <x:v>Concluído</x:v>
      </x:c>
      <x:c r="F242" t="str">
        <x:v>IoT</x:v>
      </x:c>
      <x:c r="G242" t="str">
        <x:v>E-122</x:v>
      </x:c>
      <x:c r="H242" t="str">
        <x:v>Elevador Social</x:v>
      </x:c>
      <x:c r="I242" t="str">
        <x:v>Microprocessado</x:v>
      </x:c>
      <x:c r="J242" t="str">
        <x:v>Gearless</x:v>
      </x:c>
      <x:c r="K242" t="str">
        <x:v>OTIS</x:v>
      </x:c>
      <x:c r="L242" t="str">
        <x:v>ROT-052</x:v>
      </x:c>
      <x:c r="M242" t="str">
        <x:v>Elétrica</x:v>
      </x:c>
      <x:c r="N242" t="str">
        <x:v>Fonte</x:v>
      </x:c>
      <x:c r="O242" t="str">
        <x:v>Sem alimentação</x:v>
      </x:c>
      <x:c r="P242" t="str">
        <x:v>Falha elétrica</x:v>
      </x:c>
      <x:c r="Q242" t="str">
        <x:v>Inspeção técnica e normalização demonstrativas de Elétrica; resolução sintética, sem confirmação de consumo de peças.</x:v>
      </x:c>
      <x:c r="R242" t="str">
        <x:v>Condomínio Alameda</x:v>
      </x:c>
      <x:c r="S242" t="str">
        <x:v>Não</x:v>
      </x:c>
      <x:c r="T242" t="str">
        <x:v>Não</x:v>
      </x:c>
      <x:c r="U242" t="str">
        <x:v>CT-2026-004</x:v>
      </x:c>
      <x:c r="V242" t="str">
        <x:v>SP-Sul</x:v>
      </x:c>
      <x:c r="W242" t="str">
        <x:v>Carlos Souza</x:v>
      </x:c>
      <x:c r="X242" t="str">
        <x:v>Supervisor B</x:v>
      </x:c>
      <x:c r="Y242" t="str">
        <x:v>Rota Sul 04</x:v>
      </x:c>
      <x:c r="Z242" t="str">
        <x:v>R. das Acácias, 420 - São Paulo/SP</x:v>
      </x:c>
      <x:c r="AA242" t="str">
        <x:v>São Paulo</x:v>
      </x:c>
      <x:c r="AB242" s="50" t="n">
        <x:v>46273.372916666696</x:v>
      </x:c>
      <x:c r="AC242" s="50" t="n">
        <x:v>46273.3756944445</x:v>
      </x:c>
      <x:c r="AD242" s="50" t="n">
        <x:v>46273.3784722222</x:v>
      </x:c>
      <x:c r="AE242" s="50" t="n">
        <x:v>46273.39930555559</x:v>
      </x:c>
      <x:c r="AF242" s="50" t="n">
        <x:v>46273.486111111146</x:v>
      </x:c>
      <x:c r="AG242" t="n">
        <x:v>38</x:v>
      </x:c>
      <x:c r="AH242" t="n">
        <x:v>120</x:v>
      </x:c>
      <x:c r="AI242" t="str">
        <x:v>Não</x:v>
      </x:c>
      <x:c r="AJ242" t="str">
        <x:v>Não</x:v>
      </x:c>
      <x:c r="AK242" t="n">
        <x:v>180</x:v>
      </x:c>
      <x:c r="AL242" t="n">
        <x:v>0</x:v>
      </x:c>
      <x:c r="AM242" s="64" t="n">
        <x:v>0.8778</x:v>
      </x:c>
      <x:c r="AN242" t="n">
        <x:v>0</x:v>
      </x:c>
      <x:c r="AO242" t="str">
        <x:v>Laranja</x:v>
      </x:c>
      <x:c r="AP242" t="str">
        <x:v>janela de intervenção: tempo acumulado ≥ 80% do SLA</x:v>
      </x:c>
      <x:c r="AQ242" t="str">
        <x:v>Encerramento demonstrativo de Elétrica; verificar fechamento e histórico para aprendizado. Sem despacho automático.</x:v>
      </x:c>
      <x:c r="AR242" s="62" t="n">
        <x:v>897</x:v>
      </x:c>
      <x:c r="AS242" t="str">
        <x:v>Médio</x:v>
      </x:c>
      <x:c r="AT242" s="50" t="n">
        <x:v>46273.583333333336</x:v>
      </x:c>
      <x:c r="AU242" t="str">
        <x:v>T08</x:v>
      </x:c>
      <x:c r="AV242" t="str">
        <x:v>T2 original + evolução sintética posterior</x:v>
      </x:c>
    </x:row>
    <x:row r="243">
      <x:c r="A243" t="str">
        <x:v>CH-20260908-023</x:v>
      </x:c>
      <x:c r="B243" t="str">
        <x:v>Botão de Chamada</x:v>
      </x:c>
      <x:c r="C243" t="str">
        <x:v>Botão não responde</x:v>
      </x:c>
      <x:c r="D243" t="str">
        <x:v>Botão de chamada não registra comando.</x:v>
      </x:c>
      <x:c r="E243" t="str">
        <x:v>Concluído</x:v>
      </x:c>
      <x:c r="F243" t="str">
        <x:v>Aplicativo Cliente</x:v>
      </x:c>
      <x:c r="G243" t="str">
        <x:v>E-123</x:v>
      </x:c>
      <x:c r="H243" t="str">
        <x:v>Elevador Social</x:v>
      </x:c>
      <x:c r="I243" t="str">
        <x:v>Microprocessado</x:v>
      </x:c>
      <x:c r="J243" t="str">
        <x:v>Gearless</x:v>
      </x:c>
      <x:c r="K243" t="str">
        <x:v>OTIS</x:v>
      </x:c>
      <x:c r="L243" t="str">
        <x:v>ROT-063</x:v>
      </x:c>
      <x:c r="M243" t="str">
        <x:v>Botoeira</x:v>
      </x:c>
      <x:c r="N243" t="str">
        <x:v>Contato</x:v>
      </x:c>
      <x:c r="O243" t="str">
        <x:v>Mau contato</x:v>
      </x:c>
      <x:c r="P243" t="str">
        <x:v>Falha de comando</x:v>
      </x:c>
      <x:c r="Q243" t="str">
        <x:v>Inspeção técnica e normalização demonstrativas de Botoeira; resolução sintética, sem confirmação de consumo de peças.</x:v>
      </x:c>
      <x:c r="R243" t="str">
        <x:v>Aeroporto Terminal 3</x:v>
      </x:c>
      <x:c r="S243" t="str">
        <x:v>Sim</x:v>
      </x:c>
      <x:c r="T243" t="str">
        <x:v>Sim</x:v>
      </x:c>
      <x:c r="U243" t="str">
        <x:v>CT-2026-005</x:v>
      </x:c>
      <x:c r="V243" t="str">
        <x:v>GRU</x:v>
      </x:c>
      <x:c r="W243" t="str">
        <x:v>Renata Alves</x:v>
      </x:c>
      <x:c r="X243" t="str">
        <x:v>Supervisor C</x:v>
      </x:c>
      <x:c r="Y243" t="str">
        <x:v>Rota GRU 05</x:v>
      </x:c>
      <x:c r="Z243" t="str">
        <x:v>Rod. Hélio Smidt, s/n - Guarulhos/SP</x:v>
      </x:c>
      <x:c r="AA243" t="str">
        <x:v>São Paulo</x:v>
      </x:c>
      <x:c r="AB243" s="50" t="n">
        <x:v>46273.3784722222</x:v>
      </x:c>
      <x:c r="AC243" s="50" t="n">
        <x:v>46273.3819444444</x:v>
      </x:c>
      <x:c r="AD243" s="50" t="n">
        <x:v>46273.386111111104</x:v>
      </x:c>
      <x:c r="AE243" s="50" t="n">
        <x:v>46273.41249999998</x:v>
      </x:c>
      <x:c r="AF243" s="50" t="n">
        <x:v>46273.48541666664</x:v>
      </x:c>
      <x:c r="AG243" t="n">
        <x:v>49</x:v>
      </x:c>
      <x:c r="AH243" t="n">
        <x:v>100</x:v>
      </x:c>
      <x:c r="AI243" t="str">
        <x:v>Não</x:v>
      </x:c>
      <x:c r="AJ243" t="str">
        <x:v>Não</x:v>
      </x:c>
      <x:c r="AK243" t="n">
        <x:v>45</x:v>
      </x:c>
      <x:c r="AL243" t="n">
        <x:v>0</x:v>
      </x:c>
      <x:c r="AM243" s="64" t="n">
        <x:v>3.3111</x:v>
      </x:c>
      <x:c r="AN243" t="n">
        <x:v>2</x:v>
      </x:c>
      <x:c r="AO243" t="str">
        <x:v>Vermelho</x:v>
      </x:c>
      <x:c r="AP243" t="str">
        <x:v>SLA sintético excedido (tempo acumulado ≥ 100% do SLA)</x:v>
      </x:c>
      <x:c r="AQ243" t="str">
        <x:v>Encerramento demonstrativo de Botoeira; verificar fechamento e histórico para aprendizado. Sem despacho automático.</x:v>
      </x:c>
      <x:c r="AR243" s="62" t="n">
        <x:v>545</x:v>
      </x:c>
      <x:c r="AS243" t="str">
        <x:v>Baixo</x:v>
      </x:c>
      <x:c r="AT243" s="50" t="n">
        <x:v>46273.583333333336</x:v>
      </x:c>
      <x:c r="AU243" t="str">
        <x:v>T08</x:v>
      </x:c>
      <x:c r="AV243" t="str">
        <x:v>T2 original + evolução sintética posterior</x:v>
      </x:c>
    </x:row>
    <x:row r="244">
      <x:c r="A244" t="str">
        <x:v>CH-20260908-024</x:v>
      </x:c>
      <x:c r="B244" t="str">
        <x:v>Parada Intermitente</x:v>
      </x:c>
      <x:c r="C244" t="str">
        <x:v>Paradas aleatórias</x:v>
      </x:c>
      <x:c r="D244" t="str">
        <x:v>Equipamento interrompe operação de forma intermitente.</x:v>
      </x:c>
      <x:c r="E244" t="str">
        <x:v>Concluído</x:v>
      </x:c>
      <x:c r="F244" t="str">
        <x:v>Monitoramento Remoto</x:v>
      </x:c>
      <x:c r="G244" t="str">
        <x:v>E-124</x:v>
      </x:c>
      <x:c r="H244" t="str">
        <x:v>Elevador Social</x:v>
      </x:c>
      <x:c r="I244" t="str">
        <x:v>Microprocessado</x:v>
      </x:c>
      <x:c r="J244" t="str">
        <x:v>Gearless</x:v>
      </x:c>
      <x:c r="K244" t="str">
        <x:v>OTIS</x:v>
      </x:c>
      <x:c r="L244" t="str">
        <x:v>ROT-074</x:v>
      </x:c>
      <x:c r="M244" t="str">
        <x:v>Painel/Comando</x:v>
      </x:c>
      <x:c r="N244" t="str">
        <x:v>Placa</x:v>
      </x:c>
      <x:c r="O244" t="str">
        <x:v>Intermitência</x:v>
      </x:c>
      <x:c r="P244" t="str">
        <x:v>Falha intermitente</x:v>
      </x:c>
      <x:c r="Q244" t="str">
        <x:v>Inspeção técnica e normalização demonstrativas de Painel/Comando; resolução sintética, sem confirmação de consumo de peças.</x:v>
      </x:c>
      <x:c r="R244" t="str">
        <x:v>Universidade Central</x:v>
      </x:c>
      <x:c r="S244" t="str">
        <x:v>Não</x:v>
      </x:c>
      <x:c r="T244" t="str">
        <x:v>Sim</x:v>
      </x:c>
      <x:c r="U244" t="str">
        <x:v>CT-2026-006</x:v>
      </x:c>
      <x:c r="V244" t="str">
        <x:v>SP-Leste</x:v>
      </x:c>
      <x:c r="W244" t="str">
        <x:v>Paulo Mendes</x:v>
      </x:c>
      <x:c r="X244" t="str">
        <x:v>Supervisor D</x:v>
      </x:c>
      <x:c r="Y244" t="str">
        <x:v>Rota Leste 06</x:v>
      </x:c>
      <x:c r="Z244" t="str">
        <x:v>Av. Central, 850 - São Paulo/SP</x:v>
      </x:c>
      <x:c r="AA244" t="str">
        <x:v>São Paulo</x:v>
      </x:c>
      <x:c r="AB244" s="50" t="n">
        <x:v>46273.3854166667</x:v>
      </x:c>
      <x:c r="AC244" s="50" t="n">
        <x:v>46273.3895833333</x:v>
      </x:c>
      <x:c r="AD244" s="50" t="n">
        <x:v>46273.3909722222</x:v>
      </x:c>
      <x:c r="AE244" s="50" t="n">
        <x:v>46273.423611111146</x:v>
      </x:c>
      <x:c r="AF244" s="50" t="n">
        <x:v>46273.538194444474</x:v>
      </x:c>
      <x:c r="AG244" t="n">
        <x:v>55</x:v>
      </x:c>
      <x:c r="AH244" t="n">
        <x:v>160</x:v>
      </x:c>
      <x:c r="AI244" t="str">
        <x:v>Não</x:v>
      </x:c>
      <x:c r="AJ244" t="str">
        <x:v>Sim</x:v>
      </x:c>
      <x:c r="AK244" t="n">
        <x:v>120</x:v>
      </x:c>
      <x:c r="AL244" t="n">
        <x:v>0</x:v>
      </x:c>
      <x:c r="AM244" s="64" t="n">
        <x:v>1.7917</x:v>
      </x:c>
      <x:c r="AN244" t="n">
        <x:v>4</x:v>
      </x:c>
      <x:c r="AO244" t="str">
        <x:v>Vermelho</x:v>
      </x:c>
      <x:c r="AP244" t="str">
        <x:v>SLA sintético excedido (tempo acumulado ≥ 100% do SLA)</x:v>
      </x:c>
      <x:c r="AQ244" t="str">
        <x:v>Encerramento demonstrativo de Painel/Comando; verificar fechamento e histórico para aprendizado. Sem despacho automático.</x:v>
      </x:c>
      <x:c r="AR244" s="62" t="n">
        <x:v>1386</x:v>
      </x:c>
      <x:c r="AS244" t="str">
        <x:v>Alto</x:v>
      </x:c>
      <x:c r="AT244" s="50" t="n">
        <x:v>46273.583333333336</x:v>
      </x:c>
      <x:c r="AU244" t="str">
        <x:v>T08</x:v>
      </x:c>
      <x:c r="AV244" t="str">
        <x:v>T2 original + evolução sintética posterior</x:v>
      </x:c>
    </x:row>
    <x:row r="245">
      <x:c r="A245" t="str">
        <x:v>CH-20260908-025</x:v>
      </x:c>
      <x:c r="B245" t="str">
        <x:v>Falha de Tração</x:v>
      </x:c>
      <x:c r="C245" t="str">
        <x:v>Movimento irregular</x:v>
      </x:c>
      <x:c r="D245" t="str">
        <x:v>Equipamento apresenta perda de tração.</x:v>
      </x:c>
      <x:c r="E245" t="str">
        <x:v>Concluído</x:v>
      </x:c>
      <x:c r="F245" t="str">
        <x:v>Central de Atendimento</x:v>
      </x:c>
      <x:c r="G245" t="str">
        <x:v>E-125</x:v>
      </x:c>
      <x:c r="H245" t="str">
        <x:v>Elevador Social</x:v>
      </x:c>
      <x:c r="I245" t="str">
        <x:v>Microprocessado</x:v>
      </x:c>
      <x:c r="J245" t="str">
        <x:v>Gearless</x:v>
      </x:c>
      <x:c r="K245" t="str">
        <x:v>OTIS</x:v>
      </x:c>
      <x:c r="L245" t="str">
        <x:v>ROT-041</x:v>
      </x:c>
      <x:c r="M245" t="str">
        <x:v>Máquina de Tração</x:v>
      </x:c>
      <x:c r="N245" t="str">
        <x:v>Inversor</x:v>
      </x:c>
      <x:c r="O245" t="str">
        <x:v>Oscilação</x:v>
      </x:c>
      <x:c r="P245" t="str">
        <x:v>Falha de movimento</x:v>
      </x:c>
      <x:c r="Q245" t="str">
        <x:v>Diagnóstico e teste funcional simulados em Máquina de Tração; encerramento demonstrativo, sem movimentação de estoque comprovada.</x:v>
      </x:c>
      <x:c r="R245" t="str">
        <x:v>Aeroporto Terminal 3</x:v>
      </x:c>
      <x:c r="S245" t="str">
        <x:v>Sim</x:v>
      </x:c>
      <x:c r="T245" t="str">
        <x:v>Sim</x:v>
      </x:c>
      <x:c r="U245" t="str">
        <x:v>CT-2026-005</x:v>
      </x:c>
      <x:c r="V245" t="str">
        <x:v>GRU</x:v>
      </x:c>
      <x:c r="W245" t="str">
        <x:v>Renata Alves</x:v>
      </x:c>
      <x:c r="X245" t="str">
        <x:v>Supervisor A</x:v>
      </x:c>
      <x:c r="Y245" t="str">
        <x:v>Rota GRU 05</x:v>
      </x:c>
      <x:c r="Z245" t="str">
        <x:v>Rod. Hélio Smidt, s/n - Guarulhos/SP</x:v>
      </x:c>
      <x:c r="AA245" t="str">
        <x:v>São Paulo</x:v>
      </x:c>
      <x:c r="AB245" s="50" t="n">
        <x:v>46273.4</x:v>
      </x:c>
      <x:c r="AC245" s="50" t="n">
        <x:v>46273.402083333334</x:v>
      </x:c>
      <x:c r="AD245" s="50" t="n">
        <x:v>46273.40555555555</x:v>
      </x:c>
      <x:c r="AE245" s="50" t="n">
        <x:v>46273.427083333336</x:v>
      </x:c>
      <x:c r="AF245" s="50" t="n">
        <x:v>46273.461805555555</x:v>
      </x:c>
      <x:c r="AG245" t="n">
        <x:v>39</x:v>
      </x:c>
      <x:c r="AH245" t="n">
        <x:v>45</x:v>
      </x:c>
      <x:c r="AI245" t="str">
        <x:v>Não</x:v>
      </x:c>
      <x:c r="AJ245" t="str">
        <x:v>Sim</x:v>
      </x:c>
      <x:c r="AK245" t="n">
        <x:v>45</x:v>
      </x:c>
      <x:c r="AL245" t="n">
        <x:v>0</x:v>
      </x:c>
      <x:c r="AM245" s="64" t="n">
        <x:v>1.8667</x:v>
      </x:c>
      <x:c r="AN245" t="n">
        <x:v>1</x:v>
      </x:c>
      <x:c r="AO245" t="str">
        <x:v>Vermelho</x:v>
      </x:c>
      <x:c r="AP245" t="str">
        <x:v>SLA sintético excedido (tempo acumulado ≥ 100% do SLA)</x:v>
      </x:c>
      <x:c r="AQ245" t="str">
        <x:v>Encerramento demonstrativo de Máquina de Tração; verificar fechamento e histórico para aprendizado. Sem despacho automático.</x:v>
      </x:c>
      <x:c r="AR245" s="62" t="n">
        <x:v>1297.5</x:v>
      </x:c>
      <x:c r="AS245" t="str">
        <x:v>Alto</x:v>
      </x:c>
      <x:c r="AT245" s="50" t="n">
        <x:v>46273.583333333336</x:v>
      </x:c>
      <x:c r="AU245" t="str">
        <x:v>T08</x:v>
      </x:c>
      <x:c r="AV245" t="str">
        <x:v>Ocorrência adicional sintética; perfil inspirado em CH-20260908-005</x:v>
      </x:c>
    </x:row>
    <x:row r="246">
      <x:c r="A246" t="str">
        <x:v>CH-20260908-026</x:v>
      </x:c>
      <x:c r="B246" t="str">
        <x:v>Painel sem comunicação</x:v>
      </x:c>
      <x:c r="C246" t="str">
        <x:v>Falha de comunicação</x:v>
      </x:c>
      <x:c r="D246" t="str">
        <x:v>Painel não responde aos comandos.</x:v>
      </x:c>
      <x:c r="E246" t="str">
        <x:v>Concluído</x:v>
      </x:c>
      <x:c r="F246" t="str">
        <x:v>Monitoramento Remoto</x:v>
      </x:c>
      <x:c r="G246" t="str">
        <x:v>E-126</x:v>
      </x:c>
      <x:c r="H246" t="str">
        <x:v>Elevador Social</x:v>
      </x:c>
      <x:c r="I246" t="str">
        <x:v>Microprocessado</x:v>
      </x:c>
      <x:c r="J246" t="str">
        <x:v>Gearless</x:v>
      </x:c>
      <x:c r="K246" t="str">
        <x:v>OTIS</x:v>
      </x:c>
      <x:c r="L246" t="str">
        <x:v>ROT-033</x:v>
      </x:c>
      <x:c r="M246" t="str">
        <x:v>Painel/Comando</x:v>
      </x:c>
      <x:c r="N246" t="str">
        <x:v>Interface</x:v>
      </x:c>
      <x:c r="O246" t="str">
        <x:v>Sem comunicação</x:v>
      </x:c>
      <x:c r="P246" t="str">
        <x:v>Falha lógica</x:v>
      </x:c>
      <x:c r="Q246" t="str">
        <x:v>Diagnóstico e teste funcional simulados em Painel/Comando; encerramento demonstrativo, sem movimentação de estoque comprovada.</x:v>
      </x:c>
      <x:c r="R246" t="str">
        <x:v>Universidade Central</x:v>
      </x:c>
      <x:c r="S246" t="str">
        <x:v>Não</x:v>
      </x:c>
      <x:c r="T246" t="str">
        <x:v>Sim</x:v>
      </x:c>
      <x:c r="U246" t="str">
        <x:v>CT-2026-006</x:v>
      </x:c>
      <x:c r="V246" t="str">
        <x:v>SP-Leste</x:v>
      </x:c>
      <x:c r="W246" t="str">
        <x:v>Paulo Mendes</x:v>
      </x:c>
      <x:c r="X246" t="str">
        <x:v>Supervisor D</x:v>
      </x:c>
      <x:c r="Y246" t="str">
        <x:v>Rota Leste 06</x:v>
      </x:c>
      <x:c r="Z246" t="str">
        <x:v>Av. Central, 850 - São Paulo/SP</x:v>
      </x:c>
      <x:c r="AA246" t="str">
        <x:v>São Paulo</x:v>
      </x:c>
      <x:c r="AB246" s="50" t="n">
        <x:v>46273.40972222222</x:v>
      </x:c>
      <x:c r="AC246" s="50" t="n">
        <x:v>46273.4125</x:v>
      </x:c>
      <x:c r="AD246" s="50" t="n">
        <x:v>46273.416666666664</x:v>
      </x:c>
      <x:c r="AE246" s="50" t="n">
        <x:v>46273.44583333333</x:v>
      </x:c>
      <x:c r="AF246" s="50" t="n">
        <x:v>46273.49236111111</x:v>
      </x:c>
      <x:c r="AG246" t="n">
        <x:v>52</x:v>
      </x:c>
      <x:c r="AH246" t="n">
        <x:v>62</x:v>
      </x:c>
      <x:c r="AI246" t="str">
        <x:v>Não</x:v>
      </x:c>
      <x:c r="AJ246" t="str">
        <x:v>Não</x:v>
      </x:c>
      <x:c r="AK246" t="n">
        <x:v>120</x:v>
      </x:c>
      <x:c r="AL246" t="n">
        <x:v>0</x:v>
      </x:c>
      <x:c r="AM246" s="64" t="n">
        <x:v>0.95</x:v>
      </x:c>
      <x:c r="AN246" t="n">
        <x:v>3</x:v>
      </x:c>
      <x:c r="AO246" t="str">
        <x:v>Laranja</x:v>
      </x:c>
      <x:c r="AP246" t="str">
        <x:v>janela de intervenção: tempo acumulado ≥ 80% do SLA</x:v>
      </x:c>
      <x:c r="AQ246" t="str">
        <x:v>Encerramento demonstrativo de Painel/Comando; verificar fechamento e histórico para aprendizado. Sem despacho automático.</x:v>
      </x:c>
      <x:c r="AR246" s="62" t="n">
        <x:v>1357</x:v>
      </x:c>
      <x:c r="AS246" t="str">
        <x:v>Alto</x:v>
      </x:c>
      <x:c r="AT246" s="50" t="n">
        <x:v>46273.583333333336</x:v>
      </x:c>
      <x:c r="AU246" t="str">
        <x:v>T08</x:v>
      </x:c>
      <x:c r="AV246" t="str">
        <x:v>Ocorrência adicional sintética; perfil inspirado em CH-20260908-012</x:v>
      </x:c>
    </x:row>
    <x:row r="247">
      <x:c r="A247" t="str">
        <x:v>CH-20260908-027</x:v>
      </x:c>
      <x:c r="B247" t="str">
        <x:v>Porta não fecha</x:v>
      </x:c>
      <x:c r="C247" t="str">
        <x:v>Falha no fechamento</x:v>
      </x:c>
      <x:c r="D247" t="str">
        <x:v>Porta permanece aberta e impede partida.</x:v>
      </x:c>
      <x:c r="E247" t="str">
        <x:v>Concluído</x:v>
      </x:c>
      <x:c r="F247" t="str">
        <x:v>Aplicativo Cliente</x:v>
      </x:c>
      <x:c r="G247" t="str">
        <x:v>E-127</x:v>
      </x:c>
      <x:c r="H247" t="str">
        <x:v>Elevador Social</x:v>
      </x:c>
      <x:c r="I247" t="str">
        <x:v>Microprocessado</x:v>
      </x:c>
      <x:c r="J247" t="str">
        <x:v>Gearless</x:v>
      </x:c>
      <x:c r="K247" t="str">
        <x:v>OTIS</x:v>
      </x:c>
      <x:c r="L247" t="str">
        <x:v>ROT-021</x:v>
      </x:c>
      <x:c r="M247" t="str">
        <x:v>Operador de Porta</x:v>
      </x:c>
      <x:c r="N247" t="str">
        <x:v>Sensor de porta</x:v>
      </x:c>
      <x:c r="O247" t="str">
        <x:v>Falha de leitura</x:v>
      </x:c>
      <x:c r="P247" t="str">
        <x:v>Porta aberta</x:v>
      </x:c>
      <x:c r="Q247" t="str">
        <x:v>Diagnóstico e teste funcional simulados em Operador de Porta; encerramento demonstrativo, sem movimentação de estoque comprovada.</x:v>
      </x:c>
      <x:c r="R247" t="str">
        <x:v>Hospital São Paulo</x:v>
      </x:c>
      <x:c r="S247" t="str">
        <x:v>Sim</x:v>
      </x:c>
      <x:c r="T247" t="str">
        <x:v>Sim</x:v>
      </x:c>
      <x:c r="U247" t="str">
        <x:v>CT-2026-001</x:v>
      </x:c>
      <x:c r="V247" t="str">
        <x:v>SP-Centro</x:v>
      </x:c>
      <x:c r="W247" t="str">
        <x:v>João Silva</x:v>
      </x:c>
      <x:c r="X247" t="str">
        <x:v>Supervisor C</x:v>
      </x:c>
      <x:c r="Y247" t="str">
        <x:v>Rota Centro 01</x:v>
      </x:c>
      <x:c r="Z247" t="str">
        <x:v>Av. Paulista, 1000 - São Paulo/SP</x:v>
      </x:c>
      <x:c r="AA247" t="str">
        <x:v>São Paulo</x:v>
      </x:c>
      <x:c r="AB247" s="50" t="n">
        <x:v>46273.419444444444</x:v>
      </x:c>
      <x:c r="AC247" s="50" t="n">
        <x:v>46273.42291666667</x:v>
      </x:c>
      <x:c r="AD247" s="50" t="n">
        <x:v>46273.427777777775</x:v>
      </x:c>
      <x:c r="AE247" s="50" t="n">
        <x:v>46273.464583333334</x:v>
      </x:c>
      <x:c r="AF247" s="50" t="n">
        <x:v>46273.52291666667</x:v>
      </x:c>
      <x:c r="AG247" t="n">
        <x:v>65</x:v>
      </x:c>
      <x:c r="AH247" t="n">
        <x:v>79</x:v>
      </x:c>
      <x:c r="AI247" t="str">
        <x:v>Não</x:v>
      </x:c>
      <x:c r="AJ247" t="str">
        <x:v>Não</x:v>
      </x:c>
      <x:c r="AK247" t="n">
        <x:v>60</x:v>
      </x:c>
      <x:c r="AL247" t="n">
        <x:v>0</x:v>
      </x:c>
      <x:c r="AM247" s="64" t="n">
        <x:v>2.4</x:v>
      </x:c>
      <x:c r="AN247" t="n">
        <x:v>2</x:v>
      </x:c>
      <x:c r="AO247" t="str">
        <x:v>Vermelho</x:v>
      </x:c>
      <x:c r="AP247" t="str">
        <x:v>SLA sintético excedido (tempo acumulado ≥ 100% do SLA)</x:v>
      </x:c>
      <x:c r="AQ247" t="str">
        <x:v>Encerramento demonstrativo de Operador de Porta; verificar fechamento e histórico para aprendizado. Sem despacho automático.</x:v>
      </x:c>
      <x:c r="AR247" s="62" t="n">
        <x:v>833.5</x:v>
      </x:c>
      <x:c r="AS247" t="str">
        <x:v>Baixo</x:v>
      </x:c>
      <x:c r="AT247" s="50" t="n">
        <x:v>46273.583333333336</x:v>
      </x:c>
      <x:c r="AU247" t="str">
        <x:v>T08</x:v>
      </x:c>
      <x:c r="AV247" t="str">
        <x:v>Ocorrência adicional sintética; perfil inspirado em CH-20260908-019</x:v>
      </x:c>
    </x:row>
    <x:row r="248">
      <x:c r="A248" t="str">
        <x:v>CH-20260908-028</x:v>
      </x:c>
      <x:c r="B248" t="str">
        <x:v>Falha de Nivelamento</x:v>
      </x:c>
      <x:c r="C248" t="str">
        <x:v>Cabine desnivelada</x:v>
      </x:c>
      <x:c r="D248" t="str">
        <x:v>Cabine parou fora do nível do pavimento.</x:v>
      </x:c>
      <x:c r="E248" t="str">
        <x:v>Em atendimento</x:v>
      </x:c>
      <x:c r="F248" t="str">
        <x:v>IoT</x:v>
      </x:c>
      <x:c r="G248" t="str">
        <x:v>E-128</x:v>
      </x:c>
      <x:c r="H248" t="str">
        <x:v>Elevador Social</x:v>
      </x:c>
      <x:c r="I248" t="str">
        <x:v>Microprocessado</x:v>
      </x:c>
      <x:c r="J248" t="str">
        <x:v>Gearless</x:v>
      </x:c>
      <x:c r="K248" t="str">
        <x:v>OTIS</x:v>
      </x:c>
      <x:c r="L248" t="str">
        <x:v>ROT-014</x:v>
      </x:c>
      <x:c r="M248" t="str">
        <x:v>Sensor de Nível</x:v>
      </x:c>
      <x:c r="N248" t="str">
        <x:v>Sensor</x:v>
      </x:c>
      <x:c r="O248" t="str">
        <x:v>Leitura inconsistente</x:v>
      </x:c>
      <x:c r="P248" t="str">
        <x:v>Falha de nivelamento</x:v>
      </x:c>
      <x:c r="Q248"/>
      <x:c r="R248" t="str">
        <x:v>Shopping Center Norte</x:v>
      </x:c>
      <x:c r="S248" t="str">
        <x:v>Não</x:v>
      </x:c>
      <x:c r="T248" t="str">
        <x:v>Sim</x:v>
      </x:c>
      <x:c r="U248" t="str">
        <x:v>CT-2026-002</x:v>
      </x:c>
      <x:c r="V248" t="str">
        <x:v>SP-Norte</x:v>
      </x:c>
      <x:c r="W248" t="str">
        <x:v>Marcos Lima</x:v>
      </x:c>
      <x:c r="X248" t="str">
        <x:v>Supervisor B</x:v>
      </x:c>
      <x:c r="Y248" t="str">
        <x:v>Rota Norte 02</x:v>
      </x:c>
      <x:c r="Z248" t="str">
        <x:v>Av. Otto Baumgart, 245 - São Paulo/SP</x:v>
      </x:c>
      <x:c r="AA248" t="str">
        <x:v>São Paulo</x:v>
      </x:c>
      <x:c r="AB248" s="50" t="n">
        <x:v>46273.43125</x:v>
      </x:c>
      <x:c r="AC248" s="50" t="n">
        <x:v>46273.43263888889</x:v>
      </x:c>
      <x:c r="AD248" s="50" t="n">
        <x:v>46273.43819444445</x:v>
      </x:c>
      <x:c r="AE248" s="50" t="n">
        <x:v>46273.45</x:v>
      </x:c>
      <x:c r="AF248" s="50"/>
      <x:c r="AG248" t="n">
        <x:v>27</x:v>
      </x:c>
      <x:c r="AH248"/>
      <x:c r="AI248" t="str">
        <x:v>Não</x:v>
      </x:c>
      <x:c r="AJ248" t="str">
        <x:v>Não</x:v>
      </x:c>
      <x:c r="AK248" t="n">
        <x:v>90</x:v>
      </x:c>
      <x:c r="AL248" t="n">
        <x:v>0</x:v>
      </x:c>
      <x:c r="AM248" s="64" t="n">
        <x:v>2.4333</x:v>
      </x:c>
      <x:c r="AN248" t="n">
        <x:v>1</x:v>
      </x:c>
      <x:c r="AO248" t="str">
        <x:v>Vermelho</x:v>
      </x:c>
      <x:c r="AP248" t="str">
        <x:v>SLA sintético excedido (tempo acumulado ≥ 100% do SLA)</x:v>
      </x:c>
      <x:c r="AQ248" t="str">
        <x:v>Priorizar avaliação do chamado em Sensor de Nível; SLA demonstrativo comprometido. Supervisor decide o encaminhamento.</x:v>
      </x:c>
      <x:c r="AR248" s="62" t="n">
        <x:v>818</x:v>
      </x:c>
      <x:c r="AS248" t="str">
        <x:v>Baixo</x:v>
      </x:c>
      <x:c r="AT248" s="50" t="n">
        <x:v>46273.583333333336</x:v>
      </x:c>
      <x:c r="AU248" t="str">
        <x:v>T08</x:v>
      </x:c>
      <x:c r="AV248" t="str">
        <x:v>Ocorrência adicional sintética; perfil inspirado em CH-20260908-002</x:v>
      </x:c>
    </x:row>
    <x:row r="249">
      <x:c r="A249" t="str">
        <x:v>CH-20260908-029</x:v>
      </x:c>
      <x:c r="B249" t="str">
        <x:v>Passageiro Preso</x:v>
      </x:c>
      <x:c r="C249" t="str">
        <x:v>Elevador parado entre andares</x:v>
      </x:c>
      <x:c r="D249" t="str">
        <x:v>Cabine imobilizada com passageiro no interior.</x:v>
      </x:c>
      <x:c r="E249" t="str">
        <x:v>Concluído</x:v>
      </x:c>
      <x:c r="F249" t="str">
        <x:v>Central de Atendimento</x:v>
      </x:c>
      <x:c r="G249" t="str">
        <x:v>E-108</x:v>
      </x:c>
      <x:c r="H249" t="str">
        <x:v>Elevador Social</x:v>
      </x:c>
      <x:c r="I249" t="str">
        <x:v>Microprocessado</x:v>
      </x:c>
      <x:c r="J249" t="str">
        <x:v>Gearless</x:v>
      </x:c>
      <x:c r="K249" t="str">
        <x:v>OTIS</x:v>
      </x:c>
      <x:c r="L249" t="str">
        <x:v>ROT-001</x:v>
      </x:c>
      <x:c r="M249" t="str">
        <x:v>Tração</x:v>
      </x:c>
      <x:c r="N249" t="str">
        <x:v>Freio</x:v>
      </x:c>
      <x:c r="O249" t="str">
        <x:v>Travamento</x:v>
      </x:c>
      <x:c r="P249" t="str">
        <x:v>Parada total</x:v>
      </x:c>
      <x:c r="Q249" t="str">
        <x:v>Diagnóstico e teste funcional simulados em Tração; encerramento demonstrativo, sem movimentação de estoque comprovada.</x:v>
      </x:c>
      <x:c r="R249" t="str">
        <x:v>Edifício Corporate</x:v>
      </x:c>
      <x:c r="S249" t="str">
        <x:v>Não</x:v>
      </x:c>
      <x:c r="T249" t="str">
        <x:v>Sim</x:v>
      </x:c>
      <x:c r="U249" t="str">
        <x:v>CT-2026-003</x:v>
      </x:c>
      <x:c r="V249" t="str">
        <x:v>SP-Oeste</x:v>
      </x:c>
      <x:c r="W249" t="str">
        <x:v>Ana Costa</x:v>
      </x:c>
      <x:c r="X249" t="str">
        <x:v>Supervisor A</x:v>
      </x:c>
      <x:c r="Y249" t="str">
        <x:v>Rota Oeste 03</x:v>
      </x:c>
      <x:c r="Z249" t="str">
        <x:v>Av. Faria Lima, 3500 - São Paulo/SP</x:v>
      </x:c>
      <x:c r="AA249" t="str">
        <x:v>São Paulo</x:v>
      </x:c>
      <x:c r="AB249" s="50" t="n">
        <x:v>46273.44097222222</x:v>
      </x:c>
      <x:c r="AC249" s="50" t="n">
        <x:v>46273.44305555556</x:v>
      </x:c>
      <x:c r="AD249" s="50" t="n">
        <x:v>46273.44930555556</x:v>
      </x:c>
      <x:c r="AE249" s="50" t="n">
        <x:v>46273.46875</x:v>
      </x:c>
      <x:c r="AF249" s="50" t="n">
        <x:v>46273.55069444444</x:v>
      </x:c>
      <x:c r="AG249" t="n">
        <x:v>40</x:v>
      </x:c>
      <x:c r="AH249" t="n">
        <x:v>113</x:v>
      </x:c>
      <x:c r="AI249" t="str">
        <x:v>Sim</x:v>
      </x:c>
      <x:c r="AJ249" t="str">
        <x:v>Sim</x:v>
      </x:c>
      <x:c r="AK249" t="n">
        <x:v>120</x:v>
      </x:c>
      <x:c r="AL249" t="n">
        <x:v>0</x:v>
      </x:c>
      <x:c r="AM249" s="64" t="n">
        <x:v>1.275</x:v>
      </x:c>
      <x:c r="AN249" t="n">
        <x:v>2</x:v>
      </x:c>
      <x:c r="AO249" t="str">
        <x:v>Vermelho</x:v>
      </x:c>
      <x:c r="AP249" t="str">
        <x:v>SLA sintético excedido (tempo acumulado ≥ 100% do SLA)</x:v>
      </x:c>
      <x:c r="AQ249" t="str">
        <x:v>Encerramento demonstrativo de Tração; verificar fechamento e histórico para aprendizado. Sem despacho automático.</x:v>
      </x:c>
      <x:c r="AR249" s="62" t="n">
        <x:v>1162.5</x:v>
      </x:c>
      <x:c r="AS249" t="str">
        <x:v>Médio</x:v>
      </x:c>
      <x:c r="AT249" s="50" t="n">
        <x:v>46273.583333333336</x:v>
      </x:c>
      <x:c r="AU249" t="str">
        <x:v>T08</x:v>
      </x:c>
      <x:c r="AV249" t="str">
        <x:v>Ocorrência adicional sintética; perfil inspirado em CH-20260908-009</x:v>
      </x:c>
    </x:row>
    <x:row r="250">
      <x:c r="A250" t="str">
        <x:v>CH-20260908-030</x:v>
      </x:c>
      <x:c r="B250" t="str">
        <x:v>Parada Intermitente</x:v>
      </x:c>
      <x:c r="C250" t="str">
        <x:v>Paradas aleatórias</x:v>
      </x:c>
      <x:c r="D250" t="str">
        <x:v>Equipamento interrompe operação de forma intermitente.</x:v>
      </x:c>
      <x:c r="E250" t="str">
        <x:v>Concluído</x:v>
      </x:c>
      <x:c r="F250" t="str">
        <x:v>Monitoramento Remoto</x:v>
      </x:c>
      <x:c r="G250" t="str">
        <x:v>E-130</x:v>
      </x:c>
      <x:c r="H250" t="str">
        <x:v>Elevador Social</x:v>
      </x:c>
      <x:c r="I250" t="str">
        <x:v>Microprocessado</x:v>
      </x:c>
      <x:c r="J250" t="str">
        <x:v>Gearless</x:v>
      </x:c>
      <x:c r="K250" t="str">
        <x:v>OTIS</x:v>
      </x:c>
      <x:c r="L250" t="str">
        <x:v>ROT-074</x:v>
      </x:c>
      <x:c r="M250" t="str">
        <x:v>Painel/Comando</x:v>
      </x:c>
      <x:c r="N250" t="str">
        <x:v>Placa</x:v>
      </x:c>
      <x:c r="O250" t="str">
        <x:v>Intermitência</x:v>
      </x:c>
      <x:c r="P250" t="str">
        <x:v>Falha intermitente</x:v>
      </x:c>
      <x:c r="Q250" t="str">
        <x:v>Diagnóstico e teste funcional simulados em Painel/Comando; encerramento demonstrativo, sem movimentação de estoque comprovada.</x:v>
      </x:c>
      <x:c r="R250" t="str">
        <x:v>Condomínio Alameda</x:v>
      </x:c>
      <x:c r="S250" t="str">
        <x:v>Não</x:v>
      </x:c>
      <x:c r="T250" t="str">
        <x:v>Não</x:v>
      </x:c>
      <x:c r="U250" t="str">
        <x:v>CT-2026-004</x:v>
      </x:c>
      <x:c r="V250" t="str">
        <x:v>SP-Sul</x:v>
      </x:c>
      <x:c r="W250" t="str">
        <x:v>Carlos Souza</x:v>
      </x:c>
      <x:c r="X250" t="str">
        <x:v>Supervisor D</x:v>
      </x:c>
      <x:c r="Y250" t="str">
        <x:v>Rota Sul 04</x:v>
      </x:c>
      <x:c r="Z250" t="str">
        <x:v>R. das Acácias, 420 - São Paulo/SP</x:v>
      </x:c>
      <x:c r="AA250" t="str">
        <x:v>São Paulo</x:v>
      </x:c>
      <x:c r="AB250" s="50" t="n">
        <x:v>46273.450694444444</x:v>
      </x:c>
      <x:c r="AC250" s="50" t="n">
        <x:v>46273.45347222222</x:v>
      </x:c>
      <x:c r="AD250" s="50" t="n">
        <x:v>46273.45625</x:v>
      </x:c>
      <x:c r="AE250" s="50" t="n">
        <x:v>46273.4875</x:v>
      </x:c>
      <x:c r="AF250" s="50" t="n">
        <x:v>46273.52361111111</x:v>
      </x:c>
      <x:c r="AG250" t="n">
        <x:v>53</x:v>
      </x:c>
      <x:c r="AH250" t="n">
        <x:v>47</x:v>
      </x:c>
      <x:c r="AI250" t="str">
        <x:v>Não</x:v>
      </x:c>
      <x:c r="AJ250" t="str">
        <x:v>Sim</x:v>
      </x:c>
      <x:c r="AK250" t="n">
        <x:v>180</x:v>
      </x:c>
      <x:c r="AL250" t="n">
        <x:v>0</x:v>
      </x:c>
      <x:c r="AM250" s="64" t="n">
        <x:v>0.5556</x:v>
      </x:c>
      <x:c r="AN250" t="n">
        <x:v>4</x:v>
      </x:c>
      <x:c r="AO250" t="str">
        <x:v>Laranja</x:v>
      </x:c>
      <x:c r="AP250" t="str">
        <x:v>janela de intervenção: recorrência ≥ 4/30d e equipamento parado</x:v>
      </x:c>
      <x:c r="AQ250" t="str">
        <x:v>Encerramento demonstrativo de Painel/Comando; verificar fechamento e histórico para aprendizado. Sem despacho automático.</x:v>
      </x:c>
      <x:c r="AR250" s="62" t="n">
        <x:v>1795</x:v>
      </x:c>
      <x:c r="AS250" t="str">
        <x:v>Alto</x:v>
      </x:c>
      <x:c r="AT250" s="50" t="n">
        <x:v>46273.583333333336</x:v>
      </x:c>
      <x:c r="AU250" t="str">
        <x:v>T08</x:v>
      </x:c>
      <x:c r="AV250" t="str">
        <x:v>Ocorrência adicional sintética; perfil inspirado em CH-20260908-016</x:v>
      </x:c>
    </x:row>
    <x:row r="251">
      <x:c r="A251" t="str">
        <x:v>CH-20260908-031</x:v>
      </x:c>
      <x:c r="B251" t="str">
        <x:v>Botão de Chamada</x:v>
      </x:c>
      <x:c r="C251" t="str">
        <x:v>Botão não responde</x:v>
      </x:c>
      <x:c r="D251" t="str">
        <x:v>Botão de chamada não registra comando.</x:v>
      </x:c>
      <x:c r="E251" t="str">
        <x:v>Concluído</x:v>
      </x:c>
      <x:c r="F251" t="str">
        <x:v>Aplicativo Cliente</x:v>
      </x:c>
      <x:c r="G251" t="str">
        <x:v>E-131</x:v>
      </x:c>
      <x:c r="H251" t="str">
        <x:v>Elevador Social</x:v>
      </x:c>
      <x:c r="I251" t="str">
        <x:v>Microprocessado</x:v>
      </x:c>
      <x:c r="J251" t="str">
        <x:v>Gearless</x:v>
      </x:c>
      <x:c r="K251" t="str">
        <x:v>OTIS</x:v>
      </x:c>
      <x:c r="L251" t="str">
        <x:v>ROT-063</x:v>
      </x:c>
      <x:c r="M251" t="str">
        <x:v>Botoeira</x:v>
      </x:c>
      <x:c r="N251" t="str">
        <x:v>Contato</x:v>
      </x:c>
      <x:c r="O251" t="str">
        <x:v>Mau contato</x:v>
      </x:c>
      <x:c r="P251" t="str">
        <x:v>Falha de comando</x:v>
      </x:c>
      <x:c r="Q251" t="str">
        <x:v>Diagnóstico e teste funcional simulados em Botoeira; encerramento demonstrativo, sem movimentação de estoque comprovada.</x:v>
      </x:c>
      <x:c r="R251" t="str">
        <x:v>Aeroporto Terminal 3</x:v>
      </x:c>
      <x:c r="S251" t="str">
        <x:v>Sim</x:v>
      </x:c>
      <x:c r="T251" t="str">
        <x:v>Sim</x:v>
      </x:c>
      <x:c r="U251" t="str">
        <x:v>CT-2026-005</x:v>
      </x:c>
      <x:c r="V251" t="str">
        <x:v>GRU</x:v>
      </x:c>
      <x:c r="W251" t="str">
        <x:v>Renata Alves</x:v>
      </x:c>
      <x:c r="X251" t="str">
        <x:v>Supervisor C</x:v>
      </x:c>
      <x:c r="Y251" t="str">
        <x:v>Rota GRU 05</x:v>
      </x:c>
      <x:c r="Z251" t="str">
        <x:v>Rod. Hélio Smidt, s/n - Guarulhos/SP</x:v>
      </x:c>
      <x:c r="AA251" t="str">
        <x:v>São Paulo</x:v>
      </x:c>
      <x:c r="AB251" s="50" t="n">
        <x:v>46273.461805555555</x:v>
      </x:c>
      <x:c r="AC251" s="50" t="n">
        <x:v>46273.46527777778</x:v>
      </x:c>
      <x:c r="AD251" s="50" t="n">
        <x:v>46273.46875</x:v>
      </x:c>
      <x:c r="AE251" s="50" t="n">
        <x:v>46273.50763888889</x:v>
      </x:c>
      <x:c r="AF251" s="50" t="n">
        <x:v>46273.555555555555</x:v>
      </x:c>
      <x:c r="AG251" t="n">
        <x:v>66</x:v>
      </x:c>
      <x:c r="AH251" t="n">
        <x:v>64</x:v>
      </x:c>
      <x:c r="AI251" t="str">
        <x:v>Não</x:v>
      </x:c>
      <x:c r="AJ251" t="str">
        <x:v>Não</x:v>
      </x:c>
      <x:c r="AK251" t="n">
        <x:v>45</x:v>
      </x:c>
      <x:c r="AL251" t="n">
        <x:v>0</x:v>
      </x:c>
      <x:c r="AM251" s="64" t="n">
        <x:v>2.8889</x:v>
      </x:c>
      <x:c r="AN251" t="n">
        <x:v>2</x:v>
      </x:c>
      <x:c r="AO251" t="str">
        <x:v>Vermelho</x:v>
      </x:c>
      <x:c r="AP251" t="str">
        <x:v>SLA sintético excedido (tempo acumulado ≥ 100% do SLA)</x:v>
      </x:c>
      <x:c r="AQ251" t="str">
        <x:v>Encerramento demonstrativo de Botoeira; verificar fechamento e histórico para aprendizado. Sem despacho automático.</x:v>
      </x:c>
      <x:c r="AR251" s="62" t="n">
        <x:v>814.5</x:v>
      </x:c>
      <x:c r="AS251" t="str">
        <x:v>Baixo</x:v>
      </x:c>
      <x:c r="AT251" s="50" t="n">
        <x:v>46273.583333333336</x:v>
      </x:c>
      <x:c r="AU251" t="str">
        <x:v>T08</x:v>
      </x:c>
      <x:c r="AV251" t="str">
        <x:v>Ocorrência adicional sintética; perfil inspirado em CH-20260908-023</x:v>
      </x:c>
    </x:row>
    <x:row r="252">
      <x:c r="A252" t="str">
        <x:v>CH-20260908-032</x:v>
      </x:c>
      <x:c r="B252" t="str">
        <x:v>Iluminação de Cabine</x:v>
      </x:c>
      <x:c r="C252" t="str">
        <x:v>Iluminação inoperante</x:v>
      </x:c>
      <x:c r="D252" t="str">
        <x:v>Cabine com iluminação parcial ou total indisponível.</x:v>
      </x:c>
      <x:c r="E252" t="str">
        <x:v>Concluído</x:v>
      </x:c>
      <x:c r="F252" t="str">
        <x:v>IoT</x:v>
      </x:c>
      <x:c r="G252" t="str">
        <x:v>E-132</x:v>
      </x:c>
      <x:c r="H252" t="str">
        <x:v>Elevador Social</x:v>
      </x:c>
      <x:c r="I252" t="str">
        <x:v>Microprocessado</x:v>
      </x:c>
      <x:c r="J252" t="str">
        <x:v>Gearless</x:v>
      </x:c>
      <x:c r="K252" t="str">
        <x:v>OTIS</x:v>
      </x:c>
      <x:c r="L252" t="str">
        <x:v>ROT-052</x:v>
      </x:c>
      <x:c r="M252" t="str">
        <x:v>Elétrica</x:v>
      </x:c>
      <x:c r="N252" t="str">
        <x:v>Fonte</x:v>
      </x:c>
      <x:c r="O252" t="str">
        <x:v>Sem alimentação</x:v>
      </x:c>
      <x:c r="P252" t="str">
        <x:v>Falha elétrica</x:v>
      </x:c>
      <x:c r="Q252" t="str">
        <x:v>Diagnóstico e teste funcional simulados em Elétrica; encerramento demonstrativo, sem movimentação de estoque comprovada.</x:v>
      </x:c>
      <x:c r="R252" t="str">
        <x:v>Universidade Central</x:v>
      </x:c>
      <x:c r="S252" t="str">
        <x:v>Não</x:v>
      </x:c>
      <x:c r="T252" t="str">
        <x:v>Sim</x:v>
      </x:c>
      <x:c r="U252" t="str">
        <x:v>CT-2026-006</x:v>
      </x:c>
      <x:c r="V252" t="str">
        <x:v>SP-Leste</x:v>
      </x:c>
      <x:c r="W252" t="str">
        <x:v>Paulo Mendes</x:v>
      </x:c>
      <x:c r="X252" t="str">
        <x:v>Supervisor B</x:v>
      </x:c>
      <x:c r="Y252" t="str">
        <x:v>Rota Leste 06</x:v>
      </x:c>
      <x:c r="Z252" t="str">
        <x:v>Av. Central, 850 - São Paulo/SP</x:v>
      </x:c>
      <x:c r="AA252" t="str">
        <x:v>São Paulo</x:v>
      </x:c>
      <x:c r="AB252" s="50" t="n">
        <x:v>46273.46875</x:v>
      </x:c>
      <x:c r="AC252" s="50" t="n">
        <x:v>46273.470138888886</x:v>
      </x:c>
      <x:c r="AD252" s="50" t="n">
        <x:v>46273.47430555556</x:v>
      </x:c>
      <x:c r="AE252" s="50" t="n">
        <x:v>46273.48819444444</x:v>
      </x:c>
      <x:c r="AF252" s="50" t="n">
        <x:v>46273.54791666667</x:v>
      </x:c>
      <x:c r="AG252" t="n">
        <x:v>28</x:v>
      </x:c>
      <x:c r="AH252" t="n">
        <x:v>81</x:v>
      </x:c>
      <x:c r="AI252" t="str">
        <x:v>Não</x:v>
      </x:c>
      <x:c r="AJ252" t="str">
        <x:v>Não</x:v>
      </x:c>
      <x:c r="AK252" t="n">
        <x:v>120</x:v>
      </x:c>
      <x:c r="AL252" t="n">
        <x:v>0</x:v>
      </x:c>
      <x:c r="AM252" s="64" t="n">
        <x:v>0.9083</x:v>
      </x:c>
      <x:c r="AN252" t="n">
        <x:v>0</x:v>
      </x:c>
      <x:c r="AO252" t="str">
        <x:v>Laranja</x:v>
      </x:c>
      <x:c r="AP252" t="str">
        <x:v>janela de intervenção: tempo acumulado ≥ 80% do SLA</x:v>
      </x:c>
      <x:c r="AQ252" t="str">
        <x:v>Encerramento demonstrativo de Elétrica; verificar fechamento e histórico para aprendizado. Sem despacho automático.</x:v>
      </x:c>
      <x:c r="AR252" s="62" t="n">
        <x:v>507</x:v>
      </x:c>
      <x:c r="AS252" t="str">
        <x:v>Baixo</x:v>
      </x:c>
      <x:c r="AT252" s="50" t="n">
        <x:v>46273.583333333336</x:v>
      </x:c>
      <x:c r="AU252" t="str">
        <x:v>T08</x:v>
      </x:c>
      <x:c r="AV252" t="str">
        <x:v>Ocorrência adicional sintética; perfil inspirado em CH-20260908-006</x:v>
      </x:c>
    </x:row>
    <x:row r="253">
      <x:c r="A253" t="str">
        <x:v>CH-20260908-033</x:v>
      </x:c>
      <x:c r="B253" t="str">
        <x:v>Falha de Tração</x:v>
      </x:c>
      <x:c r="C253" t="str">
        <x:v>Movimento irregular</x:v>
      </x:c>
      <x:c r="D253" t="str">
        <x:v>Equipamento apresenta perda de tração.</x:v>
      </x:c>
      <x:c r="E253" t="str">
        <x:v>Em atendimento</x:v>
      </x:c>
      <x:c r="F253" t="str">
        <x:v>Central de Atendimento</x:v>
      </x:c>
      <x:c r="G253" t="str">
        <x:v>E-133</x:v>
      </x:c>
      <x:c r="H253" t="str">
        <x:v>Elevador Social</x:v>
      </x:c>
      <x:c r="I253" t="str">
        <x:v>Microprocessado</x:v>
      </x:c>
      <x:c r="J253" t="str">
        <x:v>Gearless</x:v>
      </x:c>
      <x:c r="K253" t="str">
        <x:v>OTIS</x:v>
      </x:c>
      <x:c r="L253" t="str">
        <x:v>ROT-041</x:v>
      </x:c>
      <x:c r="M253" t="str">
        <x:v>Máquina de Tração</x:v>
      </x:c>
      <x:c r="N253" t="str">
        <x:v>Inversor</x:v>
      </x:c>
      <x:c r="O253" t="str">
        <x:v>Oscilação</x:v>
      </x:c>
      <x:c r="P253" t="str">
        <x:v>Falha de movimento</x:v>
      </x:c>
      <x:c r="Q253"/>
      <x:c r="R253" t="str">
        <x:v>Hospital São Paulo</x:v>
      </x:c>
      <x:c r="S253" t="str">
        <x:v>Sim</x:v>
      </x:c>
      <x:c r="T253" t="str">
        <x:v>Sim</x:v>
      </x:c>
      <x:c r="U253" t="str">
        <x:v>CT-2026-001</x:v>
      </x:c>
      <x:c r="V253" t="str">
        <x:v>SP-Centro</x:v>
      </x:c>
      <x:c r="W253" t="str">
        <x:v>João Silva</x:v>
      </x:c>
      <x:c r="X253" t="str">
        <x:v>Supervisor A</x:v>
      </x:c>
      <x:c r="Y253" t="str">
        <x:v>Rota Centro 01</x:v>
      </x:c>
      <x:c r="Z253" t="str">
        <x:v>Av. Paulista, 1000 - São Paulo/SP</x:v>
      </x:c>
      <x:c r="AA253" t="str">
        <x:v>São Paulo</x:v>
      </x:c>
      <x:c r="AB253" s="50" t="n">
        <x:v>46273.47638888889</x:v>
      </x:c>
      <x:c r="AC253" s="50" t="n">
        <x:v>46273.478472222225</x:v>
      </x:c>
      <x:c r="AD253" s="50" t="n">
        <x:v>46273.48333333333</x:v>
      </x:c>
      <x:c r="AE253" s="50" t="n">
        <x:v>46273.50486111111</x:v>
      </x:c>
      <x:c r="AF253" s="50"/>
      <x:c r="AG253" t="n">
        <x:v>41</x:v>
      </x:c>
      <x:c r="AH253"/>
      <x:c r="AI253" t="str">
        <x:v>Não</x:v>
      </x:c>
      <x:c r="AJ253" t="str">
        <x:v>Sim</x:v>
      </x:c>
      <x:c r="AK253" t="n">
        <x:v>60</x:v>
      </x:c>
      <x:c r="AL253" t="n">
        <x:v>0</x:v>
      </x:c>
      <x:c r="AM253" s="64" t="n">
        <x:v>2.5667</x:v>
      </x:c>
      <x:c r="AN253" t="n">
        <x:v>1</x:v>
      </x:c>
      <x:c r="AO253" t="str">
        <x:v>Vermelho</x:v>
      </x:c>
      <x:c r="AP253" t="str">
        <x:v>SLA sintético excedido (tempo acumulado ≥ 100% do SLA)</x:v>
      </x:c>
      <x:c r="AQ253" t="str">
        <x:v>Priorizar avaliação do chamado em Máquina de Tração; SLA demonstrativo comprometido. Supervisor decide o encaminhamento.</x:v>
      </x:c>
      <x:c r="AR253" s="62" t="n">
        <x:v>1123.5</x:v>
      </x:c>
      <x:c r="AS253" t="str">
        <x:v>Médio</x:v>
      </x:c>
      <x:c r="AT253" s="50" t="n">
        <x:v>46273.583333333336</x:v>
      </x:c>
      <x:c r="AU253" t="str">
        <x:v>T08</x:v>
      </x:c>
      <x:c r="AV253" t="str">
        <x:v>Ocorrência adicional sintética; perfil inspirado em CH-20260908-013</x:v>
      </x:c>
    </x:row>
    <x:row r="254">
      <x:c r="A254" t="str">
        <x:v>CH-20260908-034</x:v>
      </x:c>
      <x:c r="B254" t="str">
        <x:v>Painel sem comunicação</x:v>
      </x:c>
      <x:c r="C254" t="str">
        <x:v>Falha de comunicação</x:v>
      </x:c>
      <x:c r="D254" t="str">
        <x:v>Painel não responde aos comandos.</x:v>
      </x:c>
      <x:c r="E254" t="str">
        <x:v>Em atendimento</x:v>
      </x:c>
      <x:c r="F254" t="str">
        <x:v>Monitoramento Remoto</x:v>
      </x:c>
      <x:c r="G254" t="str">
        <x:v>E-134</x:v>
      </x:c>
      <x:c r="H254" t="str">
        <x:v>Elevador Social</x:v>
      </x:c>
      <x:c r="I254" t="str">
        <x:v>Microprocessado</x:v>
      </x:c>
      <x:c r="J254" t="str">
        <x:v>Gearless</x:v>
      </x:c>
      <x:c r="K254" t="str">
        <x:v>OTIS</x:v>
      </x:c>
      <x:c r="L254" t="str">
        <x:v>ROT-033</x:v>
      </x:c>
      <x:c r="M254" t="str">
        <x:v>Painel/Comando</x:v>
      </x:c>
      <x:c r="N254" t="str">
        <x:v>Interface</x:v>
      </x:c>
      <x:c r="O254" t="str">
        <x:v>Sem comunicação</x:v>
      </x:c>
      <x:c r="P254" t="str">
        <x:v>Falha lógica</x:v>
      </x:c>
      <x:c r="Q254"/>
      <x:c r="R254" t="str">
        <x:v>Shopping Center Norte</x:v>
      </x:c>
      <x:c r="S254" t="str">
        <x:v>Não</x:v>
      </x:c>
      <x:c r="T254" t="str">
        <x:v>Sim</x:v>
      </x:c>
      <x:c r="U254" t="str">
        <x:v>CT-2026-002</x:v>
      </x:c>
      <x:c r="V254" t="str">
        <x:v>SP-Norte</x:v>
      </x:c>
      <x:c r="W254" t="str">
        <x:v>Marcos Lima</x:v>
      </x:c>
      <x:c r="X254" t="str">
        <x:v>Supervisor D</x:v>
      </x:c>
      <x:c r="Y254" t="str">
        <x:v>Rota Norte 02</x:v>
      </x:c>
      <x:c r="Z254" t="str">
        <x:v>Av. Otto Baumgart, 245 - São Paulo/SP</x:v>
      </x:c>
      <x:c r="AA254" t="str">
        <x:v>São Paulo</x:v>
      </x:c>
      <x:c r="AB254" s="50" t="n">
        <x:v>46273.48402777778</x:v>
      </x:c>
      <x:c r="AC254" s="50" t="n">
        <x:v>46273.486805555556</x:v>
      </x:c>
      <x:c r="AD254" s="50" t="n">
        <x:v>46273.49236111111</x:v>
      </x:c>
      <x:c r="AE254" s="50" t="n">
        <x:v>46273.521527777775</x:v>
      </x:c>
      <x:c r="AF254" s="50"/>
      <x:c r="AG254" t="n">
        <x:v>54</x:v>
      </x:c>
      <x:c r="AH254"/>
      <x:c r="AI254" t="str">
        <x:v>Não</x:v>
      </x:c>
      <x:c r="AJ254" t="str">
        <x:v>Não</x:v>
      </x:c>
      <x:c r="AK254" t="n">
        <x:v>90</x:v>
      </x:c>
      <x:c r="AL254" t="n">
        <x:v>0</x:v>
      </x:c>
      <x:c r="AM254" s="64" t="n">
        <x:v>1.5889</x:v>
      </x:c>
      <x:c r="AN254" t="n">
        <x:v>3</x:v>
      </x:c>
      <x:c r="AO254" t="str">
        <x:v>Vermelho</x:v>
      </x:c>
      <x:c r="AP254" t="str">
        <x:v>SLA sintético excedido (tempo acumulado ≥ 100% do SLA)</x:v>
      </x:c>
      <x:c r="AQ254" t="str">
        <x:v>Priorizar avaliação do chamado em Painel/Comando; SLA demonstrativo comprometido. Supervisor decide o encaminhamento.</x:v>
      </x:c>
      <x:c r="AR254" s="62" t="n">
        <x:v>1484</x:v>
      </x:c>
      <x:c r="AS254" t="str">
        <x:v>Alto</x:v>
      </x:c>
      <x:c r="AT254" s="50" t="n">
        <x:v>46273.583333333336</x:v>
      </x:c>
      <x:c r="AU254" t="str">
        <x:v>T08</x:v>
      </x:c>
      <x:c r="AV254" t="str">
        <x:v>Ocorrência adicional sintética; perfil inspirado em CH-20260908-020</x:v>
      </x:c>
    </x:row>
    <x:row r="255">
      <x:c r="A255" t="str">
        <x:v>CH-20260908-035</x:v>
      </x:c>
      <x:c r="B255" t="str">
        <x:v>Porta não fecha</x:v>
      </x:c>
      <x:c r="C255" t="str">
        <x:v>Falha no fechamento</x:v>
      </x:c>
      <x:c r="D255" t="str">
        <x:v>Porta permanece aberta e impede partida.</x:v>
      </x:c>
      <x:c r="E255" t="str">
        <x:v>Em atendimento</x:v>
      </x:c>
      <x:c r="F255" t="str">
        <x:v>Aplicativo Cliente</x:v>
      </x:c>
      <x:c r="G255" t="str">
        <x:v>E-135</x:v>
      </x:c>
      <x:c r="H255" t="str">
        <x:v>Elevador Social</x:v>
      </x:c>
      <x:c r="I255" t="str">
        <x:v>Microprocessado</x:v>
      </x:c>
      <x:c r="J255" t="str">
        <x:v>Gearless</x:v>
      </x:c>
      <x:c r="K255" t="str">
        <x:v>OTIS</x:v>
      </x:c>
      <x:c r="L255" t="str">
        <x:v>ROT-021</x:v>
      </x:c>
      <x:c r="M255" t="str">
        <x:v>Operador de Porta</x:v>
      </x:c>
      <x:c r="N255" t="str">
        <x:v>Sensor de porta</x:v>
      </x:c>
      <x:c r="O255" t="str">
        <x:v>Falha de leitura</x:v>
      </x:c>
      <x:c r="P255" t="str">
        <x:v>Porta aberta</x:v>
      </x:c>
      <x:c r="Q255"/>
      <x:c r="R255" t="str">
        <x:v>Edifício Corporate</x:v>
      </x:c>
      <x:c r="S255" t="str">
        <x:v>Não</x:v>
      </x:c>
      <x:c r="T255" t="str">
        <x:v>Sim</x:v>
      </x:c>
      <x:c r="U255" t="str">
        <x:v>CT-2026-003</x:v>
      </x:c>
      <x:c r="V255" t="str">
        <x:v>SP-Oeste</x:v>
      </x:c>
      <x:c r="W255" t="str">
        <x:v>Ana Costa</x:v>
      </x:c>
      <x:c r="X255" t="str">
        <x:v>Supervisor C</x:v>
      </x:c>
      <x:c r="Y255" t="str">
        <x:v>Rota Oeste 03</x:v>
      </x:c>
      <x:c r="Z255" t="str">
        <x:v>Av. Faria Lima, 3500 - São Paulo/SP</x:v>
      </x:c>
      <x:c r="AA255" t="str">
        <x:v>São Paulo</x:v>
      </x:c>
      <x:c r="AB255" s="50" t="n">
        <x:v>46273.49375</x:v>
      </x:c>
      <x:c r="AC255" s="50" t="n">
        <x:v>46273.49722222222</x:v>
      </x:c>
      <x:c r="AD255" s="50" t="n">
        <x:v>46273.50347222222</x:v>
      </x:c>
      <x:c r="AE255" s="50" t="n">
        <x:v>46273.54027777778</x:v>
      </x:c>
      <x:c r="AF255" s="50"/>
      <x:c r="AG255" t="n">
        <x:v>67</x:v>
      </x:c>
      <x:c r="AH255"/>
      <x:c r="AI255" t="str">
        <x:v>Não</x:v>
      </x:c>
      <x:c r="AJ255" t="str">
        <x:v>Não</x:v>
      </x:c>
      <x:c r="AK255" t="n">
        <x:v>120</x:v>
      </x:c>
      <x:c r="AL255" t="n">
        <x:v>0</x:v>
      </x:c>
      <x:c r="AM255" s="64" t="n">
        <x:v>1.075</x:v>
      </x:c>
      <x:c r="AN255" t="n">
        <x:v>2</x:v>
      </x:c>
      <x:c r="AO255" t="str">
        <x:v>Vermelho</x:v>
      </x:c>
      <x:c r="AP255" t="str">
        <x:v>SLA sintético excedido (tempo acumulado ≥ 100% do SLA)</x:v>
      </x:c>
      <x:c r="AQ255" t="str">
        <x:v>Priorizar avaliação do chamado em Operador de Porta; SLA demonstrativo comprometido. Supervisor decide o encaminhamento.</x:v>
      </x:c>
      <x:c r="AR255" s="62" t="n">
        <x:v>884.5</x:v>
      </x:c>
      <x:c r="AS255" t="str">
        <x:v>Médio</x:v>
      </x:c>
      <x:c r="AT255" s="50" t="n">
        <x:v>46273.583333333336</x:v>
      </x:c>
      <x:c r="AU255" t="str">
        <x:v>T08</x:v>
      </x:c>
      <x:c r="AV255" t="str">
        <x:v>Ocorrência adicional sintética; perfil inspirado em CH-20260908-003</x:v>
      </x:c>
    </x:row>
    <x:row r="256">
      <x:c r="A256" t="str">
        <x:v>CH-20260908-036</x:v>
      </x:c>
      <x:c r="B256" t="str">
        <x:v>Falha de Nivelamento</x:v>
      </x:c>
      <x:c r="C256" t="str">
        <x:v>Cabine desnivelada</x:v>
      </x:c>
      <x:c r="D256" t="str">
        <x:v>Cabine parou fora do nível do pavimento.</x:v>
      </x:c>
      <x:c r="E256" t="str">
        <x:v>Concluído</x:v>
      </x:c>
      <x:c r="F256" t="str">
        <x:v>IoT</x:v>
      </x:c>
      <x:c r="G256" t="str">
        <x:v>E-113</x:v>
      </x:c>
      <x:c r="H256" t="str">
        <x:v>Elevador Social</x:v>
      </x:c>
      <x:c r="I256" t="str">
        <x:v>Microprocessado</x:v>
      </x:c>
      <x:c r="J256" t="str">
        <x:v>Gearless</x:v>
      </x:c>
      <x:c r="K256" t="str">
        <x:v>OTIS</x:v>
      </x:c>
      <x:c r="L256" t="str">
        <x:v>ROT-014</x:v>
      </x:c>
      <x:c r="M256" t="str">
        <x:v>Sensor de Nível</x:v>
      </x:c>
      <x:c r="N256" t="str">
        <x:v>Sensor</x:v>
      </x:c>
      <x:c r="O256" t="str">
        <x:v>Leitura inconsistente</x:v>
      </x:c>
      <x:c r="P256" t="str">
        <x:v>Falha de nivelamento</x:v>
      </x:c>
      <x:c r="Q256" t="str">
        <x:v>Diagnóstico e teste funcional simulados em Sensor de Nível; encerramento demonstrativo, sem movimentação de estoque comprovada.</x:v>
      </x:c>
      <x:c r="R256" t="str">
        <x:v>Condomínio Alameda</x:v>
      </x:c>
      <x:c r="S256" t="str">
        <x:v>Não</x:v>
      </x:c>
      <x:c r="T256" t="str">
        <x:v>Não</x:v>
      </x:c>
      <x:c r="U256" t="str">
        <x:v>CT-2026-004</x:v>
      </x:c>
      <x:c r="V256" t="str">
        <x:v>SP-Sul</x:v>
      </x:c>
      <x:c r="W256" t="str">
        <x:v>Carlos Souza</x:v>
      </x:c>
      <x:c r="X256" t="str">
        <x:v>Supervisor B</x:v>
      </x:c>
      <x:c r="Y256" t="str">
        <x:v>Rota Sul 04</x:v>
      </x:c>
      <x:c r="Z256" t="str">
        <x:v>R. das Acácias, 420 - São Paulo/SP</x:v>
      </x:c>
      <x:c r="AA256" t="str">
        <x:v>São Paulo</x:v>
      </x:c>
      <x:c r="AB256" s="50" t="n">
        <x:v>46273.50347222222</x:v>
      </x:c>
      <x:c r="AC256" s="50" t="n">
        <x:v>46273.50486111111</x:v>
      </x:c>
      <x:c r="AD256" s="50" t="n">
        <x:v>46273.50763888889</x:v>
      </x:c>
      <x:c r="AE256" s="50" t="n">
        <x:v>46273.52361111111</x:v>
      </x:c>
      <x:c r="AF256" s="50" t="n">
        <x:v>46273.572916666664</x:v>
      </x:c>
      <x:c r="AG256" t="n">
        <x:v>29</x:v>
      </x:c>
      <x:c r="AH256" t="n">
        <x:v>66</x:v>
      </x:c>
      <x:c r="AI256" t="str">
        <x:v>Não</x:v>
      </x:c>
      <x:c r="AJ256" t="str">
        <x:v>Não</x:v>
      </x:c>
      <x:c r="AK256" t="n">
        <x:v>180</x:v>
      </x:c>
      <x:c r="AL256" t="n">
        <x:v>0</x:v>
      </x:c>
      <x:c r="AM256" s="64" t="n">
        <x:v>0.5278</x:v>
      </x:c>
      <x:c r="AN256" t="n">
        <x:v>2</x:v>
      </x:c>
      <x:c r="AO256" t="str">
        <x:v>Amarelo</x:v>
      </x:c>
      <x:c r="AP256" t="str">
        <x:v>atenção: recorrências em 30 dias</x:v>
      </x:c>
      <x:c r="AQ256" t="str">
        <x:v>Encerramento demonstrativo de Sensor de Nível; verificar fechamento e histórico para aprendizado. Sem despacho automático.</x:v>
      </x:c>
      <x:c r="AR256" s="62" t="n">
        <x:v>945</x:v>
      </x:c>
      <x:c r="AS256" t="str">
        <x:v>Médio</x:v>
      </x:c>
      <x:c r="AT256" s="50" t="n">
        <x:v>46273.583333333336</x:v>
      </x:c>
      <x:c r="AU256" t="str">
        <x:v>T08</x:v>
      </x:c>
      <x:c r="AV256" t="str">
        <x:v>Ocorrência adicional sintética; perfil inspirado em CH-20260908-010</x:v>
      </x:c>
    </x:row>
    <x:row r="257">
      <x:c r="A257" t="str">
        <x:v>CH-20260908-037</x:v>
      </x:c>
      <x:c r="B257" t="str">
        <x:v>Passageiro Preso</x:v>
      </x:c>
      <x:c r="C257" t="str">
        <x:v>Elevador parado entre andares</x:v>
      </x:c>
      <x:c r="D257" t="str">
        <x:v>Cabine imobilizada com passageiro no interior.</x:v>
      </x:c>
      <x:c r="E257" t="str">
        <x:v>Em atendimento</x:v>
      </x:c>
      <x:c r="F257" t="str">
        <x:v>Central de Atendimento</x:v>
      </x:c>
      <x:c r="G257" t="str">
        <x:v>E-137</x:v>
      </x:c>
      <x:c r="H257" t="str">
        <x:v>Elevador Social</x:v>
      </x:c>
      <x:c r="I257" t="str">
        <x:v>Microprocessado</x:v>
      </x:c>
      <x:c r="J257" t="str">
        <x:v>Gearless</x:v>
      </x:c>
      <x:c r="K257" t="str">
        <x:v>OTIS</x:v>
      </x:c>
      <x:c r="L257" t="str">
        <x:v>ROT-001</x:v>
      </x:c>
      <x:c r="M257" t="str">
        <x:v>Tração</x:v>
      </x:c>
      <x:c r="N257" t="str">
        <x:v>Freio</x:v>
      </x:c>
      <x:c r="O257" t="str">
        <x:v>Travamento</x:v>
      </x:c>
      <x:c r="P257" t="str">
        <x:v>Parada total</x:v>
      </x:c>
      <x:c r="Q257"/>
      <x:c r="R257" t="str">
        <x:v>Aeroporto Terminal 3</x:v>
      </x:c>
      <x:c r="S257" t="str">
        <x:v>Sim</x:v>
      </x:c>
      <x:c r="T257" t="str">
        <x:v>Sim</x:v>
      </x:c>
      <x:c r="U257" t="str">
        <x:v>CT-2026-005</x:v>
      </x:c>
      <x:c r="V257" t="str">
        <x:v>GRU</x:v>
      </x:c>
      <x:c r="W257" t="str">
        <x:v>Renata Alves</x:v>
      </x:c>
      <x:c r="X257" t="str">
        <x:v>Supervisor A</x:v>
      </x:c>
      <x:c r="Y257" t="str">
        <x:v>Rota GRU 05</x:v>
      </x:c>
      <x:c r="Z257" t="str">
        <x:v>Rod. Hélio Smidt, s/n - Guarulhos/SP</x:v>
      </x:c>
      <x:c r="AA257" t="str">
        <x:v>São Paulo</x:v>
      </x:c>
      <x:c r="AB257" s="50" t="n">
        <x:v>46273.513194444444</x:v>
      </x:c>
      <x:c r="AC257" s="50" t="n">
        <x:v>46273.51527777778</x:v>
      </x:c>
      <x:c r="AD257" s="50" t="n">
        <x:v>46273.51875</x:v>
      </x:c>
      <x:c r="AE257" s="50" t="n">
        <x:v>46273.54236111111</x:v>
      </x:c>
      <x:c r="AF257" s="50"/>
      <x:c r="AG257" t="n">
        <x:v>42</x:v>
      </x:c>
      <x:c r="AH257"/>
      <x:c r="AI257" t="str">
        <x:v>Sim</x:v>
      </x:c>
      <x:c r="AJ257" t="str">
        <x:v>Sim</x:v>
      </x:c>
      <x:c r="AK257" t="n">
        <x:v>45</x:v>
      </x:c>
      <x:c r="AL257" t="n">
        <x:v>0</x:v>
      </x:c>
      <x:c r="AM257" s="64" t="n">
        <x:v>2.2444</x:v>
      </x:c>
      <x:c r="AN257" t="n">
        <x:v>0</x:v>
      </x:c>
      <x:c r="AO257" t="str">
        <x:v>Vermelho</x:v>
      </x:c>
      <x:c r="AP257" t="str">
        <x:v>SLA sintético excedido (tempo acumulado ≥ 100% do SLA)</x:v>
      </x:c>
      <x:c r="AQ257" t="str">
        <x:v>Priorizar avaliação do chamado em Tração; SLA demonstrativo comprometido. Supervisor decide o encaminhamento.</x:v>
      </x:c>
      <x:c r="AR257" s="62" t="n">
        <x:v>1098.5</x:v>
      </x:c>
      <x:c r="AS257" t="str">
        <x:v>Médio</x:v>
      </x:c>
      <x:c r="AT257" s="50" t="n">
        <x:v>46273.583333333336</x:v>
      </x:c>
      <x:c r="AU257" t="str">
        <x:v>T08</x:v>
      </x:c>
      <x:c r="AV257" t="str">
        <x:v>Ocorrência adicional sintética; perfil inspirado em CH-20260908-017</x:v>
      </x:c>
    </x:row>
    <x:row r="258">
      <x:c r="A258" t="str">
        <x:v>CH-20260908-038</x:v>
      </x:c>
      <x:c r="B258" t="str">
        <x:v>Parada Intermitente</x:v>
      </x:c>
      <x:c r="C258" t="str">
        <x:v>Paradas aleatórias</x:v>
      </x:c>
      <x:c r="D258" t="str">
        <x:v>Equipamento interrompe operação de forma intermitente.</x:v>
      </x:c>
      <x:c r="E258" t="str">
        <x:v>Em atendimento</x:v>
      </x:c>
      <x:c r="F258" t="str">
        <x:v>Monitoramento Remoto</x:v>
      </x:c>
      <x:c r="G258" t="str">
        <x:v>E-138</x:v>
      </x:c>
      <x:c r="H258" t="str">
        <x:v>Elevador Social</x:v>
      </x:c>
      <x:c r="I258" t="str">
        <x:v>Microprocessado</x:v>
      </x:c>
      <x:c r="J258" t="str">
        <x:v>Gearless</x:v>
      </x:c>
      <x:c r="K258" t="str">
        <x:v>OTIS</x:v>
      </x:c>
      <x:c r="L258" t="str">
        <x:v>ROT-074</x:v>
      </x:c>
      <x:c r="M258" t="str">
        <x:v>Painel/Comando</x:v>
      </x:c>
      <x:c r="N258" t="str">
        <x:v>Placa</x:v>
      </x:c>
      <x:c r="O258" t="str">
        <x:v>Intermitência</x:v>
      </x:c>
      <x:c r="P258" t="str">
        <x:v>Falha intermitente</x:v>
      </x:c>
      <x:c r="Q258"/>
      <x:c r="R258" t="str">
        <x:v>Universidade Central</x:v>
      </x:c>
      <x:c r="S258" t="str">
        <x:v>Não</x:v>
      </x:c>
      <x:c r="T258" t="str">
        <x:v>Sim</x:v>
      </x:c>
      <x:c r="U258" t="str">
        <x:v>CT-2026-006</x:v>
      </x:c>
      <x:c r="V258" t="str">
        <x:v>SP-Leste</x:v>
      </x:c>
      <x:c r="W258" t="str">
        <x:v>Paulo Mendes</x:v>
      </x:c>
      <x:c r="X258" t="str">
        <x:v>Supervisor D</x:v>
      </x:c>
      <x:c r="Y258" t="str">
        <x:v>Rota Leste 06</x:v>
      </x:c>
      <x:c r="Z258" t="str">
        <x:v>Av. Central, 850 - São Paulo/SP</x:v>
      </x:c>
      <x:c r="AA258" t="str">
        <x:v>São Paulo</x:v>
      </x:c>
      <x:c r="AB258" s="50" t="n">
        <x:v>46273.524305555555</x:v>
      </x:c>
      <x:c r="AC258" s="50" t="n">
        <x:v>46273.527083333334</x:v>
      </x:c>
      <x:c r="AD258" s="50" t="n">
        <x:v>46273.53125</x:v>
      </x:c>
      <x:c r="AE258" s="50" t="n">
        <x:v>46273.5625</x:v>
      </x:c>
      <x:c r="AF258" s="50"/>
      <x:c r="AG258" t="n">
        <x:v>55</x:v>
      </x:c>
      <x:c r="AH258"/>
      <x:c r="AI258" t="str">
        <x:v>Não</x:v>
      </x:c>
      <x:c r="AJ258" t="str">
        <x:v>Sim</x:v>
      </x:c>
      <x:c r="AK258" t="n">
        <x:v>120</x:v>
      </x:c>
      <x:c r="AL258" t="n">
        <x:v>0</x:v>
      </x:c>
      <x:c r="AM258" s="64" t="n">
        <x:v>0.7083</x:v>
      </x:c>
      <x:c r="AN258" t="n">
        <x:v>4</x:v>
      </x:c>
      <x:c r="AO258" t="str">
        <x:v>Laranja</x:v>
      </x:c>
      <x:c r="AP258" t="str">
        <x:v>janela de intervenção: recorrência ≥ 4/30d e equipamento parado</x:v>
      </x:c>
      <x:c r="AQ258" t="str">
        <x:v>Janela de intervenção em Painel/Comando; revisar recorrências (4/30d) e contexto antes de escalar.</x:v>
      </x:c>
      <x:c r="AR258" s="62" t="n">
        <x:v>1617</x:v>
      </x:c>
      <x:c r="AS258" t="str">
        <x:v>Alto</x:v>
      </x:c>
      <x:c r="AT258" s="50" t="n">
        <x:v>46273.583333333336</x:v>
      </x:c>
      <x:c r="AU258" t="str">
        <x:v>T08</x:v>
      </x:c>
      <x:c r="AV258" t="str">
        <x:v>Ocorrência adicional sintética; perfil inspirado em CH-20260908-024</x:v>
      </x:c>
    </x:row>
    <x:row r="259">
      <x:c r="A259" t="str">
        <x:v>CH-20260908-039</x:v>
      </x:c>
      <x:c r="B259" t="str">
        <x:v>Botão de Chamada</x:v>
      </x:c>
      <x:c r="C259" t="str">
        <x:v>Botão não responde</x:v>
      </x:c>
      <x:c r="D259" t="str">
        <x:v>Botão de chamada não registra comando.</x:v>
      </x:c>
      <x:c r="E259" t="str">
        <x:v>Em atendimento</x:v>
      </x:c>
      <x:c r="F259" t="str">
        <x:v>Aplicativo Cliente</x:v>
      </x:c>
      <x:c r="G259" t="str">
        <x:v>E-139</x:v>
      </x:c>
      <x:c r="H259" t="str">
        <x:v>Elevador Social</x:v>
      </x:c>
      <x:c r="I259" t="str">
        <x:v>Microprocessado</x:v>
      </x:c>
      <x:c r="J259" t="str">
        <x:v>Gearless</x:v>
      </x:c>
      <x:c r="K259" t="str">
        <x:v>OTIS</x:v>
      </x:c>
      <x:c r="L259" t="str">
        <x:v>ROT-063</x:v>
      </x:c>
      <x:c r="M259" t="str">
        <x:v>Botoeira</x:v>
      </x:c>
      <x:c r="N259" t="str">
        <x:v>Contato</x:v>
      </x:c>
      <x:c r="O259" t="str">
        <x:v>Mau contato</x:v>
      </x:c>
      <x:c r="P259" t="str">
        <x:v>Falha de comando</x:v>
      </x:c>
      <x:c r="Q259"/>
      <x:c r="R259" t="str">
        <x:v>Hospital São Paulo</x:v>
      </x:c>
      <x:c r="S259" t="str">
        <x:v>Sim</x:v>
      </x:c>
      <x:c r="T259" t="str">
        <x:v>Sim</x:v>
      </x:c>
      <x:c r="U259" t="str">
        <x:v>CT-2026-001</x:v>
      </x:c>
      <x:c r="V259" t="str">
        <x:v>SP-Centro</x:v>
      </x:c>
      <x:c r="W259" t="str">
        <x:v>João Silva</x:v>
      </x:c>
      <x:c r="X259" t="str">
        <x:v>Supervisor C</x:v>
      </x:c>
      <x:c r="Y259" t="str">
        <x:v>Rota Centro 01</x:v>
      </x:c>
      <x:c r="Z259" t="str">
        <x:v>Av. Paulista, 1000 - São Paulo/SP</x:v>
      </x:c>
      <x:c r="AA259" t="str">
        <x:v>São Paulo</x:v>
      </x:c>
      <x:c r="AB259" s="50" t="n">
        <x:v>46273.53125</x:v>
      </x:c>
      <x:c r="AC259" s="50" t="n">
        <x:v>46273.53472222222</x:v>
      </x:c>
      <x:c r="AD259" s="50" t="n">
        <x:v>46273.53958333333</x:v>
      </x:c>
      <x:c r="AE259" s="50" t="n">
        <x:v>46273.57847222222</x:v>
      </x:c>
      <x:c r="AF259" s="50"/>
      <x:c r="AG259" t="n">
        <x:v>68</x:v>
      </x:c>
      <x:c r="AH259"/>
      <x:c r="AI259" t="str">
        <x:v>Não</x:v>
      </x:c>
      <x:c r="AJ259" t="str">
        <x:v>Não</x:v>
      </x:c>
      <x:c r="AK259" t="n">
        <x:v>60</x:v>
      </x:c>
      <x:c r="AL259" t="n">
        <x:v>0</x:v>
      </x:c>
      <x:c r="AM259" s="64" t="n">
        <x:v>1.25</x:v>
      </x:c>
      <x:c r="AN259" t="n">
        <x:v>2</x:v>
      </x:c>
      <x:c r="AO259" t="str">
        <x:v>Vermelho</x:v>
      </x:c>
      <x:c r="AP259" t="str">
        <x:v>SLA sintético excedido (tempo acumulado ≥ 100% do SLA)</x:v>
      </x:c>
      <x:c r="AQ259" t="str">
        <x:v>Priorizar avaliação do chamado em Botoeira; SLA demonstrativo comprometido. Supervisor decide o encaminhamento.</x:v>
      </x:c>
      <x:c r="AR259" s="62" t="n">
        <x:v>881.5</x:v>
      </x:c>
      <x:c r="AS259" t="str">
        <x:v>Baixo</x:v>
      </x:c>
      <x:c r="AT259" s="50" t="n">
        <x:v>46273.583333333336</x:v>
      </x:c>
      <x:c r="AU259" t="str">
        <x:v>T08</x:v>
      </x:c>
      <x:c r="AV259" t="str">
        <x:v>Ocorrência adicional sintética; perfil inspirado em CH-20260908-007</x:v>
      </x:c>
    </x:row>
    <x:row r="260">
      <x:c r="A260" t="str">
        <x:v>CH-20260908-040</x:v>
      </x:c>
      <x:c r="B260" t="str">
        <x:v>Iluminação de Cabine</x:v>
      </x:c>
      <x:c r="C260" t="str">
        <x:v>Iluminação inoperante</x:v>
      </x:c>
      <x:c r="D260" t="str">
        <x:v>Cabine com iluminação parcial ou total indisponível.</x:v>
      </x:c>
      <x:c r="E260" t="str">
        <x:v>Em atendimento</x:v>
      </x:c>
      <x:c r="F260" t="str">
        <x:v>IoT</x:v>
      </x:c>
      <x:c r="G260" t="str">
        <x:v>E-140</x:v>
      </x:c>
      <x:c r="H260" t="str">
        <x:v>Elevador Social</x:v>
      </x:c>
      <x:c r="I260" t="str">
        <x:v>Microprocessado</x:v>
      </x:c>
      <x:c r="J260" t="str">
        <x:v>Gearless</x:v>
      </x:c>
      <x:c r="K260" t="str">
        <x:v>OTIS</x:v>
      </x:c>
      <x:c r="L260" t="str">
        <x:v>ROT-052</x:v>
      </x:c>
      <x:c r="M260" t="str">
        <x:v>Elétrica</x:v>
      </x:c>
      <x:c r="N260" t="str">
        <x:v>Fonte</x:v>
      </x:c>
      <x:c r="O260" t="str">
        <x:v>Sem alimentação</x:v>
      </x:c>
      <x:c r="P260" t="str">
        <x:v>Falha elétrica</x:v>
      </x:c>
      <x:c r="Q260"/>
      <x:c r="R260" t="str">
        <x:v>Shopping Center Norte</x:v>
      </x:c>
      <x:c r="S260" t="str">
        <x:v>Não</x:v>
      </x:c>
      <x:c r="T260" t="str">
        <x:v>Sim</x:v>
      </x:c>
      <x:c r="U260" t="str">
        <x:v>CT-2026-002</x:v>
      </x:c>
      <x:c r="V260" t="str">
        <x:v>SP-Norte</x:v>
      </x:c>
      <x:c r="W260" t="str">
        <x:v>Marcos Lima</x:v>
      </x:c>
      <x:c r="X260" t="str">
        <x:v>Supervisor B</x:v>
      </x:c>
      <x:c r="Y260" t="str">
        <x:v>Rota Norte 02</x:v>
      </x:c>
      <x:c r="Z260" t="str">
        <x:v>Av. Otto Baumgart, 245 - São Paulo/SP</x:v>
      </x:c>
      <x:c r="AA260" t="str">
        <x:v>São Paulo</x:v>
      </x:c>
      <x:c r="AB260" s="50" t="n">
        <x:v>46273.53888888889</x:v>
      </x:c>
      <x:c r="AC260" s="50" t="n">
        <x:v>46273.54027777778</x:v>
      </x:c>
      <x:c r="AD260" s="50" t="n">
        <x:v>46273.54583333333</x:v>
      </x:c>
      <x:c r="AE260" s="50" t="n">
        <x:v>46273.55972222222</x:v>
      </x:c>
      <x:c r="AF260" s="50"/>
      <x:c r="AG260" t="n">
        <x:v>30</x:v>
      </x:c>
      <x:c r="AH260"/>
      <x:c r="AI260" t="str">
        <x:v>Não</x:v>
      </x:c>
      <x:c r="AJ260" t="str">
        <x:v>Não</x:v>
      </x:c>
      <x:c r="AK260" t="n">
        <x:v>90</x:v>
      </x:c>
      <x:c r="AL260" t="n">
        <x:v>0</x:v>
      </x:c>
      <x:c r="AM260" s="64" t="n">
        <x:v>0.7111</x:v>
      </x:c>
      <x:c r="AN260" t="n">
        <x:v>0</x:v>
      </x:c>
      <x:c r="AO260" t="str">
        <x:v>Amarelo</x:v>
      </x:c>
      <x:c r="AP260" t="str">
        <x:v>atenção: tempo acumulado ≥ 55% do SLA</x:v>
      </x:c>
      <x:c r="AQ260" t="str">
        <x:v>Acompanhar sinais em Elétrica; correlacionar histórico e SLA antes de recomendar intervenção.</x:v>
      </x:c>
      <x:c r="AR260" s="62" t="n">
        <x:v>770</x:v>
      </x:c>
      <x:c r="AS260" t="str">
        <x:v>Médio</x:v>
      </x:c>
      <x:c r="AT260" s="50" t="n">
        <x:v>46273.583333333336</x:v>
      </x:c>
      <x:c r="AU260" t="str">
        <x:v>T08</x:v>
      </x:c>
      <x:c r="AV260" t="str">
        <x:v>Ocorrência adicional sintética; perfil inspirado em CH-20260908-014</x:v>
      </x:c>
    </x:row>
    <x:row r="261">
      <x:c r="A261" t="str">
        <x:v>CH-20260908-041</x:v>
      </x:c>
      <x:c r="B261" t="str">
        <x:v>Falha de Tração</x:v>
      </x:c>
      <x:c r="C261" t="str">
        <x:v>Movimento irregular</x:v>
      </x:c>
      <x:c r="D261" t="str">
        <x:v>Equipamento apresenta perda de tração.</x:v>
      </x:c>
      <x:c r="E261" t="str">
        <x:v>Em atendimento</x:v>
      </x:c>
      <x:c r="F261" t="str">
        <x:v>Central de Atendimento</x:v>
      </x:c>
      <x:c r="G261" t="str">
        <x:v>E-141</x:v>
      </x:c>
      <x:c r="H261" t="str">
        <x:v>Elevador Social</x:v>
      </x:c>
      <x:c r="I261" t="str">
        <x:v>Microprocessado</x:v>
      </x:c>
      <x:c r="J261" t="str">
        <x:v>Gearless</x:v>
      </x:c>
      <x:c r="K261" t="str">
        <x:v>OTIS</x:v>
      </x:c>
      <x:c r="L261" t="str">
        <x:v>ROT-041</x:v>
      </x:c>
      <x:c r="M261" t="str">
        <x:v>Máquina de Tração</x:v>
      </x:c>
      <x:c r="N261" t="str">
        <x:v>Inversor</x:v>
      </x:c>
      <x:c r="O261" t="str">
        <x:v>Oscilação</x:v>
      </x:c>
      <x:c r="P261" t="str">
        <x:v>Falha de movimento</x:v>
      </x:c>
      <x:c r="Q261"/>
      <x:c r="R261" t="str">
        <x:v>Edifício Corporate</x:v>
      </x:c>
      <x:c r="S261" t="str">
        <x:v>Não</x:v>
      </x:c>
      <x:c r="T261" t="str">
        <x:v>Sim</x:v>
      </x:c>
      <x:c r="U261" t="str">
        <x:v>CT-2026-003</x:v>
      </x:c>
      <x:c r="V261" t="str">
        <x:v>SP-Oeste</x:v>
      </x:c>
      <x:c r="W261" t="str">
        <x:v>Ana Costa</x:v>
      </x:c>
      <x:c r="X261" t="str">
        <x:v>Supervisor A</x:v>
      </x:c>
      <x:c r="Y261" t="str">
        <x:v>Rota Oeste 03</x:v>
      </x:c>
      <x:c r="Z261" t="str">
        <x:v>Av. Faria Lima, 3500 - São Paulo/SP</x:v>
      </x:c>
      <x:c r="AA261" t="str">
        <x:v>São Paulo</x:v>
      </x:c>
      <x:c r="AB261" s="50" t="n">
        <x:v>46273.54652777778</x:v>
      </x:c>
      <x:c r="AC261" s="50" t="n">
        <x:v>46273.54861111111</x:v>
      </x:c>
      <x:c r="AD261" s="50" t="n">
        <x:v>46273.55486111111</x:v>
      </x:c>
      <x:c r="AE261" s="50" t="n">
        <x:v>46273.57638888889</x:v>
      </x:c>
      <x:c r="AF261" s="50"/>
      <x:c r="AG261" t="n">
        <x:v>43</x:v>
      </x:c>
      <x:c r="AH261"/>
      <x:c r="AI261" t="str">
        <x:v>Não</x:v>
      </x:c>
      <x:c r="AJ261" t="str">
        <x:v>Sim</x:v>
      </x:c>
      <x:c r="AK261" t="n">
        <x:v>120</x:v>
      </x:c>
      <x:c r="AL261" t="n">
        <x:v>0</x:v>
      </x:c>
      <x:c r="AM261" s="64" t="n">
        <x:v>0.4417</x:v>
      </x:c>
      <x:c r="AN261" t="n">
        <x:v>1</x:v>
      </x:c>
      <x:c r="AO261" t="str">
        <x:v>Amarelo</x:v>
      </x:c>
      <x:c r="AP261" t="str">
        <x:v>atenção: condição operacional sensível</x:v>
      </x:c>
      <x:c r="AQ261" t="str">
        <x:v>Acompanhar sinais em Máquina de Tração; correlacionar histórico e SLA antes de recomendar intervenção.</x:v>
      </x:c>
      <x:c r="AR261" s="62" t="n">
        <x:v>1250.5</x:v>
      </x:c>
      <x:c r="AS261" t="str">
        <x:v>Alto</x:v>
      </x:c>
      <x:c r="AT261" s="50" t="n">
        <x:v>46273.583333333336</x:v>
      </x:c>
      <x:c r="AU261" t="str">
        <x:v>T08</x:v>
      </x:c>
      <x:c r="AV261" t="str">
        <x:v>Ocorrência adicional sintética; perfil inspirado em CH-20260908-021</x:v>
      </x:c>
    </x:row>
    <x:row r="262">
      <x:c r="A262" t="str">
        <x:v>CH-20260908-042</x:v>
      </x:c>
      <x:c r="B262" t="str">
        <x:v>Painel sem comunicação</x:v>
      </x:c>
      <x:c r="C262" t="str">
        <x:v>Falha de comunicação</x:v>
      </x:c>
      <x:c r="D262" t="str">
        <x:v>Painel não responde aos comandos.</x:v>
      </x:c>
      <x:c r="E262" t="str">
        <x:v>Técnico a caminho</x:v>
      </x:c>
      <x:c r="F262" t="str">
        <x:v>Monitoramento Remoto</x:v>
      </x:c>
      <x:c r="G262" t="str">
        <x:v>E-142</x:v>
      </x:c>
      <x:c r="H262" t="str">
        <x:v>Elevador Social</x:v>
      </x:c>
      <x:c r="I262" t="str">
        <x:v>Microprocessado</x:v>
      </x:c>
      <x:c r="J262" t="str">
        <x:v>Gearless</x:v>
      </x:c>
      <x:c r="K262" t="str">
        <x:v>OTIS</x:v>
      </x:c>
      <x:c r="L262" t="str">
        <x:v>ROT-033</x:v>
      </x:c>
      <x:c r="M262" t="str">
        <x:v>Painel/Comando</x:v>
      </x:c>
      <x:c r="N262" t="str">
        <x:v>Interface</x:v>
      </x:c>
      <x:c r="O262" t="str">
        <x:v>Sem comunicação</x:v>
      </x:c>
      <x:c r="P262" t="str">
        <x:v>Falha lógica</x:v>
      </x:c>
      <x:c r="Q262"/>
      <x:c r="R262" t="str">
        <x:v>Condomínio Alameda</x:v>
      </x:c>
      <x:c r="S262" t="str">
        <x:v>Não</x:v>
      </x:c>
      <x:c r="T262" t="str">
        <x:v>Não</x:v>
      </x:c>
      <x:c r="U262" t="str">
        <x:v>CT-2026-004</x:v>
      </x:c>
      <x:c r="V262" t="str">
        <x:v>SP-Sul</x:v>
      </x:c>
      <x:c r="W262" t="str">
        <x:v>Carlos Souza</x:v>
      </x:c>
      <x:c r="X262" t="str">
        <x:v>Supervisor D</x:v>
      </x:c>
      <x:c r="Y262" t="str">
        <x:v>Rota Sul 04</x:v>
      </x:c>
      <x:c r="Z262" t="str">
        <x:v>R. das Acácias, 420 - São Paulo/SP</x:v>
      </x:c>
      <x:c r="AA262" t="str">
        <x:v>São Paulo</x:v>
      </x:c>
      <x:c r="AB262" s="50" t="n">
        <x:v>46273.55625</x:v>
      </x:c>
      <x:c r="AC262" s="50" t="n">
        <x:v>46273.55902777778</x:v>
      </x:c>
      <x:c r="AD262" s="50" t="n">
        <x:v>46273.56180555555</x:v>
      </x:c>
      <x:c r="AE262" s="50"/>
      <x:c r="AF262" s="50"/>
      <x:c r="AG262"/>
      <x:c r="AH262"/>
      <x:c r="AI262" t="str">
        <x:v>Não</x:v>
      </x:c>
      <x:c r="AJ262" t="str">
        <x:v>Não</x:v>
      </x:c>
      <x:c r="AK262" t="n">
        <x:v>180</x:v>
      </x:c>
      <x:c r="AL262" t="n">
        <x:v>17</x:v>
      </x:c>
      <x:c r="AM262" s="64" t="n">
        <x:v>0.2167</x:v>
      </x:c>
      <x:c r="AN262" t="n">
        <x:v>3</x:v>
      </x:c>
      <x:c r="AO262" t="str">
        <x:v>Amarelo</x:v>
      </x:c>
      <x:c r="AP262" t="str">
        <x:v>atenção: recorrências em 30 dias</x:v>
      </x:c>
      <x:c r="AQ262" t="str">
        <x:v>Acompanhar sinais em Painel/Comando; correlacionar histórico e SLA antes de recomendar intervenção.</x:v>
      </x:c>
      <x:c r="AR262" s="62" t="n">
        <x:v>1671</x:v>
      </x:c>
      <x:c r="AS262" t="str">
        <x:v>Alto</x:v>
      </x:c>
      <x:c r="AT262" s="50" t="n">
        <x:v>46273.583333333336</x:v>
      </x:c>
      <x:c r="AU262" t="str">
        <x:v>T08</x:v>
      </x:c>
      <x:c r="AV262" t="str">
        <x:v>Ocorrência adicional sintética; perfil inspirado em CH-20260908-004</x:v>
      </x:c>
    </x:row>
    <x:row r="263">
      <x:c r="A263" t="str">
        <x:v>CH-20260908-043</x:v>
      </x:c>
      <x:c r="B263" t="str">
        <x:v>Porta não fecha</x:v>
      </x:c>
      <x:c r="C263" t="str">
        <x:v>Falha no fechamento</x:v>
      </x:c>
      <x:c r="D263" t="str">
        <x:v>Porta permanece aberta e impede partida.</x:v>
      </x:c>
      <x:c r="E263" t="str">
        <x:v>Técnico a caminho</x:v>
      </x:c>
      <x:c r="F263" t="str">
        <x:v>Aplicativo Cliente</x:v>
      </x:c>
      <x:c r="G263" t="str">
        <x:v>E-121</x:v>
      </x:c>
      <x:c r="H263" t="str">
        <x:v>Elevador Social</x:v>
      </x:c>
      <x:c r="I263" t="str">
        <x:v>Microprocessado</x:v>
      </x:c>
      <x:c r="J263" t="str">
        <x:v>Gearless</x:v>
      </x:c>
      <x:c r="K263" t="str">
        <x:v>OTIS</x:v>
      </x:c>
      <x:c r="L263" t="str">
        <x:v>ROT-021</x:v>
      </x:c>
      <x:c r="M263" t="str">
        <x:v>Operador de Porta</x:v>
      </x:c>
      <x:c r="N263" t="str">
        <x:v>Sensor de porta</x:v>
      </x:c>
      <x:c r="O263" t="str">
        <x:v>Falha de leitura</x:v>
      </x:c>
      <x:c r="P263" t="str">
        <x:v>Porta aberta</x:v>
      </x:c>
      <x:c r="Q263"/>
      <x:c r="R263" t="str">
        <x:v>Aeroporto Terminal 3</x:v>
      </x:c>
      <x:c r="S263" t="str">
        <x:v>Sim</x:v>
      </x:c>
      <x:c r="T263" t="str">
        <x:v>Sim</x:v>
      </x:c>
      <x:c r="U263" t="str">
        <x:v>CT-2026-005</x:v>
      </x:c>
      <x:c r="V263" t="str">
        <x:v>GRU</x:v>
      </x:c>
      <x:c r="W263" t="str">
        <x:v>Renata Alves</x:v>
      </x:c>
      <x:c r="X263" t="str">
        <x:v>Supervisor C</x:v>
      </x:c>
      <x:c r="Y263" t="str">
        <x:v>Rota GRU 05</x:v>
      </x:c>
      <x:c r="Z263" t="str">
        <x:v>Rod. Hélio Smidt, s/n - Guarulhos/SP</x:v>
      </x:c>
      <x:c r="AA263" t="str">
        <x:v>São Paulo</x:v>
      </x:c>
      <x:c r="AB263" s="50" t="n">
        <x:v>46273.56597222222</x:v>
      </x:c>
      <x:c r="AC263" s="50" t="n">
        <x:v>46273.569444444445</x:v>
      </x:c>
      <x:c r="AD263" s="50" t="n">
        <x:v>46273.572916666664</x:v>
      </x:c>
      <x:c r="AE263" s="50"/>
      <x:c r="AF263" s="50"/>
      <x:c r="AG263"/>
      <x:c r="AH263"/>
      <x:c r="AI263" t="str">
        <x:v>Não</x:v>
      </x:c>
      <x:c r="AJ263" t="str">
        <x:v>Não</x:v>
      </x:c>
      <x:c r="AK263" t="n">
        <x:v>45</x:v>
      </x:c>
      <x:c r="AL263" t="n">
        <x:v>44</x:v>
      </x:c>
      <x:c r="AM263" s="64" t="n">
        <x:v>0.5556</x:v>
      </x:c>
      <x:c r="AN263" t="n">
        <x:v>3</x:v>
      </x:c>
      <x:c r="AO263" t="str">
        <x:v>Amarelo</x:v>
      </x:c>
      <x:c r="AP263" t="str">
        <x:v>atenção: tempo acumulado ≥ 55% do SLA</x:v>
      </x:c>
      <x:c r="AQ263" t="str">
        <x:v>Acompanhar sinais em Operador de Porta; correlacionar histórico e SLA antes de recomendar intervenção.</x:v>
      </x:c>
      <x:c r="AR263" s="62" t="n">
        <x:v>995.5</x:v>
      </x:c>
      <x:c r="AS263" t="str">
        <x:v>Médio</x:v>
      </x:c>
      <x:c r="AT263" s="50" t="n">
        <x:v>46273.583333333336</x:v>
      </x:c>
      <x:c r="AU263" t="str">
        <x:v>T08</x:v>
      </x:c>
      <x:c r="AV263" t="str">
        <x:v>Ocorrência adicional sintética; perfil inspirado em CH-20260908-011</x:v>
      </x:c>
    </x:row>
    <x:row r="264">
      <x:c r="A264" t="str">
        <x:v>CH-20260908-044</x:v>
      </x:c>
      <x:c r="B264" t="str">
        <x:v>Falha de Nivelamento</x:v>
      </x:c>
      <x:c r="C264" t="str">
        <x:v>Cabine desnivelada</x:v>
      </x:c>
      <x:c r="D264" t="str">
        <x:v>Cabine parou fora do nível do pavimento.</x:v>
      </x:c>
      <x:c r="E264" t="str">
        <x:v>Técnico a caminho</x:v>
      </x:c>
      <x:c r="F264" t="str">
        <x:v>IoT</x:v>
      </x:c>
      <x:c r="G264" t="str">
        <x:v>E-144</x:v>
      </x:c>
      <x:c r="H264" t="str">
        <x:v>Elevador Social</x:v>
      </x:c>
      <x:c r="I264" t="str">
        <x:v>Microprocessado</x:v>
      </x:c>
      <x:c r="J264" t="str">
        <x:v>Gearless</x:v>
      </x:c>
      <x:c r="K264" t="str">
        <x:v>OTIS</x:v>
      </x:c>
      <x:c r="L264" t="str">
        <x:v>ROT-014</x:v>
      </x:c>
      <x:c r="M264" t="str">
        <x:v>Sensor de Nível</x:v>
      </x:c>
      <x:c r="N264" t="str">
        <x:v>Sensor</x:v>
      </x:c>
      <x:c r="O264" t="str">
        <x:v>Leitura inconsistente</x:v>
      </x:c>
      <x:c r="P264" t="str">
        <x:v>Falha de nivelamento</x:v>
      </x:c>
      <x:c r="Q264"/>
      <x:c r="R264" t="str">
        <x:v>Universidade Central</x:v>
      </x:c>
      <x:c r="S264" t="str">
        <x:v>Não</x:v>
      </x:c>
      <x:c r="T264" t="str">
        <x:v>Sim</x:v>
      </x:c>
      <x:c r="U264" t="str">
        <x:v>CT-2026-006</x:v>
      </x:c>
      <x:c r="V264" t="str">
        <x:v>SP-Leste</x:v>
      </x:c>
      <x:c r="W264" t="str">
        <x:v>Paulo Mendes</x:v>
      </x:c>
      <x:c r="X264" t="str">
        <x:v>Supervisor B</x:v>
      </x:c>
      <x:c r="Y264" t="str">
        <x:v>Rota Leste 06</x:v>
      </x:c>
      <x:c r="Z264" t="str">
        <x:v>Av. Central, 850 - São Paulo/SP</x:v>
      </x:c>
      <x:c r="AA264" t="str">
        <x:v>São Paulo</x:v>
      </x:c>
      <x:c r="AB264" s="50" t="n">
        <x:v>46273.575694444444</x:v>
      </x:c>
      <x:c r="AC264" s="50" t="n">
        <x:v>46273.57708333333</x:v>
      </x:c>
      <x:c r="AD264" s="50" t="n">
        <x:v>46273.58125</x:v>
      </x:c>
      <x:c r="AE264" s="50"/>
      <x:c r="AF264" s="50"/>
      <x:c r="AG264"/>
      <x:c r="AH264"/>
      <x:c r="AI264" t="str">
        <x:v>Não</x:v>
      </x:c>
      <x:c r="AJ264" t="str">
        <x:v>Não</x:v>
      </x:c>
      <x:c r="AK264" t="n">
        <x:v>120</x:v>
      </x:c>
      <x:c r="AL264" t="n">
        <x:v>20</x:v>
      </x:c>
      <x:c r="AM264" s="64" t="n">
        <x:v>0.0917</x:v>
      </x:c>
      <x:c r="AN264" t="n">
        <x:v>1</x:v>
      </x:c>
      <x:c r="AO264" t="str">
        <x:v>Verde</x:v>
      </x:c>
      <x:c r="AP264" t="str">
        <x:v>operação dentro dos limiares sintéticos da demonstração</x:v>
      </x:c>
      <x:c r="AQ264" t="str">
        <x:v>Manter acompanhamento do componente Sensor de Nível e dos indicadores operacionais.</x:v>
      </x:c>
      <x:c r="AR264" s="62" t="n">
        <x:v>767</x:v>
      </x:c>
      <x:c r="AS264" t="str">
        <x:v>Baixo</x:v>
      </x:c>
      <x:c r="AT264" s="50" t="n">
        <x:v>46273.583333333336</x:v>
      </x:c>
      <x:c r="AU264" t="str">
        <x:v>T08</x:v>
      </x:c>
      <x:c r="AV264" t="str">
        <x:v>Ocorrência adicional sintética; perfil inspirado em CH-20260908-018</x:v>
      </x:c>
    </x:row>
    <x:row r="265">
      <x:c r="A265" t="str">
        <x:v>CH-20260908-001</x:v>
      </x:c>
      <x:c r="B265" t="str">
        <x:v>Passageiro Preso</x:v>
      </x:c>
      <x:c r="C265" t="str">
        <x:v>Elevador parado entre andares</x:v>
      </x:c>
      <x:c r="D265" t="str">
        <x:v>Cabine imobilizada com passageiro no interior.</x:v>
      </x:c>
      <x:c r="E265" t="str">
        <x:v>Concluído</x:v>
      </x:c>
      <x:c r="F265" t="str">
        <x:v>Central de Atendimento</x:v>
      </x:c>
      <x:c r="G265" t="str">
        <x:v>E-101</x:v>
      </x:c>
      <x:c r="H265" t="str">
        <x:v>Elevador Social</x:v>
      </x:c>
      <x:c r="I265" t="str">
        <x:v>Microprocessado</x:v>
      </x:c>
      <x:c r="J265" t="str">
        <x:v>Gearless</x:v>
      </x:c>
      <x:c r="K265" t="str">
        <x:v>OTIS</x:v>
      </x:c>
      <x:c r="L265" t="str">
        <x:v>ROT-001</x:v>
      </x:c>
      <x:c r="M265" t="str">
        <x:v>Tração</x:v>
      </x:c>
      <x:c r="N265" t="str">
        <x:v>Freio</x:v>
      </x:c>
      <x:c r="O265" t="str">
        <x:v>Travamento</x:v>
      </x:c>
      <x:c r="P265" t="str">
        <x:v>Parada total</x:v>
      </x:c>
      <x:c r="Q265" t="str">
        <x:v>Resgate concluído e equipamento normalizado</x:v>
      </x:c>
      <x:c r="R265" t="str">
        <x:v>Hospital São Paulo</x:v>
      </x:c>
      <x:c r="S265" t="str">
        <x:v>Sim</x:v>
      </x:c>
      <x:c r="T265" t="str">
        <x:v>Sim</x:v>
      </x:c>
      <x:c r="U265" t="str">
        <x:v>CT-2026-001</x:v>
      </x:c>
      <x:c r="V265" t="str">
        <x:v>SP-Centro</x:v>
      </x:c>
      <x:c r="W265" t="str">
        <x:v>João Silva</x:v>
      </x:c>
      <x:c r="X265" t="str">
        <x:v>Supervisor A</x:v>
      </x:c>
      <x:c r="Y265" t="str">
        <x:v>Rota Centro 01</x:v>
      </x:c>
      <x:c r="Z265" t="str">
        <x:v>Av. Paulista, 1000 - São Paulo/SP</x:v>
      </x:c>
      <x:c r="AA265" t="str">
        <x:v>São Paulo</x:v>
      </x:c>
      <x:c r="AB265" s="50" t="n">
        <x:v>46273.3055555556</x:v>
      </x:c>
      <x:c r="AC265" s="50" t="n">
        <x:v>46273.3076388889</x:v>
      </x:c>
      <x:c r="AD265" s="50" t="n">
        <x:v>46273.3104166667</x:v>
      </x:c>
      <x:c r="AE265" s="50" t="n">
        <x:v>46273.3201388889</x:v>
      </x:c>
      <x:c r="AF265" s="50" t="n">
        <x:v>46273.3430555556</x:v>
      </x:c>
      <x:c r="AG265" t="n">
        <x:v>21</x:v>
      </x:c>
      <x:c r="AH265" t="n">
        <x:v>28</x:v>
      </x:c>
      <x:c r="AI265" t="str">
        <x:v>Sim</x:v>
      </x:c>
      <x:c r="AJ265" t="str">
        <x:v>Sim</x:v>
      </x:c>
      <x:c r="AK265" t="n">
        <x:v>60</x:v>
      </x:c>
      <x:c r="AL265" t="n">
        <x:v>0</x:v>
      </x:c>
      <x:c r="AM265" s="64" t="n">
        <x:v>0.8167</x:v>
      </x:c>
      <x:c r="AN265" t="n">
        <x:v>0</x:v>
      </x:c>
      <x:c r="AO265" t="str">
        <x:v>Amarelo</x:v>
      </x:c>
      <x:c r="AP265" t="str">
        <x:v>passageiro preso; SLA acima de 80%; carro parado</x:v>
      </x:c>
      <x:c r="AQ265" t="str">
        <x:v>Sem recorrência relevante; acompanhar evolução de Tração.</x:v>
      </x:c>
      <x:c r="AR265" s="62" t="n">
        <x:v>882</x:v>
      </x:c>
      <x:c r="AS265" t="str">
        <x:v>Médio</x:v>
      </x:c>
      <x:c r="AT265" s="50" t="n">
        <x:v>46273.625</x:v>
      </x:c>
      <x:c r="AU265" t="str">
        <x:v>T09</x:v>
      </x:c>
      <x:c r="AV265" t="str">
        <x:v>T2 original + evolução sintética posterior</x:v>
      </x:c>
    </x:row>
    <x:row r="266">
      <x:c r="A266" t="str">
        <x:v>CH-20260908-002</x:v>
      </x:c>
      <x:c r="B266" t="str">
        <x:v>Falha de Nivelamento</x:v>
      </x:c>
      <x:c r="C266" t="str">
        <x:v>Cabine desnivelada</x:v>
      </x:c>
      <x:c r="D266" t="str">
        <x:v>Cabine parou fora do nível do pavimento.</x:v>
      </x:c>
      <x:c r="E266" t="str">
        <x:v>Concluído</x:v>
      </x:c>
      <x:c r="F266" t="str">
        <x:v>IoT</x:v>
      </x:c>
      <x:c r="G266" t="str">
        <x:v>E-102</x:v>
      </x:c>
      <x:c r="H266" t="str">
        <x:v>Elevador Social</x:v>
      </x:c>
      <x:c r="I266" t="str">
        <x:v>Microprocessado</x:v>
      </x:c>
      <x:c r="J266" t="str">
        <x:v>Gearless</x:v>
      </x:c>
      <x:c r="K266" t="str">
        <x:v>OTIS</x:v>
      </x:c>
      <x:c r="L266" t="str">
        <x:v>ROT-014</x:v>
      </x:c>
      <x:c r="M266" t="str">
        <x:v>Sensor de Nível</x:v>
      </x:c>
      <x:c r="N266" t="str">
        <x:v>Sensor</x:v>
      </x:c>
      <x:c r="O266" t="str">
        <x:v>Leitura inconsistente</x:v>
      </x:c>
      <x:c r="P266" t="str">
        <x:v>Falha de nivelamento</x:v>
      </x:c>
      <x:c r="Q266" t="str">
        <x:v>Sensor ajustado/substituído</x:v>
      </x:c>
      <x:c r="R266" t="str">
        <x:v>Shopping Center Norte</x:v>
      </x:c>
      <x:c r="S266" t="str">
        <x:v>Não</x:v>
      </x:c>
      <x:c r="T266" t="str">
        <x:v>Sim</x:v>
      </x:c>
      <x:c r="U266" t="str">
        <x:v>CT-2026-002</x:v>
      </x:c>
      <x:c r="V266" t="str">
        <x:v>SP-Norte</x:v>
      </x:c>
      <x:c r="W266" t="str">
        <x:v>Marcos Lima</x:v>
      </x:c>
      <x:c r="X266" t="str">
        <x:v>Supervisor B</x:v>
      </x:c>
      <x:c r="Y266" t="str">
        <x:v>Rota Norte 02</x:v>
      </x:c>
      <x:c r="Z266" t="str">
        <x:v>Av. Otto Baumgart, 245 - São Paulo/SP</x:v>
      </x:c>
      <x:c r="AA266" t="str">
        <x:v>São Paulo</x:v>
      </x:c>
      <x:c r="AB266" s="50" t="n">
        <x:v>46273.3090277778</x:v>
      </x:c>
      <x:c r="AC266" s="50" t="n">
        <x:v>46273.3118055556</x:v>
      </x:c>
      <x:c r="AD266" s="50" t="n">
        <x:v>46273.3159722222</x:v>
      </x:c>
      <x:c r="AE266" s="50" t="n">
        <x:v>46273.3340277778</x:v>
      </x:c>
      <x:c r="AF266" s="50" t="n">
        <x:v>46273.3652777778</x:v>
      </x:c>
      <x:c r="AG266" t="n">
        <x:v>36</x:v>
      </x:c>
      <x:c r="AH266" t="n">
        <x:v>40</x:v>
      </x:c>
      <x:c r="AI266" t="str">
        <x:v>Não</x:v>
      </x:c>
      <x:c r="AJ266" t="str">
        <x:v>Não</x:v>
      </x:c>
      <x:c r="AK266" t="n">
        <x:v>90</x:v>
      </x:c>
      <x:c r="AL266" t="n">
        <x:v>0</x:v>
      </x:c>
      <x:c r="AM266" s="64" t="n">
        <x:v>0.8444</x:v>
      </x:c>
      <x:c r="AN266" t="n">
        <x:v>1</x:v>
      </x:c>
      <x:c r="AO266" t="str">
        <x:v>Amarelo</x:v>
      </x:c>
      <x:c r="AP266" t="str">
        <x:v>SLA acima de 80%</x:v>
      </x:c>
      <x:c r="AQ266" t="str">
        <x:v>Há ocorrência recente semelhante; comparar solução anterior de Sensor de Nível.</x:v>
      </x:c>
      <x:c r="AR266" s="62" t="n">
        <x:v>664</x:v>
      </x:c>
      <x:c r="AS266" t="str">
        <x:v>Baixo</x:v>
      </x:c>
      <x:c r="AT266" s="50" t="n">
        <x:v>46273.625</x:v>
      </x:c>
      <x:c r="AU266" t="str">
        <x:v>T09</x:v>
      </x:c>
      <x:c r="AV266" t="str">
        <x:v>T2 original + evolução sintética posterior</x:v>
      </x:c>
    </x:row>
    <x:row r="267">
      <x:c r="A267" t="str">
        <x:v>CH-20260908-003</x:v>
      </x:c>
      <x:c r="B267" t="str">
        <x:v>Porta não fecha</x:v>
      </x:c>
      <x:c r="C267" t="str">
        <x:v>Falha no fechamento</x:v>
      </x:c>
      <x:c r="D267" t="str">
        <x:v>Porta permanece aberta e impede partida.</x:v>
      </x:c>
      <x:c r="E267" t="str">
        <x:v>Concluído</x:v>
      </x:c>
      <x:c r="F267" t="str">
        <x:v>Aplicativo Cliente</x:v>
      </x:c>
      <x:c r="G267" t="str">
        <x:v>E-103</x:v>
      </x:c>
      <x:c r="H267" t="str">
        <x:v>Elevador Social</x:v>
      </x:c>
      <x:c r="I267" t="str">
        <x:v>Microprocessado</x:v>
      </x:c>
      <x:c r="J267" t="str">
        <x:v>Gearless</x:v>
      </x:c>
      <x:c r="K267" t="str">
        <x:v>OTIS</x:v>
      </x:c>
      <x:c r="L267" t="str">
        <x:v>ROT-021</x:v>
      </x:c>
      <x:c r="M267" t="str">
        <x:v>Operador de Porta</x:v>
      </x:c>
      <x:c r="N267" t="str">
        <x:v>Sensor de porta</x:v>
      </x:c>
      <x:c r="O267" t="str">
        <x:v>Falha de leitura</x:v>
      </x:c>
      <x:c r="P267" t="str">
        <x:v>Porta aberta</x:v>
      </x:c>
      <x:c r="Q267" t="str">
        <x:v>Sensor de porta ajustado</x:v>
      </x:c>
      <x:c r="R267" t="str">
        <x:v>Edifício Corporate</x:v>
      </x:c>
      <x:c r="S267" t="str">
        <x:v>Não</x:v>
      </x:c>
      <x:c r="T267" t="str">
        <x:v>Sim</x:v>
      </x:c>
      <x:c r="U267" t="str">
        <x:v>CT-2026-003</x:v>
      </x:c>
      <x:c r="V267" t="str">
        <x:v>SP-Oeste</x:v>
      </x:c>
      <x:c r="W267" t="str">
        <x:v>Ana Costa</x:v>
      </x:c>
      <x:c r="X267" t="str">
        <x:v>Supervisor C</x:v>
      </x:c>
      <x:c r="Y267" t="str">
        <x:v>Rota Oeste 03</x:v>
      </x:c>
      <x:c r="Z267" t="str">
        <x:v>Av. Faria Lima, 3500 - São Paulo/SP</x:v>
      </x:c>
      <x:c r="AA267" t="str">
        <x:v>São Paulo</x:v>
      </x:c>
      <x:c r="AB267" s="50" t="n">
        <x:v>46273.3118055556</x:v>
      </x:c>
      <x:c r="AC267" s="50" t="n">
        <x:v>46273.3152777778</x:v>
      </x:c>
      <x:c r="AD267" s="50" t="n">
        <x:v>46273.3166666667</x:v>
      </x:c>
      <x:c r="AE267" s="50" t="n">
        <x:v>46273.3395833333</x:v>
      </x:c>
      <x:c r="AF267" s="50" t="n">
        <x:v>46273.3784722222</x:v>
      </x:c>
      <x:c r="AG267" t="n">
        <x:v>40</x:v>
      </x:c>
      <x:c r="AH267" t="n">
        <x:v>51</x:v>
      </x:c>
      <x:c r="AI267" t="str">
        <x:v>Não</x:v>
      </x:c>
      <x:c r="AJ267" t="str">
        <x:v>Não</x:v>
      </x:c>
      <x:c r="AK267" t="n">
        <x:v>120</x:v>
      </x:c>
      <x:c r="AL267" t="n">
        <x:v>0</x:v>
      </x:c>
      <x:c r="AM267" s="64" t="n">
        <x:v>0.7583</x:v>
      </x:c>
      <x:c r="AN267" t="n">
        <x:v>2</x:v>
      </x:c>
      <x:c r="AO267" t="str">
        <x:v>Amarelo</x:v>
      </x:c>
      <x:c r="AP267" t="str">
        <x:v>2 recorrências/30d; SLA acima de 55%</x:v>
      </x:c>
      <x:c r="AQ267" t="str">
        <x:v>Há ocorrência recente semelhante; comparar solução anterior de Operador de Porta.</x:v>
      </x:c>
      <x:c r="AR267" s="62" t="n">
        <x:v>769</x:v>
      </x:c>
      <x:c r="AS267" t="str">
        <x:v>Médio</x:v>
      </x:c>
      <x:c r="AT267" s="50" t="n">
        <x:v>46273.625</x:v>
      </x:c>
      <x:c r="AU267" t="str">
        <x:v>T09</x:v>
      </x:c>
      <x:c r="AV267" t="str">
        <x:v>T2 original + evolução sintética posterior</x:v>
      </x:c>
    </x:row>
    <x:row r="268">
      <x:c r="A268" t="str">
        <x:v>CH-20260908-004</x:v>
      </x:c>
      <x:c r="B268" t="str">
        <x:v>Painel sem comunicação</x:v>
      </x:c>
      <x:c r="C268" t="str">
        <x:v>Falha de comunicação</x:v>
      </x:c>
      <x:c r="D268" t="str">
        <x:v>Painel não responde aos comandos.</x:v>
      </x:c>
      <x:c r="E268" t="str">
        <x:v>Concluído</x:v>
      </x:c>
      <x:c r="F268" t="str">
        <x:v>Monitoramento Remoto</x:v>
      </x:c>
      <x:c r="G268" t="str">
        <x:v>E-104</x:v>
      </x:c>
      <x:c r="H268" t="str">
        <x:v>Elevador Social</x:v>
      </x:c>
      <x:c r="I268" t="str">
        <x:v>Microprocessado</x:v>
      </x:c>
      <x:c r="J268" t="str">
        <x:v>Gearless</x:v>
      </x:c>
      <x:c r="K268" t="str">
        <x:v>OTIS</x:v>
      </x:c>
      <x:c r="L268" t="str">
        <x:v>ROT-033</x:v>
      </x:c>
      <x:c r="M268" t="str">
        <x:v>Painel/Comando</x:v>
      </x:c>
      <x:c r="N268" t="str">
        <x:v>Interface</x:v>
      </x:c>
      <x:c r="O268" t="str">
        <x:v>Sem comunicação</x:v>
      </x:c>
      <x:c r="P268" t="str">
        <x:v>Falha lógica</x:v>
      </x:c>
      <x:c r="Q268" t="str">
        <x:v>Interface reinicializada/substituída</x:v>
      </x:c>
      <x:c r="R268" t="str">
        <x:v>Condomínio Alameda</x:v>
      </x:c>
      <x:c r="S268" t="str">
        <x:v>Não</x:v>
      </x:c>
      <x:c r="T268" t="str">
        <x:v>Não</x:v>
      </x:c>
      <x:c r="U268" t="str">
        <x:v>CT-2026-004</x:v>
      </x:c>
      <x:c r="V268" t="str">
        <x:v>SP-Sul</x:v>
      </x:c>
      <x:c r="W268" t="str">
        <x:v>Carlos Souza</x:v>
      </x:c>
      <x:c r="X268" t="str">
        <x:v>Supervisor D</x:v>
      </x:c>
      <x:c r="Y268" t="str">
        <x:v>Rota Sul 04</x:v>
      </x:c>
      <x:c r="Z268" t="str">
        <x:v>R. das Acácias, 420 - São Paulo/SP</x:v>
      </x:c>
      <x:c r="AA268" t="str">
        <x:v>São Paulo</x:v>
      </x:c>
      <x:c r="AB268" s="50" t="n">
        <x:v>46273.3145833333</x:v>
      </x:c>
      <x:c r="AC268" s="50" t="n">
        <x:v>46273.31875</x:v>
      </x:c>
      <x:c r="AD268" s="50" t="n">
        <x:v>46273.3215277778</x:v>
      </x:c>
      <x:c r="AE268" s="50" t="n">
        <x:v>46273.3493055556</x:v>
      </x:c>
      <x:c r="AF268" s="50" t="n">
        <x:v>46273.3958333333</x:v>
      </x:c>
      <x:c r="AG268" t="n">
        <x:v>50</x:v>
      </x:c>
      <x:c r="AH268" t="n">
        <x:v>62</x:v>
      </x:c>
      <x:c r="AI268" t="str">
        <x:v>Não</x:v>
      </x:c>
      <x:c r="AJ268" t="str">
        <x:v>Não</x:v>
      </x:c>
      <x:c r="AK268" t="n">
        <x:v>180</x:v>
      </x:c>
      <x:c r="AL268" t="n">
        <x:v>0</x:v>
      </x:c>
      <x:c r="AM268" s="64" t="n">
        <x:v>0.6222</x:v>
      </x:c>
      <x:c r="AN268" t="n">
        <x:v>3</x:v>
      </x:c>
      <x:c r="AO268" t="str">
        <x:v>Verde</x:v>
      </x:c>
      <x:c r="AP268" t="str">
        <x:v>3 recorrências/30d; SLA acima de 55%</x:v>
      </x:c>
      <x:c r="AQ268" t="str">
        <x:v>Recorrência elevada: verificar padrão histórico em Painel/Comando/Interface.</x:v>
      </x:c>
      <x:c r="AR268" s="62" t="n">
        <x:v>1594</x:v>
      </x:c>
      <x:c r="AS268" t="str">
        <x:v>Alto</x:v>
      </x:c>
      <x:c r="AT268" s="50" t="n">
        <x:v>46273.625</x:v>
      </x:c>
      <x:c r="AU268" t="str">
        <x:v>T09</x:v>
      </x:c>
      <x:c r="AV268" t="str">
        <x:v>T2 original + evolução sintética posterior</x:v>
      </x:c>
    </x:row>
    <x:row r="269">
      <x:c r="A269" t="str">
        <x:v>CH-20260908-005</x:v>
      </x:c>
      <x:c r="B269" t="str">
        <x:v>Falha de Tração</x:v>
      </x:c>
      <x:c r="C269" t="str">
        <x:v>Movimento irregular</x:v>
      </x:c>
      <x:c r="D269" t="str">
        <x:v>Equipamento apresenta perda de tração.</x:v>
      </x:c>
      <x:c r="E269" t="str">
        <x:v>Concluído</x:v>
      </x:c>
      <x:c r="F269" t="str">
        <x:v>Central de Atendimento</x:v>
      </x:c>
      <x:c r="G269" t="str">
        <x:v>E-105</x:v>
      </x:c>
      <x:c r="H269" t="str">
        <x:v>Elevador Social</x:v>
      </x:c>
      <x:c r="I269" t="str">
        <x:v>Microprocessado</x:v>
      </x:c>
      <x:c r="J269" t="str">
        <x:v>Gearless</x:v>
      </x:c>
      <x:c r="K269" t="str">
        <x:v>OTIS</x:v>
      </x:c>
      <x:c r="L269" t="str">
        <x:v>ROT-041</x:v>
      </x:c>
      <x:c r="M269" t="str">
        <x:v>Máquina de Tração</x:v>
      </x:c>
      <x:c r="N269" t="str">
        <x:v>Inversor</x:v>
      </x:c>
      <x:c r="O269" t="str">
        <x:v>Oscilação</x:v>
      </x:c>
      <x:c r="P269" t="str">
        <x:v>Falha de movimento</x:v>
      </x:c>
      <x:c r="Q269" t="str">
        <x:v>Parâmetros do inversor corrigidos</x:v>
      </x:c>
      <x:c r="R269" t="str">
        <x:v>Aeroporto Terminal 3</x:v>
      </x:c>
      <x:c r="S269" t="str">
        <x:v>Sim</x:v>
      </x:c>
      <x:c r="T269" t="str">
        <x:v>Sim</x:v>
      </x:c>
      <x:c r="U269" t="str">
        <x:v>CT-2026-005</x:v>
      </x:c>
      <x:c r="V269" t="str">
        <x:v>GRU</x:v>
      </x:c>
      <x:c r="W269" t="str">
        <x:v>Renata Alves</x:v>
      </x:c>
      <x:c r="X269" t="str">
        <x:v>Supervisor A</x:v>
      </x:c>
      <x:c r="Y269" t="str">
        <x:v>Rota GRU 05</x:v>
      </x:c>
      <x:c r="Z269" t="str">
        <x:v>Rod. Hélio Smidt, s/n - Guarulhos/SP</x:v>
      </x:c>
      <x:c r="AA269" t="str">
        <x:v>São Paulo</x:v>
      </x:c>
      <x:c r="AB269" s="50" t="n">
        <x:v>46273.3180555556</x:v>
      </x:c>
      <x:c r="AC269" s="50" t="n">
        <x:v>46273.3194444444</x:v>
      </x:c>
      <x:c r="AD269" s="50" t="n">
        <x:v>46273.3236111111</x:v>
      </x:c>
      <x:c r="AE269" s="50" t="n">
        <x:v>46273.3319444444</x:v>
      </x:c>
      <x:c r="AF269" s="50" t="n">
        <x:v>46273.3861111111</x:v>
      </x:c>
      <x:c r="AG269" t="n">
        <x:v>20</x:v>
      </x:c>
      <x:c r="AH269" t="n">
        <x:v>73</x:v>
      </x:c>
      <x:c r="AI269" t="str">
        <x:v>Não</x:v>
      </x:c>
      <x:c r="AJ269" t="str">
        <x:v>Sim</x:v>
      </x:c>
      <x:c r="AK269" t="n">
        <x:v>45</x:v>
      </x:c>
      <x:c r="AL269" t="n">
        <x:v>0</x:v>
      </x:c>
      <x:c r="AM269" s="64" t="n">
        <x:v>2.0667</x:v>
      </x:c>
      <x:c r="AN269" t="n">
        <x:v>1</x:v>
      </x:c>
      <x:c r="AO269" t="str">
        <x:v>Vermelho</x:v>
      </x:c>
      <x:c r="AP269" t="str">
        <x:v>SLA estourado; carro parado</x:v>
      </x:c>
      <x:c r="AQ269" t="str">
        <x:v>Há ocorrência recente semelhante; comparar solução anterior de Máquina de Tração.</x:v>
      </x:c>
      <x:c r="AR269" s="62" t="n">
        <x:v>1259</x:v>
      </x:c>
      <x:c r="AS269" t="str">
        <x:v>Alto</x:v>
      </x:c>
      <x:c r="AT269" s="50" t="n">
        <x:v>46273.625</x:v>
      </x:c>
      <x:c r="AU269" t="str">
        <x:v>T09</x:v>
      </x:c>
      <x:c r="AV269" t="str">
        <x:v>T2 original + evolução sintética posterior</x:v>
      </x:c>
    </x:row>
    <x:row r="270">
      <x:c r="A270" t="str">
        <x:v>CH-20260908-006</x:v>
      </x:c>
      <x:c r="B270" t="str">
        <x:v>Iluminação de Cabine</x:v>
      </x:c>
      <x:c r="C270" t="str">
        <x:v>Iluminação inoperante</x:v>
      </x:c>
      <x:c r="D270" t="str">
        <x:v>Cabine com iluminação parcial ou total indisponível.</x:v>
      </x:c>
      <x:c r="E270" t="str">
        <x:v>Concluído</x:v>
      </x:c>
      <x:c r="F270" t="str">
        <x:v>IoT</x:v>
      </x:c>
      <x:c r="G270" t="str">
        <x:v>E-106</x:v>
      </x:c>
      <x:c r="H270" t="str">
        <x:v>Elevador Social</x:v>
      </x:c>
      <x:c r="I270" t="str">
        <x:v>Microprocessado</x:v>
      </x:c>
      <x:c r="J270" t="str">
        <x:v>Gearless</x:v>
      </x:c>
      <x:c r="K270" t="str">
        <x:v>OTIS</x:v>
      </x:c>
      <x:c r="L270" t="str">
        <x:v>ROT-052</x:v>
      </x:c>
      <x:c r="M270" t="str">
        <x:v>Elétrica</x:v>
      </x:c>
      <x:c r="N270" t="str">
        <x:v>Fonte</x:v>
      </x:c>
      <x:c r="O270" t="str">
        <x:v>Sem alimentação</x:v>
      </x:c>
      <x:c r="P270" t="str">
        <x:v>Falha elétrica</x:v>
      </x:c>
      <x:c r="Q270" t="str">
        <x:v>Fonte substituída</x:v>
      </x:c>
      <x:c r="R270" t="str">
        <x:v>Universidade Central</x:v>
      </x:c>
      <x:c r="S270" t="str">
        <x:v>Não</x:v>
      </x:c>
      <x:c r="T270" t="str">
        <x:v>Sim</x:v>
      </x:c>
      <x:c r="U270" t="str">
        <x:v>CT-2026-006</x:v>
      </x:c>
      <x:c r="V270" t="str">
        <x:v>SP-Leste</x:v>
      </x:c>
      <x:c r="W270" t="str">
        <x:v>Paulo Mendes</x:v>
      </x:c>
      <x:c r="X270" t="str">
        <x:v>Supervisor B</x:v>
      </x:c>
      <x:c r="Y270" t="str">
        <x:v>Rota Leste 06</x:v>
      </x:c>
      <x:c r="Z270" t="str">
        <x:v>Av. Central, 850 - São Paulo/SP</x:v>
      </x:c>
      <x:c r="AA270" t="str">
        <x:v>São Paulo</x:v>
      </x:c>
      <x:c r="AB270" s="50" t="n">
        <x:v>46273.3215277778</x:v>
      </x:c>
      <x:c r="AC270" s="50" t="n">
        <x:v>46273.3236111111</x:v>
      </x:c>
      <x:c r="AD270" s="50" t="n">
        <x:v>46273.325</x:v>
      </x:c>
      <x:c r="AE270" s="50" t="n">
        <x:v>46273.3388888889</x:v>
      </x:c>
      <x:c r="AF270" s="50" t="n">
        <x:v>46273.3569444444</x:v>
      </x:c>
      <x:c r="AG270" t="n">
        <x:v>25</x:v>
      </x:c>
      <x:c r="AH270" t="n">
        <x:v>21</x:v>
      </x:c>
      <x:c r="AI270" t="str">
        <x:v>Não</x:v>
      </x:c>
      <x:c r="AJ270" t="str">
        <x:v>Não</x:v>
      </x:c>
      <x:c r="AK270" t="n">
        <x:v>120</x:v>
      </x:c>
      <x:c r="AL270" t="n">
        <x:v>0</x:v>
      </x:c>
      <x:c r="AM270" s="64" t="n">
        <x:v>0.3833</x:v>
      </x:c>
      <x:c r="AN270" t="n">
        <x:v>0</x:v>
      </x:c>
      <x:c r="AO270" t="str">
        <x:v>Verde</x:v>
      </x:c>
      <x:c r="AP270" t="str">
        <x:v>operação dentro do esperado</x:v>
      </x:c>
      <x:c r="AQ270" t="str">
        <x:v>Sem recorrência relevante; acompanhar evolução de Elétrica.</x:v>
      </x:c>
      <x:c r="AR270" s="62" t="n">
        <x:v>507</x:v>
      </x:c>
      <x:c r="AS270" t="str">
        <x:v>Baixo</x:v>
      </x:c>
      <x:c r="AT270" s="50" t="n">
        <x:v>46273.625</x:v>
      </x:c>
      <x:c r="AU270" t="str">
        <x:v>T09</x:v>
      </x:c>
      <x:c r="AV270" t="str">
        <x:v>T2 original + evolução sintética posterior</x:v>
      </x:c>
    </x:row>
    <x:row r="271">
      <x:c r="A271" t="str">
        <x:v>CH-20260908-007</x:v>
      </x:c>
      <x:c r="B271" t="str">
        <x:v>Botão de Chamada</x:v>
      </x:c>
      <x:c r="C271" t="str">
        <x:v>Botão não responde</x:v>
      </x:c>
      <x:c r="D271" t="str">
        <x:v>Botão de chamada não registra comando.</x:v>
      </x:c>
      <x:c r="E271" t="str">
        <x:v>Concluído</x:v>
      </x:c>
      <x:c r="F271" t="str">
        <x:v>Aplicativo Cliente</x:v>
      </x:c>
      <x:c r="G271" t="str">
        <x:v>E-107</x:v>
      </x:c>
      <x:c r="H271" t="str">
        <x:v>Elevador Social</x:v>
      </x:c>
      <x:c r="I271" t="str">
        <x:v>Microprocessado</x:v>
      </x:c>
      <x:c r="J271" t="str">
        <x:v>Gearless</x:v>
      </x:c>
      <x:c r="K271" t="str">
        <x:v>OTIS</x:v>
      </x:c>
      <x:c r="L271" t="str">
        <x:v>ROT-063</x:v>
      </x:c>
      <x:c r="M271" t="str">
        <x:v>Botoeira</x:v>
      </x:c>
      <x:c r="N271" t="str">
        <x:v>Contato</x:v>
      </x:c>
      <x:c r="O271" t="str">
        <x:v>Mau contato</x:v>
      </x:c>
      <x:c r="P271" t="str">
        <x:v>Falha de comando</x:v>
      </x:c>
      <x:c r="Q271" t="str">
        <x:v>Contato reparado</x:v>
      </x:c>
      <x:c r="R271" t="str">
        <x:v>Hospital São Paulo</x:v>
      </x:c>
      <x:c r="S271" t="str">
        <x:v>Sim</x:v>
      </x:c>
      <x:c r="T271" t="str">
        <x:v>Sim</x:v>
      </x:c>
      <x:c r="U271" t="str">
        <x:v>CT-2026-001</x:v>
      </x:c>
      <x:c r="V271" t="str">
        <x:v>SP-Centro</x:v>
      </x:c>
      <x:c r="W271" t="str">
        <x:v>João Silva</x:v>
      </x:c>
      <x:c r="X271" t="str">
        <x:v>Supervisor C</x:v>
      </x:c>
      <x:c r="Y271" t="str">
        <x:v>Rota Centro 01</x:v>
      </x:c>
      <x:c r="Z271" t="str">
        <x:v>Av. Paulista, 1000 - São Paulo/SP</x:v>
      </x:c>
      <x:c r="AA271" t="str">
        <x:v>São Paulo</x:v>
      </x:c>
      <x:c r="AB271" s="50" t="n">
        <x:v>46273.3243055556</x:v>
      </x:c>
      <x:c r="AC271" s="50" t="n">
        <x:v>46273.3270833333</x:v>
      </x:c>
      <x:c r="AD271" s="50" t="n">
        <x:v>46273.3298611111</x:v>
      </x:c>
      <x:c r="AE271" s="50" t="n">
        <x:v>46273.3486111111</x:v>
      </x:c>
      <x:c r="AF271" s="50" t="n">
        <x:v>46273.3743055556</x:v>
      </x:c>
      <x:c r="AG271" t="n">
        <x:v>35</x:v>
      </x:c>
      <x:c r="AH271" t="n">
        <x:v>32</x:v>
      </x:c>
      <x:c r="AI271" t="str">
        <x:v>Não</x:v>
      </x:c>
      <x:c r="AJ271" t="str">
        <x:v>Não</x:v>
      </x:c>
      <x:c r="AK271" t="n">
        <x:v>60</x:v>
      </x:c>
      <x:c r="AL271" t="n">
        <x:v>0</x:v>
      </x:c>
      <x:c r="AM271" s="64" t="n">
        <x:v>1.1167</x:v>
      </x:c>
      <x:c r="AN271" t="n">
        <x:v>2</x:v>
      </x:c>
      <x:c r="AO271" t="str">
        <x:v>Vermelho</x:v>
      </x:c>
      <x:c r="AP271" t="str">
        <x:v>2 recorrências/30d; SLA estourado</x:v>
      </x:c>
      <x:c r="AQ271" t="str">
        <x:v>Há ocorrência recente semelhante; comparar solução anterior de Botoeira.</x:v>
      </x:c>
      <x:c r="AR271" s="62" t="n">
        <x:v>612</x:v>
      </x:c>
      <x:c r="AS271" t="str">
        <x:v>Baixo</x:v>
      </x:c>
      <x:c r="AT271" s="50" t="n">
        <x:v>46273.625</x:v>
      </x:c>
      <x:c r="AU271" t="str">
        <x:v>T09</x:v>
      </x:c>
      <x:c r="AV271" t="str">
        <x:v>T2 original + evolução sintética posterior</x:v>
      </x:c>
    </x:row>
    <x:row r="272">
      <x:c r="A272" t="str">
        <x:v>CH-20260908-008</x:v>
      </x:c>
      <x:c r="B272" t="str">
        <x:v>Parada Intermitente</x:v>
      </x:c>
      <x:c r="C272" t="str">
        <x:v>Paradas aleatórias</x:v>
      </x:c>
      <x:c r="D272" t="str">
        <x:v>Equipamento interrompe operação de forma intermitente.</x:v>
      </x:c>
      <x:c r="E272" t="str">
        <x:v>Concluído</x:v>
      </x:c>
      <x:c r="F272" t="str">
        <x:v>Monitoramento Remoto</x:v>
      </x:c>
      <x:c r="G272" t="str">
        <x:v>E-108</x:v>
      </x:c>
      <x:c r="H272" t="str">
        <x:v>Elevador Social</x:v>
      </x:c>
      <x:c r="I272" t="str">
        <x:v>Microprocessado</x:v>
      </x:c>
      <x:c r="J272" t="str">
        <x:v>Gearless</x:v>
      </x:c>
      <x:c r="K272" t="str">
        <x:v>OTIS</x:v>
      </x:c>
      <x:c r="L272" t="str">
        <x:v>ROT-074</x:v>
      </x:c>
      <x:c r="M272" t="str">
        <x:v>Painel/Comando</x:v>
      </x:c>
      <x:c r="N272" t="str">
        <x:v>Placa</x:v>
      </x:c>
      <x:c r="O272" t="str">
        <x:v>Intermitência</x:v>
      </x:c>
      <x:c r="P272" t="str">
        <x:v>Falha intermitente</x:v>
      </x:c>
      <x:c r="Q272" t="str">
        <x:v>Placa revisada e teste funcional</x:v>
      </x:c>
      <x:c r="R272" t="str">
        <x:v>Shopping Center Norte</x:v>
      </x:c>
      <x:c r="S272" t="str">
        <x:v>Não</x:v>
      </x:c>
      <x:c r="T272" t="str">
        <x:v>Sim</x:v>
      </x:c>
      <x:c r="U272" t="str">
        <x:v>CT-2026-002</x:v>
      </x:c>
      <x:c r="V272" t="str">
        <x:v>SP-Norte</x:v>
      </x:c>
      <x:c r="W272" t="str">
        <x:v>Marcos Lima</x:v>
      </x:c>
      <x:c r="X272" t="str">
        <x:v>Supervisor D</x:v>
      </x:c>
      <x:c r="Y272" t="str">
        <x:v>Rota Norte 02</x:v>
      </x:c>
      <x:c r="Z272" t="str">
        <x:v>Av. Otto Baumgart, 245 - São Paulo/SP</x:v>
      </x:c>
      <x:c r="AA272" t="str">
        <x:v>São Paulo</x:v>
      </x:c>
      <x:c r="AB272" s="50" t="n">
        <x:v>46273.3270833333</x:v>
      </x:c>
      <x:c r="AC272" s="50" t="n">
        <x:v>46273.3305555556</x:v>
      </x:c>
      <x:c r="AD272" s="50" t="n">
        <x:v>46273.3347222222</x:v>
      </x:c>
      <x:c r="AE272" s="50" t="n">
        <x:v>46273.3583333333</x:v>
      </x:c>
      <x:c r="AF272" s="50" t="n">
        <x:v>46273.3916666667</x:v>
      </x:c>
      <x:c r="AG272" t="n">
        <x:v>45</x:v>
      </x:c>
      <x:c r="AH272" t="n">
        <x:v>43</x:v>
      </x:c>
      <x:c r="AI272" t="str">
        <x:v>Não</x:v>
      </x:c>
      <x:c r="AJ272" t="str">
        <x:v>Sim</x:v>
      </x:c>
      <x:c r="AK272" t="n">
        <x:v>90</x:v>
      </x:c>
      <x:c r="AL272" t="n">
        <x:v>0</x:v>
      </x:c>
      <x:c r="AM272" s="64" t="n">
        <x:v>0.9778</x:v>
      </x:c>
      <x:c r="AN272" t="n">
        <x:v>4</x:v>
      </x:c>
      <x:c r="AO272" t="str">
        <x:v>Laranja</x:v>
      </x:c>
      <x:c r="AP272" t="str">
        <x:v>4 recorrências/30d; SLA acima de 80%; carro parado</x:v>
      </x:c>
      <x:c r="AQ272" t="str">
        <x:v>Recorrência elevada: verificar padrão histórico em Painel/Comando/Placa.</x:v>
      </x:c>
      <x:c r="AR272" s="62" t="n">
        <x:v>1437</x:v>
      </x:c>
      <x:c r="AS272" t="str">
        <x:v>Alto</x:v>
      </x:c>
      <x:c r="AT272" s="50" t="n">
        <x:v>46273.625</x:v>
      </x:c>
      <x:c r="AU272" t="str">
        <x:v>T09</x:v>
      </x:c>
      <x:c r="AV272" t="str">
        <x:v>T2 original + evolução sintética posterior</x:v>
      </x:c>
    </x:row>
    <x:row r="273">
      <x:c r="A273" t="str">
        <x:v>CH-20260908-009</x:v>
      </x:c>
      <x:c r="B273" t="str">
        <x:v>Passageiro Preso</x:v>
      </x:c>
      <x:c r="C273" t="str">
        <x:v>Elevador parado entre andares</x:v>
      </x:c>
      <x:c r="D273" t="str">
        <x:v>Cabine imobilizada com passageiro no interior.</x:v>
      </x:c>
      <x:c r="E273" t="str">
        <x:v>Concluído</x:v>
      </x:c>
      <x:c r="F273" t="str">
        <x:v>Central de Atendimento</x:v>
      </x:c>
      <x:c r="G273" t="str">
        <x:v>E-109</x:v>
      </x:c>
      <x:c r="H273" t="str">
        <x:v>Elevador Social</x:v>
      </x:c>
      <x:c r="I273" t="str">
        <x:v>Microprocessado</x:v>
      </x:c>
      <x:c r="J273" t="str">
        <x:v>Gearless</x:v>
      </x:c>
      <x:c r="K273" t="str">
        <x:v>OTIS</x:v>
      </x:c>
      <x:c r="L273" t="str">
        <x:v>ROT-001</x:v>
      </x:c>
      <x:c r="M273" t="str">
        <x:v>Tração</x:v>
      </x:c>
      <x:c r="N273" t="str">
        <x:v>Freio</x:v>
      </x:c>
      <x:c r="O273" t="str">
        <x:v>Travamento</x:v>
      </x:c>
      <x:c r="P273" t="str">
        <x:v>Parada total</x:v>
      </x:c>
      <x:c r="Q273" t="str">
        <x:v>Resgate concluído e equipamento normalizado</x:v>
      </x:c>
      <x:c r="R273" t="str">
        <x:v>Edifício Corporate</x:v>
      </x:c>
      <x:c r="S273" t="str">
        <x:v>Não</x:v>
      </x:c>
      <x:c r="T273" t="str">
        <x:v>Sim</x:v>
      </x:c>
      <x:c r="U273" t="str">
        <x:v>CT-2026-003</x:v>
      </x:c>
      <x:c r="V273" t="str">
        <x:v>SP-Oeste</x:v>
      </x:c>
      <x:c r="W273" t="str">
        <x:v>Ana Costa</x:v>
      </x:c>
      <x:c r="X273" t="str">
        <x:v>Supervisor A</x:v>
      </x:c>
      <x:c r="Y273" t="str">
        <x:v>Rota Oeste 03</x:v>
      </x:c>
      <x:c r="Z273" t="str">
        <x:v>Av. Faria Lima, 3500 - São Paulo/SP</x:v>
      </x:c>
      <x:c r="AA273" t="str">
        <x:v>São Paulo</x:v>
      </x:c>
      <x:c r="AB273" s="50" t="n">
        <x:v>46273.3298611111</x:v>
      </x:c>
      <x:c r="AC273" s="50" t="n">
        <x:v>46273.3340277778</x:v>
      </x:c>
      <x:c r="AD273" s="50" t="n">
        <x:v>46273.3354166667</x:v>
      </x:c>
      <x:c r="AE273" s="50" t="n">
        <x:v>46273.3604166667</x:v>
      </x:c>
      <x:c r="AF273" s="50" t="n">
        <x:v>46273.3833333333</x:v>
      </x:c>
      <x:c r="AG273" t="n">
        <x:v>44</x:v>
      </x:c>
      <x:c r="AH273" t="n">
        <x:v>28</x:v>
      </x:c>
      <x:c r="AI273" t="str">
        <x:v>Sim</x:v>
      </x:c>
      <x:c r="AJ273" t="str">
        <x:v>Sim</x:v>
      </x:c>
      <x:c r="AK273" t="n">
        <x:v>120</x:v>
      </x:c>
      <x:c r="AL273" t="n">
        <x:v>0</x:v>
      </x:c>
      <x:c r="AM273" s="64" t="n">
        <x:v>0.6</x:v>
      </x:c>
      <x:c r="AN273" t="n">
        <x:v>0</x:v>
      </x:c>
      <x:c r="AO273" t="str">
        <x:v>Verde</x:v>
      </x:c>
      <x:c r="AP273" t="str">
        <x:v>passageiro preso; SLA acima de 55%; carro parado</x:v>
      </x:c>
      <x:c r="AQ273" t="str">
        <x:v>Sem recorrência relevante; acompanhar evolução de Tração.</x:v>
      </x:c>
      <x:c r="AR273" s="62" t="n">
        <x:v>970</x:v>
      </x:c>
      <x:c r="AS273" t="str">
        <x:v>Médio</x:v>
      </x:c>
      <x:c r="AT273" s="50" t="n">
        <x:v>46273.625</x:v>
      </x:c>
      <x:c r="AU273" t="str">
        <x:v>T09</x:v>
      </x:c>
      <x:c r="AV273" t="str">
        <x:v>T2 original + evolução sintética posterior</x:v>
      </x:c>
    </x:row>
    <x:row r="274">
      <x:c r="A274" t="str">
        <x:v>CH-20260908-010</x:v>
      </x:c>
      <x:c r="B274" t="str">
        <x:v>Falha de Nivelamento</x:v>
      </x:c>
      <x:c r="C274" t="str">
        <x:v>Cabine desnivelada</x:v>
      </x:c>
      <x:c r="D274" t="str">
        <x:v>Cabine parou fora do nível do pavimento.</x:v>
      </x:c>
      <x:c r="E274" t="str">
        <x:v>Concluído</x:v>
      </x:c>
      <x:c r="F274" t="str">
        <x:v>IoT</x:v>
      </x:c>
      <x:c r="G274" t="str">
        <x:v>E-110</x:v>
      </x:c>
      <x:c r="H274" t="str">
        <x:v>Elevador Social</x:v>
      </x:c>
      <x:c r="I274" t="str">
        <x:v>Microprocessado</x:v>
      </x:c>
      <x:c r="J274" t="str">
        <x:v>Gearless</x:v>
      </x:c>
      <x:c r="K274" t="str">
        <x:v>OTIS</x:v>
      </x:c>
      <x:c r="L274" t="str">
        <x:v>ROT-014</x:v>
      </x:c>
      <x:c r="M274" t="str">
        <x:v>Sensor de Nível</x:v>
      </x:c>
      <x:c r="N274" t="str">
        <x:v>Sensor</x:v>
      </x:c>
      <x:c r="O274" t="str">
        <x:v>Leitura inconsistente</x:v>
      </x:c>
      <x:c r="P274" t="str">
        <x:v>Falha de nivelamento</x:v>
      </x:c>
      <x:c r="Q274" t="str">
        <x:v>Sensor ajustado/substituído</x:v>
      </x:c>
      <x:c r="R274" t="str">
        <x:v>Condomínio Alameda</x:v>
      </x:c>
      <x:c r="S274" t="str">
        <x:v>Não</x:v>
      </x:c>
      <x:c r="T274" t="str">
        <x:v>Não</x:v>
      </x:c>
      <x:c r="U274" t="str">
        <x:v>CT-2026-004</x:v>
      </x:c>
      <x:c r="V274" t="str">
        <x:v>SP-Sul</x:v>
      </x:c>
      <x:c r="W274" t="str">
        <x:v>Carlos Souza</x:v>
      </x:c>
      <x:c r="X274" t="str">
        <x:v>Supervisor B</x:v>
      </x:c>
      <x:c r="Y274" t="str">
        <x:v>Rota Sul 04</x:v>
      </x:c>
      <x:c r="Z274" t="str">
        <x:v>R. das Acácias, 420 - São Paulo/SP</x:v>
      </x:c>
      <x:c r="AA274" t="str">
        <x:v>São Paulo</x:v>
      </x:c>
      <x:c r="AB274" s="50" t="n">
        <x:v>46273.3326388889</x:v>
      </x:c>
      <x:c r="AC274" s="50" t="n">
        <x:v>46273.3340277778</x:v>
      </x:c>
      <x:c r="AD274" s="50" t="n">
        <x:v>46273.3368055556</x:v>
      </x:c>
      <x:c r="AE274" s="50" t="n">
        <x:v>46273.3465277778</x:v>
      </x:c>
      <x:c r="AF274" s="50" t="n">
        <x:v>46273.3951388889</x:v>
      </x:c>
      <x:c r="AG274" t="n">
        <x:v>20</x:v>
      </x:c>
      <x:c r="AH274" t="n">
        <x:v>65</x:v>
      </x:c>
      <x:c r="AI274" t="str">
        <x:v>Não</x:v>
      </x:c>
      <x:c r="AJ274" t="str">
        <x:v>Não</x:v>
      </x:c>
      <x:c r="AK274" t="n">
        <x:v>180</x:v>
      </x:c>
      <x:c r="AL274" t="n">
        <x:v>0</x:v>
      </x:c>
      <x:c r="AM274" s="64" t="n">
        <x:v>0.4722</x:v>
      </x:c>
      <x:c r="AN274" t="n">
        <x:v>1</x:v>
      </x:c>
      <x:c r="AO274" t="str">
        <x:v>Verde</x:v>
      </x:c>
      <x:c r="AP274" t="str">
        <x:v>operação dentro do esperado</x:v>
      </x:c>
      <x:c r="AQ274" t="str">
        <x:v>Há ocorrência recente semelhante; comparar solução anterior de Sensor de Nível.</x:v>
      </x:c>
      <x:c r="AR274" s="62" t="n">
        <x:v>791</x:v>
      </x:c>
      <x:c r="AS274" t="str">
        <x:v>Médio</x:v>
      </x:c>
      <x:c r="AT274" s="50" t="n">
        <x:v>46273.625</x:v>
      </x:c>
      <x:c r="AU274" t="str">
        <x:v>T09</x:v>
      </x:c>
      <x:c r="AV274" t="str">
        <x:v>T2 original + evolução sintética posterior</x:v>
      </x:c>
    </x:row>
    <x:row r="275">
      <x:c r="A275" t="str">
        <x:v>CH-20260908-011</x:v>
      </x:c>
      <x:c r="B275" t="str">
        <x:v>Porta não fecha</x:v>
      </x:c>
      <x:c r="C275" t="str">
        <x:v>Falha no fechamento</x:v>
      </x:c>
      <x:c r="D275" t="str">
        <x:v>Porta permanece aberta e impede partida.</x:v>
      </x:c>
      <x:c r="E275" t="str">
        <x:v>Concluído</x:v>
      </x:c>
      <x:c r="F275" t="str">
        <x:v>Aplicativo Cliente</x:v>
      </x:c>
      <x:c r="G275" t="str">
        <x:v>E-111</x:v>
      </x:c>
      <x:c r="H275" t="str">
        <x:v>Elevador Social</x:v>
      </x:c>
      <x:c r="I275" t="str">
        <x:v>Microprocessado</x:v>
      </x:c>
      <x:c r="J275" t="str">
        <x:v>Gearless</x:v>
      </x:c>
      <x:c r="K275" t="str">
        <x:v>OTIS</x:v>
      </x:c>
      <x:c r="L275" t="str">
        <x:v>ROT-021</x:v>
      </x:c>
      <x:c r="M275" t="str">
        <x:v>Operador de Porta</x:v>
      </x:c>
      <x:c r="N275" t="str">
        <x:v>Sensor de porta</x:v>
      </x:c>
      <x:c r="O275" t="str">
        <x:v>Falha de leitura</x:v>
      </x:c>
      <x:c r="P275" t="str">
        <x:v>Porta aberta</x:v>
      </x:c>
      <x:c r="Q275" t="str">
        <x:v>Inspeção técnica e normalização demonstrativas de Operador de Porta; resolução sintética, sem confirmação de consumo de peças.</x:v>
      </x:c>
      <x:c r="R275" t="str">
        <x:v>Aeroporto Terminal 3</x:v>
      </x:c>
      <x:c r="S275" t="str">
        <x:v>Sim</x:v>
      </x:c>
      <x:c r="T275" t="str">
        <x:v>Sim</x:v>
      </x:c>
      <x:c r="U275" t="str">
        <x:v>CT-2026-005</x:v>
      </x:c>
      <x:c r="V275" t="str">
        <x:v>GRU</x:v>
      </x:c>
      <x:c r="W275" t="str">
        <x:v>Renata Alves</x:v>
      </x:c>
      <x:c r="X275" t="str">
        <x:v>Supervisor C</x:v>
      </x:c>
      <x:c r="Y275" t="str">
        <x:v>Rota GRU 05</x:v>
      </x:c>
      <x:c r="Z275" t="str">
        <x:v>Rod. Hélio Smidt, s/n - Guarulhos/SP</x:v>
      </x:c>
      <x:c r="AA275" t="str">
        <x:v>São Paulo</x:v>
      </x:c>
      <x:c r="AB275" s="50" t="n">
        <x:v>46273.3354166667</x:v>
      </x:c>
      <x:c r="AC275" s="50" t="n">
        <x:v>46273.3375</x:v>
      </x:c>
      <x:c r="AD275" s="50" t="n">
        <x:v>46273.341666666696</x:v>
      </x:c>
      <x:c r="AE275" s="50" t="n">
        <x:v>46273.3534722222</x:v>
      </x:c>
      <x:c r="AF275" s="50" t="n">
        <x:v>46273.41875</x:v>
      </x:c>
      <x:c r="AG275" t="n">
        <x:v>26</x:v>
      </x:c>
      <x:c r="AH275" t="n">
        <x:v>89</x:v>
      </x:c>
      <x:c r="AI275" t="str">
        <x:v>Não</x:v>
      </x:c>
      <x:c r="AJ275" t="str">
        <x:v>Não</x:v>
      </x:c>
      <x:c r="AK275" t="n">
        <x:v>45</x:v>
      </x:c>
      <x:c r="AL275" t="n">
        <x:v>0</x:v>
      </x:c>
      <x:c r="AM275" s="64" t="n">
        <x:v>2.5556</x:v>
      </x:c>
      <x:c r="AN275" t="n">
        <x:v>2</x:v>
      </x:c>
      <x:c r="AO275" t="str">
        <x:v>Vermelho</x:v>
      </x:c>
      <x:c r="AP275" t="str">
        <x:v>SLA sintético excedido (tempo acumulado ≥ 100% do SLA)</x:v>
      </x:c>
      <x:c r="AQ275" t="str">
        <x:v>Encerramento demonstrativo de Operador de Porta; verificar fechamento e histórico para aprendizado. Sem despacho automático.</x:v>
      </x:c>
      <x:c r="AR275" s="62" t="n">
        <x:v>880</x:v>
      </x:c>
      <x:c r="AS275" t="str">
        <x:v>Médio</x:v>
      </x:c>
      <x:c r="AT275" s="50" t="n">
        <x:v>46273.625</x:v>
      </x:c>
      <x:c r="AU275" t="str">
        <x:v>T09</x:v>
      </x:c>
      <x:c r="AV275" t="str">
        <x:v>T2 original + evolução sintética posterior</x:v>
      </x:c>
    </x:row>
    <x:row r="276">
      <x:c r="A276" t="str">
        <x:v>CH-20260908-012</x:v>
      </x:c>
      <x:c r="B276" t="str">
        <x:v>Painel sem comunicação</x:v>
      </x:c>
      <x:c r="C276" t="str">
        <x:v>Falha de comunicação</x:v>
      </x:c>
      <x:c r="D276" t="str">
        <x:v>Painel não responde aos comandos.</x:v>
      </x:c>
      <x:c r="E276" t="str">
        <x:v>Concluído</x:v>
      </x:c>
      <x:c r="F276" t="str">
        <x:v>Monitoramento Remoto</x:v>
      </x:c>
      <x:c r="G276" t="str">
        <x:v>E-112</x:v>
      </x:c>
      <x:c r="H276" t="str">
        <x:v>Elevador Social</x:v>
      </x:c>
      <x:c r="I276" t="str">
        <x:v>Microprocessado</x:v>
      </x:c>
      <x:c r="J276" t="str">
        <x:v>Gearless</x:v>
      </x:c>
      <x:c r="K276" t="str">
        <x:v>OTIS</x:v>
      </x:c>
      <x:c r="L276" t="str">
        <x:v>ROT-033</x:v>
      </x:c>
      <x:c r="M276" t="str">
        <x:v>Painel/Comando</x:v>
      </x:c>
      <x:c r="N276" t="str">
        <x:v>Interface</x:v>
      </x:c>
      <x:c r="O276" t="str">
        <x:v>Sem comunicação</x:v>
      </x:c>
      <x:c r="P276" t="str">
        <x:v>Falha lógica</x:v>
      </x:c>
      <x:c r="Q276" t="str">
        <x:v>Interface reinicializada/substituída</x:v>
      </x:c>
      <x:c r="R276" t="str">
        <x:v>Universidade Central</x:v>
      </x:c>
      <x:c r="S276" t="str">
        <x:v>Não</x:v>
      </x:c>
      <x:c r="T276" t="str">
        <x:v>Sim</x:v>
      </x:c>
      <x:c r="U276" t="str">
        <x:v>CT-2026-006</x:v>
      </x:c>
      <x:c r="V276" t="str">
        <x:v>SP-Leste</x:v>
      </x:c>
      <x:c r="W276" t="str">
        <x:v>Paulo Mendes</x:v>
      </x:c>
      <x:c r="X276" t="str">
        <x:v>Supervisor D</x:v>
      </x:c>
      <x:c r="Y276" t="str">
        <x:v>Rota Leste 06</x:v>
      </x:c>
      <x:c r="Z276" t="str">
        <x:v>Av. Central, 850 - São Paulo/SP</x:v>
      </x:c>
      <x:c r="AA276" t="str">
        <x:v>São Paulo</x:v>
      </x:c>
      <x:c r="AB276" s="50" t="n">
        <x:v>46273.3381944444</x:v>
      </x:c>
      <x:c r="AC276" s="50" t="n">
        <x:v>46273.3409722222</x:v>
      </x:c>
      <x:c r="AD276" s="50" t="n">
        <x:v>46273.3423611111</x:v>
      </x:c>
      <x:c r="AE276" s="50" t="n">
        <x:v>46273.3618055556</x:v>
      </x:c>
      <x:c r="AF276" s="50" t="n">
        <x:v>46273.3819444444</x:v>
      </x:c>
      <x:c r="AG276" t="n">
        <x:v>34</x:v>
      </x:c>
      <x:c r="AH276" t="n">
        <x:v>24</x:v>
      </x:c>
      <x:c r="AI276" t="str">
        <x:v>Não</x:v>
      </x:c>
      <x:c r="AJ276" t="str">
        <x:v>Não</x:v>
      </x:c>
      <x:c r="AK276" t="n">
        <x:v>120</x:v>
      </x:c>
      <x:c r="AL276" t="n">
        <x:v>0</x:v>
      </x:c>
      <x:c r="AM276" s="64" t="n">
        <x:v>0.4833</x:v>
      </x:c>
      <x:c r="AN276" t="n">
        <x:v>3</x:v>
      </x:c>
      <x:c r="AO276" t="str">
        <x:v>Verde</x:v>
      </x:c>
      <x:c r="AP276" t="str">
        <x:v>3 recorrências/30d</x:v>
      </x:c>
      <x:c r="AQ276" t="str">
        <x:v>Recorrência elevada: verificar padrão histórico em Painel/Comando/Interface.</x:v>
      </x:c>
      <x:c r="AR276" s="62" t="n">
        <x:v>1280</x:v>
      </x:c>
      <x:c r="AS276" t="str">
        <x:v>Alto</x:v>
      </x:c>
      <x:c r="AT276" s="50" t="n">
        <x:v>46273.625</x:v>
      </x:c>
      <x:c r="AU276" t="str">
        <x:v>T09</x:v>
      </x:c>
      <x:c r="AV276" t="str">
        <x:v>T2 original + evolução sintética posterior</x:v>
      </x:c>
    </x:row>
    <x:row r="277">
      <x:c r="A277" t="str">
        <x:v>CH-20260908-013</x:v>
      </x:c>
      <x:c r="B277" t="str">
        <x:v>Falha de Tração</x:v>
      </x:c>
      <x:c r="C277" t="str">
        <x:v>Movimento irregular</x:v>
      </x:c>
      <x:c r="D277" t="str">
        <x:v>Equipamento apresenta perda de tração.</x:v>
      </x:c>
      <x:c r="E277" t="str">
        <x:v>Concluído</x:v>
      </x:c>
      <x:c r="F277" t="str">
        <x:v>Central de Atendimento</x:v>
      </x:c>
      <x:c r="G277" t="str">
        <x:v>E-113</x:v>
      </x:c>
      <x:c r="H277" t="str">
        <x:v>Elevador Social</x:v>
      </x:c>
      <x:c r="I277" t="str">
        <x:v>Microprocessado</x:v>
      </x:c>
      <x:c r="J277" t="str">
        <x:v>Gearless</x:v>
      </x:c>
      <x:c r="K277" t="str">
        <x:v>OTIS</x:v>
      </x:c>
      <x:c r="L277" t="str">
        <x:v>ROT-041</x:v>
      </x:c>
      <x:c r="M277" t="str">
        <x:v>Máquina de Tração</x:v>
      </x:c>
      <x:c r="N277" t="str">
        <x:v>Inversor</x:v>
      </x:c>
      <x:c r="O277" t="str">
        <x:v>Oscilação</x:v>
      </x:c>
      <x:c r="P277" t="str">
        <x:v>Falha de movimento</x:v>
      </x:c>
      <x:c r="Q277" t="str">
        <x:v>Inspeção técnica e normalização demonstrativas de Máquina de Tração; resolução sintética, sem confirmação de consumo de peças.</x:v>
      </x:c>
      <x:c r="R277" t="str">
        <x:v>Hospital São Paulo</x:v>
      </x:c>
      <x:c r="S277" t="str">
        <x:v>Sim</x:v>
      </x:c>
      <x:c r="T277" t="str">
        <x:v>Sim</x:v>
      </x:c>
      <x:c r="U277" t="str">
        <x:v>CT-2026-001</x:v>
      </x:c>
      <x:c r="V277" t="str">
        <x:v>SP-Centro</x:v>
      </x:c>
      <x:c r="W277" t="str">
        <x:v>João Silva</x:v>
      </x:c>
      <x:c r="X277" t="str">
        <x:v>Supervisor A</x:v>
      </x:c>
      <x:c r="Y277" t="str">
        <x:v>Rota Centro 01</x:v>
      </x:c>
      <x:c r="Z277" t="str">
        <x:v>Av. Paulista, 1000 - São Paulo/SP</x:v>
      </x:c>
      <x:c r="AA277" t="str">
        <x:v>São Paulo</x:v>
      </x:c>
      <x:c r="AB277" s="50" t="n">
        <x:v>46273.341666666696</x:v>
      </x:c>
      <x:c r="AC277" s="50" t="n">
        <x:v>46273.3451388889</x:v>
      </x:c>
      <x:c r="AD277" s="50" t="n">
        <x:v>46273.3479166667</x:v>
      </x:c>
      <x:c r="AE277" s="50" t="n">
        <x:v>46273.3722222222</x:v>
      </x:c>
      <x:c r="AF277" s="50" t="n">
        <x:v>46273.43124999998</x:v>
      </x:c>
      <x:c r="AG277" t="n">
        <x:v>44</x:v>
      </x:c>
      <x:c r="AH277" t="n">
        <x:v>80</x:v>
      </x:c>
      <x:c r="AI277" t="str">
        <x:v>Não</x:v>
      </x:c>
      <x:c r="AJ277" t="str">
        <x:v>Sim</x:v>
      </x:c>
      <x:c r="AK277" t="n">
        <x:v>60</x:v>
      </x:c>
      <x:c r="AL277" t="n">
        <x:v>0</x:v>
      </x:c>
      <x:c r="AM277" s="64" t="n">
        <x:v>2.0667</x:v>
      </x:c>
      <x:c r="AN277" t="n">
        <x:v>1</x:v>
      </x:c>
      <x:c r="AO277" t="str">
        <x:v>Vermelho</x:v>
      </x:c>
      <x:c r="AP277" t="str">
        <x:v>SLA sintético excedido (tempo acumulado ≥ 100% do SLA)</x:v>
      </x:c>
      <x:c r="AQ277" t="str">
        <x:v>Encerramento demonstrativo de Máquina de Tração; verificar fechamento e histórico para aprendizado. Sem despacho automático.</x:v>
      </x:c>
      <x:c r="AR277" s="62" t="n">
        <x:v>1085</x:v>
      </x:c>
      <x:c r="AS277" t="str">
        <x:v>Médio</x:v>
      </x:c>
      <x:c r="AT277" s="50" t="n">
        <x:v>46273.625</x:v>
      </x:c>
      <x:c r="AU277" t="str">
        <x:v>T09</x:v>
      </x:c>
      <x:c r="AV277" t="str">
        <x:v>T2 original + evolução sintética posterior</x:v>
      </x:c>
    </x:row>
    <x:row r="278">
      <x:c r="A278" t="str">
        <x:v>CH-20260908-014</x:v>
      </x:c>
      <x:c r="B278" t="str">
        <x:v>Iluminação de Cabine</x:v>
      </x:c>
      <x:c r="C278" t="str">
        <x:v>Iluminação inoperante</x:v>
      </x:c>
      <x:c r="D278" t="str">
        <x:v>Cabine com iluminação parcial ou total indisponível.</x:v>
      </x:c>
      <x:c r="E278" t="str">
        <x:v>Concluído</x:v>
      </x:c>
      <x:c r="F278" t="str">
        <x:v>IoT</x:v>
      </x:c>
      <x:c r="G278" t="str">
        <x:v>E-114</x:v>
      </x:c>
      <x:c r="H278" t="str">
        <x:v>Elevador Social</x:v>
      </x:c>
      <x:c r="I278" t="str">
        <x:v>Microprocessado</x:v>
      </x:c>
      <x:c r="J278" t="str">
        <x:v>Gearless</x:v>
      </x:c>
      <x:c r="K278" t="str">
        <x:v>OTIS</x:v>
      </x:c>
      <x:c r="L278" t="str">
        <x:v>ROT-052</x:v>
      </x:c>
      <x:c r="M278" t="str">
        <x:v>Elétrica</x:v>
      </x:c>
      <x:c r="N278" t="str">
        <x:v>Fonte</x:v>
      </x:c>
      <x:c r="O278" t="str">
        <x:v>Sem alimentação</x:v>
      </x:c>
      <x:c r="P278" t="str">
        <x:v>Falha elétrica</x:v>
      </x:c>
      <x:c r="Q278" t="str">
        <x:v>Inspeção técnica e normalização demonstrativas de Elétrica; resolução sintética, sem confirmação de consumo de peças.</x:v>
      </x:c>
      <x:c r="R278" t="str">
        <x:v>Shopping Center Norte</x:v>
      </x:c>
      <x:c r="S278" t="str">
        <x:v>Não</x:v>
      </x:c>
      <x:c r="T278" t="str">
        <x:v>Sim</x:v>
      </x:c>
      <x:c r="U278" t="str">
        <x:v>CT-2026-002</x:v>
      </x:c>
      <x:c r="V278" t="str">
        <x:v>SP-Norte</x:v>
      </x:c>
      <x:c r="W278" t="str">
        <x:v>Marcos Lima</x:v>
      </x:c>
      <x:c r="X278" t="str">
        <x:v>Supervisor B</x:v>
      </x:c>
      <x:c r="Y278" t="str">
        <x:v>Rota Norte 02</x:v>
      </x:c>
      <x:c r="Z278" t="str">
        <x:v>Av. Otto Baumgart, 245 - São Paulo/SP</x:v>
      </x:c>
      <x:c r="AA278" t="str">
        <x:v>São Paulo</x:v>
      </x:c>
      <x:c r="AB278" s="50" t="n">
        <x:v>46273.3451388889</x:v>
      </x:c>
      <x:c r="AC278" s="50" t="n">
        <x:v>46273.3493055556</x:v>
      </x:c>
      <x:c r="AD278" s="50" t="n">
        <x:v>46273.3534722222</x:v>
      </x:c>
      <x:c r="AE278" s="50" t="n">
        <x:v>46273.3826388889</x:v>
      </x:c>
      <x:c r="AF278" s="50" t="n">
        <x:v>46273.4451388889</x:v>
      </x:c>
      <x:c r="AG278" t="n">
        <x:v>54</x:v>
      </x:c>
      <x:c r="AH278" t="n">
        <x:v>85</x:v>
      </x:c>
      <x:c r="AI278" t="str">
        <x:v>Não</x:v>
      </x:c>
      <x:c r="AJ278" t="str">
        <x:v>Não</x:v>
      </x:c>
      <x:c r="AK278" t="n">
        <x:v>90</x:v>
      </x:c>
      <x:c r="AL278" t="n">
        <x:v>0</x:v>
      </x:c>
      <x:c r="AM278" s="64" t="n">
        <x:v>1.5444</x:v>
      </x:c>
      <x:c r="AN278" t="n">
        <x:v>0</x:v>
      </x:c>
      <x:c r="AO278" t="str">
        <x:v>Vermelho</x:v>
      </x:c>
      <x:c r="AP278" t="str">
        <x:v>SLA sintético excedido (tempo acumulado ≥ 100% do SLA)</x:v>
      </x:c>
      <x:c r="AQ278" t="str">
        <x:v>Encerramento demonstrativo de Elétrica; verificar fechamento e histórico para aprendizado. Sem despacho automático.</x:v>
      </x:c>
      <x:c r="AR278" s="62" t="n">
        <x:v>770</x:v>
      </x:c>
      <x:c r="AS278" t="str">
        <x:v>Médio</x:v>
      </x:c>
      <x:c r="AT278" s="50" t="n">
        <x:v>46273.625</x:v>
      </x:c>
      <x:c r="AU278" t="str">
        <x:v>T09</x:v>
      </x:c>
      <x:c r="AV278" t="str">
        <x:v>T2 original + evolução sintética posterior</x:v>
      </x:c>
    </x:row>
    <x:row r="279">
      <x:c r="A279" t="str">
        <x:v>CH-20260908-015</x:v>
      </x:c>
      <x:c r="B279" t="str">
        <x:v>Botão de Chamada</x:v>
      </x:c>
      <x:c r="C279" t="str">
        <x:v>Botão não responde</x:v>
      </x:c>
      <x:c r="D279" t="str">
        <x:v>Botão de chamada não registra comando.</x:v>
      </x:c>
      <x:c r="E279" t="str">
        <x:v>Concluído</x:v>
      </x:c>
      <x:c r="F279" t="str">
        <x:v>Aplicativo Cliente</x:v>
      </x:c>
      <x:c r="G279" t="str">
        <x:v>E-115</x:v>
      </x:c>
      <x:c r="H279" t="str">
        <x:v>Elevador Social</x:v>
      </x:c>
      <x:c r="I279" t="str">
        <x:v>Microprocessado</x:v>
      </x:c>
      <x:c r="J279" t="str">
        <x:v>Gearless</x:v>
      </x:c>
      <x:c r="K279" t="str">
        <x:v>OTIS</x:v>
      </x:c>
      <x:c r="L279" t="str">
        <x:v>ROT-063</x:v>
      </x:c>
      <x:c r="M279" t="str">
        <x:v>Botoeira</x:v>
      </x:c>
      <x:c r="N279" t="str">
        <x:v>Contato</x:v>
      </x:c>
      <x:c r="O279" t="str">
        <x:v>Mau contato</x:v>
      </x:c>
      <x:c r="P279" t="str">
        <x:v>Falha de comando</x:v>
      </x:c>
      <x:c r="Q279" t="str">
        <x:v>Inspeção técnica e normalização demonstrativas de Botoeira; resolução sintética, sem confirmação de consumo de peças.</x:v>
      </x:c>
      <x:c r="R279" t="str">
        <x:v>Edifício Corporate</x:v>
      </x:c>
      <x:c r="S279" t="str">
        <x:v>Não</x:v>
      </x:c>
      <x:c r="T279" t="str">
        <x:v>Sim</x:v>
      </x:c>
      <x:c r="U279" t="str">
        <x:v>CT-2026-003</x:v>
      </x:c>
      <x:c r="V279" t="str">
        <x:v>SP-Oeste</x:v>
      </x:c>
      <x:c r="W279" t="str">
        <x:v>Ana Costa</x:v>
      </x:c>
      <x:c r="X279" t="str">
        <x:v>Supervisor C</x:v>
      </x:c>
      <x:c r="Y279" t="str">
        <x:v>Rota Oeste 03</x:v>
      </x:c>
      <x:c r="Z279" t="str">
        <x:v>Av. Faria Lima, 3500 - São Paulo/SP</x:v>
      </x:c>
      <x:c r="AA279" t="str">
        <x:v>São Paulo</x:v>
      </x:c>
      <x:c r="AB279" s="50" t="n">
        <x:v>46273.3486111111</x:v>
      </x:c>
      <x:c r="AC279" s="50" t="n">
        <x:v>46273.35</x:v>
      </x:c>
      <x:c r="AD279" s="50" t="n">
        <x:v>46273.3513888889</x:v>
      </x:c>
      <x:c r="AE279" s="50" t="n">
        <x:v>46273.3618055556</x:v>
      </x:c>
      <x:c r="AF279" s="50" t="n">
        <x:v>46273.42152777778</x:v>
      </x:c>
      <x:c r="AG279" t="n">
        <x:v>19</x:v>
      </x:c>
      <x:c r="AH279" t="n">
        <x:v>81</x:v>
      </x:c>
      <x:c r="AI279" t="str">
        <x:v>Não</x:v>
      </x:c>
      <x:c r="AJ279" t="str">
        <x:v>Não</x:v>
      </x:c>
      <x:c r="AK279" t="n">
        <x:v>120</x:v>
      </x:c>
      <x:c r="AL279" t="n">
        <x:v>0</x:v>
      </x:c>
      <x:c r="AM279" s="64" t="n">
        <x:v>0.8333</x:v>
      </x:c>
      <x:c r="AN279" t="n">
        <x:v>2</x:v>
      </x:c>
      <x:c r="AO279" t="str">
        <x:v>Laranja</x:v>
      </x:c>
      <x:c r="AP279" t="str">
        <x:v>janela de intervenção: tempo acumulado ≥ 80% do SLA</x:v>
      </x:c>
      <x:c r="AQ279" t="str">
        <x:v>Encerramento demonstrativo de Botoeira; verificar fechamento e histórico para aprendizado. Sem despacho automático.</x:v>
      </x:c>
      <x:c r="AR279" s="62" t="n">
        <x:v>739</x:v>
      </x:c>
      <x:c r="AS279" t="str">
        <x:v>Baixo</x:v>
      </x:c>
      <x:c r="AT279" s="50" t="n">
        <x:v>46273.625</x:v>
      </x:c>
      <x:c r="AU279" t="str">
        <x:v>T09</x:v>
      </x:c>
      <x:c r="AV279" t="str">
        <x:v>T2 original + evolução sintética posterior</x:v>
      </x:c>
    </x:row>
    <x:row r="280">
      <x:c r="A280" t="str">
        <x:v>CH-20260908-016</x:v>
      </x:c>
      <x:c r="B280" t="str">
        <x:v>Parada Intermitente</x:v>
      </x:c>
      <x:c r="C280" t="str">
        <x:v>Paradas aleatórias</x:v>
      </x:c>
      <x:c r="D280" t="str">
        <x:v>Equipamento interrompe operação de forma intermitente.</x:v>
      </x:c>
      <x:c r="E280" t="str">
        <x:v>Concluído</x:v>
      </x:c>
      <x:c r="F280" t="str">
        <x:v>Monitoramento Remoto</x:v>
      </x:c>
      <x:c r="G280" t="str">
        <x:v>E-116</x:v>
      </x:c>
      <x:c r="H280" t="str">
        <x:v>Elevador Social</x:v>
      </x:c>
      <x:c r="I280" t="str">
        <x:v>Microprocessado</x:v>
      </x:c>
      <x:c r="J280" t="str">
        <x:v>Gearless</x:v>
      </x:c>
      <x:c r="K280" t="str">
        <x:v>OTIS</x:v>
      </x:c>
      <x:c r="L280" t="str">
        <x:v>ROT-074</x:v>
      </x:c>
      <x:c r="M280" t="str">
        <x:v>Painel/Comando</x:v>
      </x:c>
      <x:c r="N280" t="str">
        <x:v>Placa</x:v>
      </x:c>
      <x:c r="O280" t="str">
        <x:v>Intermitência</x:v>
      </x:c>
      <x:c r="P280" t="str">
        <x:v>Falha intermitente</x:v>
      </x:c>
      <x:c r="Q280" t="str">
        <x:v>Inspeção técnica e normalização demonstrativas de Painel/Comando; resolução sintética, sem confirmação de consumo de peças.</x:v>
      </x:c>
      <x:c r="R280" t="str">
        <x:v>Condomínio Alameda</x:v>
      </x:c>
      <x:c r="S280" t="str">
        <x:v>Não</x:v>
      </x:c>
      <x:c r="T280" t="str">
        <x:v>Não</x:v>
      </x:c>
      <x:c r="U280" t="str">
        <x:v>CT-2026-004</x:v>
      </x:c>
      <x:c r="V280" t="str">
        <x:v>SP-Sul</x:v>
      </x:c>
      <x:c r="W280" t="str">
        <x:v>Carlos Souza</x:v>
      </x:c>
      <x:c r="X280" t="str">
        <x:v>Supervisor D</x:v>
      </x:c>
      <x:c r="Y280" t="str">
        <x:v>Rota Sul 04</x:v>
      </x:c>
      <x:c r="Z280" t="str">
        <x:v>R. das Acácias, 420 - São Paulo/SP</x:v>
      </x:c>
      <x:c r="AA280" t="str">
        <x:v>São Paulo</x:v>
      </x:c>
      <x:c r="AB280" s="50" t="n">
        <x:v>46273.3520833333</x:v>
      </x:c>
      <x:c r="AC280" s="50" t="n">
        <x:v>46273.3541666667</x:v>
      </x:c>
      <x:c r="AD280" s="50" t="n">
        <x:v>46273.3569444444</x:v>
      </x:c>
      <x:c r="AE280" s="50" t="n">
        <x:v>46273.3722222222</x:v>
      </x:c>
      <x:c r="AF280" s="50" t="n">
        <x:v>46273.46249999998</x:v>
      </x:c>
      <x:c r="AG280" t="n">
        <x:v>29</x:v>
      </x:c>
      <x:c r="AH280" t="n">
        <x:v>125</x:v>
      </x:c>
      <x:c r="AI280" t="str">
        <x:v>Não</x:v>
      </x:c>
      <x:c r="AJ280" t="str">
        <x:v>Sim</x:v>
      </x:c>
      <x:c r="AK280" t="n">
        <x:v>180</x:v>
      </x:c>
      <x:c r="AL280" t="n">
        <x:v>0</x:v>
      </x:c>
      <x:c r="AM280" s="64" t="n">
        <x:v>0.8556</x:v>
      </x:c>
      <x:c r="AN280" t="n">
        <x:v>4</x:v>
      </x:c>
      <x:c r="AO280" t="str">
        <x:v>Laranja</x:v>
      </x:c>
      <x:c r="AP280" t="str">
        <x:v>janela de intervenção: tempo acumulado ≥ 80% do SLA</x:v>
      </x:c>
      <x:c r="AQ280" t="str">
        <x:v>Encerramento demonstrativo de Painel/Comando; verificar fechamento e histórico para aprendizado. Sem despacho automático.</x:v>
      </x:c>
      <x:c r="AR280" s="62" t="n">
        <x:v>1564</x:v>
      </x:c>
      <x:c r="AS280" t="str">
        <x:v>Alto</x:v>
      </x:c>
      <x:c r="AT280" s="50" t="n">
        <x:v>46273.625</x:v>
      </x:c>
      <x:c r="AU280" t="str">
        <x:v>T09</x:v>
      </x:c>
      <x:c r="AV280" t="str">
        <x:v>T2 original + evolução sintética posterior</x:v>
      </x:c>
    </x:row>
    <x:row r="281">
      <x:c r="A281" t="str">
        <x:v>CH-20260908-017</x:v>
      </x:c>
      <x:c r="B281" t="str">
        <x:v>Passageiro Preso</x:v>
      </x:c>
      <x:c r="C281" t="str">
        <x:v>Elevador parado entre andares</x:v>
      </x:c>
      <x:c r="D281" t="str">
        <x:v>Cabine imobilizada com passageiro no interior.</x:v>
      </x:c>
      <x:c r="E281" t="str">
        <x:v>Concluído</x:v>
      </x:c>
      <x:c r="F281" t="str">
        <x:v>Central de Atendimento</x:v>
      </x:c>
      <x:c r="G281" t="str">
        <x:v>E-117</x:v>
      </x:c>
      <x:c r="H281" t="str">
        <x:v>Elevador Social</x:v>
      </x:c>
      <x:c r="I281" t="str">
        <x:v>Microprocessado</x:v>
      </x:c>
      <x:c r="J281" t="str">
        <x:v>Gearless</x:v>
      </x:c>
      <x:c r="K281" t="str">
        <x:v>OTIS</x:v>
      </x:c>
      <x:c r="L281" t="str">
        <x:v>ROT-001</x:v>
      </x:c>
      <x:c r="M281" t="str">
        <x:v>Tração</x:v>
      </x:c>
      <x:c r="N281" t="str">
        <x:v>Freio</x:v>
      </x:c>
      <x:c r="O281" t="str">
        <x:v>Travamento</x:v>
      </x:c>
      <x:c r="P281" t="str">
        <x:v>Parada total</x:v>
      </x:c>
      <x:c r="Q281" t="str">
        <x:v>Resgate concluído e equipamento normalizado</x:v>
      </x:c>
      <x:c r="R281" t="str">
        <x:v>Aeroporto Terminal 3</x:v>
      </x:c>
      <x:c r="S281" t="str">
        <x:v>Sim</x:v>
      </x:c>
      <x:c r="T281" t="str">
        <x:v>Sim</x:v>
      </x:c>
      <x:c r="U281" t="str">
        <x:v>CT-2026-005</x:v>
      </x:c>
      <x:c r="V281" t="str">
        <x:v>GRU</x:v>
      </x:c>
      <x:c r="W281" t="str">
        <x:v>Renata Alves</x:v>
      </x:c>
      <x:c r="X281" t="str">
        <x:v>Supervisor A</x:v>
      </x:c>
      <x:c r="Y281" t="str">
        <x:v>Rota GRU 05</x:v>
      </x:c>
      <x:c r="Z281" t="str">
        <x:v>Rod. Hélio Smidt, s/n - Guarulhos/SP</x:v>
      </x:c>
      <x:c r="AA281" t="str">
        <x:v>São Paulo</x:v>
      </x:c>
      <x:c r="AB281" s="50" t="n">
        <x:v>46273.3555555556</x:v>
      </x:c>
      <x:c r="AC281" s="50" t="n">
        <x:v>46273.3583333333</x:v>
      </x:c>
      <x:c r="AD281" s="50" t="n">
        <x:v>46273.3625</x:v>
      </x:c>
      <x:c r="AE281" s="50" t="n">
        <x:v>46273.3763888889</x:v>
      </x:c>
      <x:c r="AF281" s="50" t="n">
        <x:v>46273.3993055556</x:v>
      </x:c>
      <x:c r="AG281" t="n">
        <x:v>30</x:v>
      </x:c>
      <x:c r="AH281" t="n">
        <x:v>28</x:v>
      </x:c>
      <x:c r="AI281" t="str">
        <x:v>Sim</x:v>
      </x:c>
      <x:c r="AJ281" t="str">
        <x:v>Sim</x:v>
      </x:c>
      <x:c r="AK281" t="n">
        <x:v>45</x:v>
      </x:c>
      <x:c r="AL281" t="n">
        <x:v>0</x:v>
      </x:c>
      <x:c r="AM281" s="64" t="n">
        <x:v>1.2889</x:v>
      </x:c>
      <x:c r="AN281" t="n">
        <x:v>0</x:v>
      </x:c>
      <x:c r="AO281" t="str">
        <x:v>Vermelho</x:v>
      </x:c>
      <x:c r="AP281" t="str">
        <x:v>passageiro preso; SLA estourado; carro parado</x:v>
      </x:c>
      <x:c r="AQ281" t="str">
        <x:v>Sem recorrência relevante; acompanhar evolução de Tração.</x:v>
      </x:c>
      <x:c r="AR281" s="62" t="n">
        <x:v>906</x:v>
      </x:c>
      <x:c r="AS281" t="str">
        <x:v>Médio</x:v>
      </x:c>
      <x:c r="AT281" s="50" t="n">
        <x:v>46273.625</x:v>
      </x:c>
      <x:c r="AU281" t="str">
        <x:v>T09</x:v>
      </x:c>
      <x:c r="AV281" t="str">
        <x:v>T2 original + evolução sintética posterior</x:v>
      </x:c>
    </x:row>
    <x:row r="282">
      <x:c r="A282" t="str">
        <x:v>CH-20260908-018</x:v>
      </x:c>
      <x:c r="B282" t="str">
        <x:v>Falha de Nivelamento</x:v>
      </x:c>
      <x:c r="C282" t="str">
        <x:v>Cabine desnivelada</x:v>
      </x:c>
      <x:c r="D282" t="str">
        <x:v>Cabine parou fora do nível do pavimento.</x:v>
      </x:c>
      <x:c r="E282" t="str">
        <x:v>Concluído</x:v>
      </x:c>
      <x:c r="F282" t="str">
        <x:v>IoT</x:v>
      </x:c>
      <x:c r="G282" t="str">
        <x:v>E-118</x:v>
      </x:c>
      <x:c r="H282" t="str">
        <x:v>Elevador Social</x:v>
      </x:c>
      <x:c r="I282" t="str">
        <x:v>Microprocessado</x:v>
      </x:c>
      <x:c r="J282" t="str">
        <x:v>Gearless</x:v>
      </x:c>
      <x:c r="K282" t="str">
        <x:v>OTIS</x:v>
      </x:c>
      <x:c r="L282" t="str">
        <x:v>ROT-014</x:v>
      </x:c>
      <x:c r="M282" t="str">
        <x:v>Sensor de Nível</x:v>
      </x:c>
      <x:c r="N282" t="str">
        <x:v>Sensor</x:v>
      </x:c>
      <x:c r="O282" t="str">
        <x:v>Leitura inconsistente</x:v>
      </x:c>
      <x:c r="P282" t="str">
        <x:v>Falha de nivelamento</x:v>
      </x:c>
      <x:c r="Q282" t="str">
        <x:v>Inspeção técnica e normalização demonstrativas de Sensor de Nível; resolução sintética, sem confirmação de consumo de peças.</x:v>
      </x:c>
      <x:c r="R282" t="str">
        <x:v>Universidade Central</x:v>
      </x:c>
      <x:c r="S282" t="str">
        <x:v>Não</x:v>
      </x:c>
      <x:c r="T282" t="str">
        <x:v>Sim</x:v>
      </x:c>
      <x:c r="U282" t="str">
        <x:v>CT-2026-006</x:v>
      </x:c>
      <x:c r="V282" t="str">
        <x:v>SP-Leste</x:v>
      </x:c>
      <x:c r="W282" t="str">
        <x:v>Paulo Mendes</x:v>
      </x:c>
      <x:c r="X282" t="str">
        <x:v>Supervisor B</x:v>
      </x:c>
      <x:c r="Y282" t="str">
        <x:v>Rota Leste 06</x:v>
      </x:c>
      <x:c r="Z282" t="str">
        <x:v>Av. Central, 850 - São Paulo/SP</x:v>
      </x:c>
      <x:c r="AA282" t="str">
        <x:v>São Paulo</x:v>
      </x:c>
      <x:c r="AB282" s="50" t="n">
        <x:v>46273.3590277778</x:v>
      </x:c>
      <x:c r="AC282" s="50" t="n">
        <x:v>46273.3625</x:v>
      </x:c>
      <x:c r="AD282" s="50" t="n">
        <x:v>46273.363888888896</x:v>
      </x:c>
      <x:c r="AE282" s="50" t="n">
        <x:v>46273.3888888889</x:v>
      </x:c>
      <x:c r="AF282" s="50" t="n">
        <x:v>46273.437500000015</x:v>
      </x:c>
      <x:c r="AG282" t="n">
        <x:v>43</x:v>
      </x:c>
      <x:c r="AH282" t="n">
        <x:v>65</x:v>
      </x:c>
      <x:c r="AI282" t="str">
        <x:v>Não</x:v>
      </x:c>
      <x:c r="AJ282" t="str">
        <x:v>Não</x:v>
      </x:c>
      <x:c r="AK282" t="n">
        <x:v>120</x:v>
      </x:c>
      <x:c r="AL282" t="n">
        <x:v>0</x:v>
      </x:c>
      <x:c r="AM282" s="64" t="n">
        <x:v>0.9</x:v>
      </x:c>
      <x:c r="AN282" t="n">
        <x:v>1</x:v>
      </x:c>
      <x:c r="AO282" t="str">
        <x:v>Laranja</x:v>
      </x:c>
      <x:c r="AP282" t="str">
        <x:v>janela de intervenção: tempo acumulado ≥ 80% do SLA</x:v>
      </x:c>
      <x:c r="AQ282" t="str">
        <x:v>Encerramento demonstrativo de Sensor de Nível; verificar fechamento e histórico para aprendizado. Sem despacho automático.</x:v>
      </x:c>
      <x:c r="AR282" s="62" t="n">
        <x:v>613</x:v>
      </x:c>
      <x:c r="AS282" t="str">
        <x:v>Baixo</x:v>
      </x:c>
      <x:c r="AT282" s="50" t="n">
        <x:v>46273.625</x:v>
      </x:c>
      <x:c r="AU282" t="str">
        <x:v>T09</x:v>
      </x:c>
      <x:c r="AV282" t="str">
        <x:v>T2 original + evolução sintética posterior</x:v>
      </x:c>
    </x:row>
    <x:row r="283">
      <x:c r="A283" t="str">
        <x:v>CH-20260908-019</x:v>
      </x:c>
      <x:c r="B283" t="str">
        <x:v>Porta não fecha</x:v>
      </x:c>
      <x:c r="C283" t="str">
        <x:v>Falha no fechamento</x:v>
      </x:c>
      <x:c r="D283" t="str">
        <x:v>Porta permanece aberta e impede partida.</x:v>
      </x:c>
      <x:c r="E283" t="str">
        <x:v>Concluído</x:v>
      </x:c>
      <x:c r="F283" t="str">
        <x:v>Aplicativo Cliente</x:v>
      </x:c>
      <x:c r="G283" t="str">
        <x:v>E-119</x:v>
      </x:c>
      <x:c r="H283" t="str">
        <x:v>Elevador Social</x:v>
      </x:c>
      <x:c r="I283" t="str">
        <x:v>Microprocessado</x:v>
      </x:c>
      <x:c r="J283" t="str">
        <x:v>Gearless</x:v>
      </x:c>
      <x:c r="K283" t="str">
        <x:v>OTIS</x:v>
      </x:c>
      <x:c r="L283" t="str">
        <x:v>ROT-021</x:v>
      </x:c>
      <x:c r="M283" t="str">
        <x:v>Operador de Porta</x:v>
      </x:c>
      <x:c r="N283" t="str">
        <x:v>Sensor de porta</x:v>
      </x:c>
      <x:c r="O283" t="str">
        <x:v>Falha de leitura</x:v>
      </x:c>
      <x:c r="P283" t="str">
        <x:v>Porta aberta</x:v>
      </x:c>
      <x:c r="Q283" t="str">
        <x:v>Inspeção técnica e normalização demonstrativas de Operador de Porta; resolução sintética, sem confirmação de consumo de peças.</x:v>
      </x:c>
      <x:c r="R283" t="str">
        <x:v>Hospital São Paulo</x:v>
      </x:c>
      <x:c r="S283" t="str">
        <x:v>Sim</x:v>
      </x:c>
      <x:c r="T283" t="str">
        <x:v>Sim</x:v>
      </x:c>
      <x:c r="U283" t="str">
        <x:v>CT-2026-001</x:v>
      </x:c>
      <x:c r="V283" t="str">
        <x:v>SP-Centro</x:v>
      </x:c>
      <x:c r="W283" t="str">
        <x:v>João Silva</x:v>
      </x:c>
      <x:c r="X283" t="str">
        <x:v>Supervisor C</x:v>
      </x:c>
      <x:c r="Y283" t="str">
        <x:v>Rota Centro 01</x:v>
      </x:c>
      <x:c r="Z283" t="str">
        <x:v>Av. Paulista, 1000 - São Paulo/SP</x:v>
      </x:c>
      <x:c r="AA283" t="str">
        <x:v>São Paulo</x:v>
      </x:c>
      <x:c r="AB283" s="50" t="n">
        <x:v>46273.3625</x:v>
      </x:c>
      <x:c r="AC283" s="50" t="n">
        <x:v>46273.3666666667</x:v>
      </x:c>
      <x:c r="AD283" s="50" t="n">
        <x:v>46273.3694444444</x:v>
      </x:c>
      <x:c r="AE283" s="50" t="n">
        <x:v>46273.399305555555</x:v>
      </x:c>
      <x:c r="AF283" s="50" t="n">
        <x:v>46273.48263888889</x:v>
      </x:c>
      <x:c r="AG283" t="n">
        <x:v>53</x:v>
      </x:c>
      <x:c r="AH283" t="n">
        <x:v>115</x:v>
      </x:c>
      <x:c r="AI283" t="str">
        <x:v>Não</x:v>
      </x:c>
      <x:c r="AJ283" t="str">
        <x:v>Não</x:v>
      </x:c>
      <x:c r="AK283" t="n">
        <x:v>60</x:v>
      </x:c>
      <x:c r="AL283" t="n">
        <x:v>0</x:v>
      </x:c>
      <x:c r="AM283" s="64" t="n">
        <x:v>2.8</x:v>
      </x:c>
      <x:c r="AN283" t="n">
        <x:v>2</x:v>
      </x:c>
      <x:c r="AO283" t="str">
        <x:v>Vermelho</x:v>
      </x:c>
      <x:c r="AP283" t="str">
        <x:v>SLA sintético excedido (tempo acumulado ≥ 100% do SLA)</x:v>
      </x:c>
      <x:c r="AQ283" t="str">
        <x:v>Encerramento demonstrativo de Operador de Porta; verificar fechamento e histórico para aprendizado. Sem despacho automático.</x:v>
      </x:c>
      <x:c r="AR283" s="62" t="n">
        <x:v>718</x:v>
      </x:c>
      <x:c r="AS283" t="str">
        <x:v>Baixo</x:v>
      </x:c>
      <x:c r="AT283" s="50" t="n">
        <x:v>46273.625</x:v>
      </x:c>
      <x:c r="AU283" t="str">
        <x:v>T09</x:v>
      </x:c>
      <x:c r="AV283" t="str">
        <x:v>T2 original + evolução sintética posterior</x:v>
      </x:c>
    </x:row>
    <x:row r="284">
      <x:c r="A284" t="str">
        <x:v>CH-20260908-020</x:v>
      </x:c>
      <x:c r="B284" t="str">
        <x:v>Painel sem comunicação</x:v>
      </x:c>
      <x:c r="C284" t="str">
        <x:v>Falha de comunicação</x:v>
      </x:c>
      <x:c r="D284" t="str">
        <x:v>Painel não responde aos comandos.</x:v>
      </x:c>
      <x:c r="E284" t="str">
        <x:v>Concluído</x:v>
      </x:c>
      <x:c r="F284" t="str">
        <x:v>Monitoramento Remoto</x:v>
      </x:c>
      <x:c r="G284" t="str">
        <x:v>E-120</x:v>
      </x:c>
      <x:c r="H284" t="str">
        <x:v>Elevador Social</x:v>
      </x:c>
      <x:c r="I284" t="str">
        <x:v>Microprocessado</x:v>
      </x:c>
      <x:c r="J284" t="str">
        <x:v>Gearless</x:v>
      </x:c>
      <x:c r="K284" t="str">
        <x:v>OTIS</x:v>
      </x:c>
      <x:c r="L284" t="str">
        <x:v>ROT-033</x:v>
      </x:c>
      <x:c r="M284" t="str">
        <x:v>Painel/Comando</x:v>
      </x:c>
      <x:c r="N284" t="str">
        <x:v>Interface</x:v>
      </x:c>
      <x:c r="O284" t="str">
        <x:v>Sem comunicação</x:v>
      </x:c>
      <x:c r="P284" t="str">
        <x:v>Falha lógica</x:v>
      </x:c>
      <x:c r="Q284" t="str">
        <x:v>Inspeção técnica e normalização demonstrativas de Painel/Comando; resolução sintética, sem confirmação de consumo de peças.</x:v>
      </x:c>
      <x:c r="R284" t="str">
        <x:v>Shopping Center Norte</x:v>
      </x:c>
      <x:c r="S284" t="str">
        <x:v>Não</x:v>
      </x:c>
      <x:c r="T284" t="str">
        <x:v>Sim</x:v>
      </x:c>
      <x:c r="U284" t="str">
        <x:v>CT-2026-002</x:v>
      </x:c>
      <x:c r="V284" t="str">
        <x:v>SP-Norte</x:v>
      </x:c>
      <x:c r="W284" t="str">
        <x:v>Marcos Lima</x:v>
      </x:c>
      <x:c r="X284" t="str">
        <x:v>Supervisor D</x:v>
      </x:c>
      <x:c r="Y284" t="str">
        <x:v>Rota Norte 02</x:v>
      </x:c>
      <x:c r="Z284" t="str">
        <x:v>Av. Otto Baumgart, 245 - São Paulo/SP</x:v>
      </x:c>
      <x:c r="AA284" t="str">
        <x:v>São Paulo</x:v>
      </x:c>
      <x:c r="AB284" s="50" t="n">
        <x:v>46273.3659722222</x:v>
      </x:c>
      <x:c r="AC284" s="50" t="n">
        <x:v>46273.3673611111</x:v>
      </x:c>
      <x:c r="AD284" s="50" t="n">
        <x:v>46273.3715277778</x:v>
      </x:c>
      <x:c r="AE284" s="50" t="n">
        <x:v>46273.3826388889</x:v>
      </x:c>
      <x:c r="AF284" s="50" t="n">
        <x:v>46273.4763888889</x:v>
      </x:c>
      <x:c r="AG284" t="n">
        <x:v>24</x:v>
      </x:c>
      <x:c r="AH284" t="n">
        <x:v>130</x:v>
      </x:c>
      <x:c r="AI284" t="str">
        <x:v>Não</x:v>
      </x:c>
      <x:c r="AJ284" t="str">
        <x:v>Não</x:v>
      </x:c>
      <x:c r="AK284" t="n">
        <x:v>90</x:v>
      </x:c>
      <x:c r="AL284" t="n">
        <x:v>0</x:v>
      </x:c>
      <x:c r="AM284" s="64" t="n">
        <x:v>1.7111</x:v>
      </x:c>
      <x:c r="AN284" t="n">
        <x:v>3</x:v>
      </x:c>
      <x:c r="AO284" t="str">
        <x:v>Vermelho</x:v>
      </x:c>
      <x:c r="AP284" t="str">
        <x:v>SLA sintético excedido (tempo acumulado ≥ 100% do SLA)</x:v>
      </x:c>
      <x:c r="AQ284" t="str">
        <x:v>Encerramento demonstrativo de Painel/Comando; verificar fechamento e histórico para aprendizado. Sem despacho automático.</x:v>
      </x:c>
      <x:c r="AR284" s="62" t="n">
        <x:v>1407</x:v>
      </x:c>
      <x:c r="AS284" t="str">
        <x:v>Alto</x:v>
      </x:c>
      <x:c r="AT284" s="50" t="n">
        <x:v>46273.625</x:v>
      </x:c>
      <x:c r="AU284" t="str">
        <x:v>T09</x:v>
      </x:c>
      <x:c r="AV284" t="str">
        <x:v>T2 original + evolução sintética posterior</x:v>
      </x:c>
    </x:row>
    <x:row r="285">
      <x:c r="A285" t="str">
        <x:v>CH-20260908-021</x:v>
      </x:c>
      <x:c r="B285" t="str">
        <x:v>Falha de Tração</x:v>
      </x:c>
      <x:c r="C285" t="str">
        <x:v>Movimento irregular</x:v>
      </x:c>
      <x:c r="D285" t="str">
        <x:v>Equipamento apresenta perda de tração.</x:v>
      </x:c>
      <x:c r="E285" t="str">
        <x:v>Concluído</x:v>
      </x:c>
      <x:c r="F285" t="str">
        <x:v>Central de Atendimento</x:v>
      </x:c>
      <x:c r="G285" t="str">
        <x:v>E-121</x:v>
      </x:c>
      <x:c r="H285" t="str">
        <x:v>Elevador Social</x:v>
      </x:c>
      <x:c r="I285" t="str">
        <x:v>Microprocessado</x:v>
      </x:c>
      <x:c r="J285" t="str">
        <x:v>Gearless</x:v>
      </x:c>
      <x:c r="K285" t="str">
        <x:v>OTIS</x:v>
      </x:c>
      <x:c r="L285" t="str">
        <x:v>ROT-041</x:v>
      </x:c>
      <x:c r="M285" t="str">
        <x:v>Máquina de Tração</x:v>
      </x:c>
      <x:c r="N285" t="str">
        <x:v>Inversor</x:v>
      </x:c>
      <x:c r="O285" t="str">
        <x:v>Oscilação</x:v>
      </x:c>
      <x:c r="P285" t="str">
        <x:v>Falha de movimento</x:v>
      </x:c>
      <x:c r="Q285" t="str">
        <x:v>Inspeção técnica e normalização demonstrativas de Máquina de Tração; resolução sintética, sem confirmação de consumo de peças.</x:v>
      </x:c>
      <x:c r="R285" t="str">
        <x:v>Edifício Corporate</x:v>
      </x:c>
      <x:c r="S285" t="str">
        <x:v>Não</x:v>
      </x:c>
      <x:c r="T285" t="str">
        <x:v>Sim</x:v>
      </x:c>
      <x:c r="U285" t="str">
        <x:v>CT-2026-003</x:v>
      </x:c>
      <x:c r="V285" t="str">
        <x:v>SP-Oeste</x:v>
      </x:c>
      <x:c r="W285" t="str">
        <x:v>Ana Costa</x:v>
      </x:c>
      <x:c r="X285" t="str">
        <x:v>Supervisor A</x:v>
      </x:c>
      <x:c r="Y285" t="str">
        <x:v>Rota Oeste 03</x:v>
      </x:c>
      <x:c r="Z285" t="str">
        <x:v>Av. Faria Lima, 3500 - São Paulo/SP</x:v>
      </x:c>
      <x:c r="AA285" t="str">
        <x:v>São Paulo</x:v>
      </x:c>
      <x:c r="AB285" s="50" t="n">
        <x:v>46273.3694444444</x:v>
      </x:c>
      <x:c r="AC285" s="50" t="n">
        <x:v>46273.3715277778</x:v>
      </x:c>
      <x:c r="AD285" s="50" t="n">
        <x:v>46273.372916666696</x:v>
      </x:c>
      <x:c r="AE285" s="50" t="n">
        <x:v>46273.3888888889</x:v>
      </x:c>
      <x:c r="AF285" s="50" t="n">
        <x:v>46273.44791666668</x:v>
      </x:c>
      <x:c r="AG285" t="n">
        <x:v>28</x:v>
      </x:c>
      <x:c r="AH285" t="n">
        <x:v>80</x:v>
      </x:c>
      <x:c r="AI285" t="str">
        <x:v>Não</x:v>
      </x:c>
      <x:c r="AJ285" t="str">
        <x:v>Sim</x:v>
      </x:c>
      <x:c r="AK285" t="n">
        <x:v>120</x:v>
      </x:c>
      <x:c r="AL285" t="n">
        <x:v>0</x:v>
      </x:c>
      <x:c r="AM285" s="64" t="n">
        <x:v>0.9</x:v>
      </x:c>
      <x:c r="AN285" t="n">
        <x:v>1</x:v>
      </x:c>
      <x:c r="AO285" t="str">
        <x:v>Laranja</x:v>
      </x:c>
      <x:c r="AP285" t="str">
        <x:v>janela de intervenção: tempo acumulado ≥ 80% do SLA</x:v>
      </x:c>
      <x:c r="AQ285" t="str">
        <x:v>Encerramento demonstrativo de Máquina de Tração; verificar fechamento e histórico para aprendizado. Sem despacho automático.</x:v>
      </x:c>
      <x:c r="AR285" s="62" t="n">
        <x:v>1212</x:v>
      </x:c>
      <x:c r="AS285" t="str">
        <x:v>Alto</x:v>
      </x:c>
      <x:c r="AT285" s="50" t="n">
        <x:v>46273.625</x:v>
      </x:c>
      <x:c r="AU285" t="str">
        <x:v>T09</x:v>
      </x:c>
      <x:c r="AV285" t="str">
        <x:v>T2 original + evolução sintética posterior</x:v>
      </x:c>
    </x:row>
    <x:row r="286">
      <x:c r="A286" t="str">
        <x:v>CH-20260908-022</x:v>
      </x:c>
      <x:c r="B286" t="str">
        <x:v>Iluminação de Cabine</x:v>
      </x:c>
      <x:c r="C286" t="str">
        <x:v>Iluminação inoperante</x:v>
      </x:c>
      <x:c r="D286" t="str">
        <x:v>Cabine com iluminação parcial ou total indisponível.</x:v>
      </x:c>
      <x:c r="E286" t="str">
        <x:v>Concluído</x:v>
      </x:c>
      <x:c r="F286" t="str">
        <x:v>IoT</x:v>
      </x:c>
      <x:c r="G286" t="str">
        <x:v>E-122</x:v>
      </x:c>
      <x:c r="H286" t="str">
        <x:v>Elevador Social</x:v>
      </x:c>
      <x:c r="I286" t="str">
        <x:v>Microprocessado</x:v>
      </x:c>
      <x:c r="J286" t="str">
        <x:v>Gearless</x:v>
      </x:c>
      <x:c r="K286" t="str">
        <x:v>OTIS</x:v>
      </x:c>
      <x:c r="L286" t="str">
        <x:v>ROT-052</x:v>
      </x:c>
      <x:c r="M286" t="str">
        <x:v>Elétrica</x:v>
      </x:c>
      <x:c r="N286" t="str">
        <x:v>Fonte</x:v>
      </x:c>
      <x:c r="O286" t="str">
        <x:v>Sem alimentação</x:v>
      </x:c>
      <x:c r="P286" t="str">
        <x:v>Falha elétrica</x:v>
      </x:c>
      <x:c r="Q286" t="str">
        <x:v>Inspeção técnica e normalização demonstrativas de Elétrica; resolução sintética, sem confirmação de consumo de peças.</x:v>
      </x:c>
      <x:c r="R286" t="str">
        <x:v>Condomínio Alameda</x:v>
      </x:c>
      <x:c r="S286" t="str">
        <x:v>Não</x:v>
      </x:c>
      <x:c r="T286" t="str">
        <x:v>Não</x:v>
      </x:c>
      <x:c r="U286" t="str">
        <x:v>CT-2026-004</x:v>
      </x:c>
      <x:c r="V286" t="str">
        <x:v>SP-Sul</x:v>
      </x:c>
      <x:c r="W286" t="str">
        <x:v>Carlos Souza</x:v>
      </x:c>
      <x:c r="X286" t="str">
        <x:v>Supervisor B</x:v>
      </x:c>
      <x:c r="Y286" t="str">
        <x:v>Rota Sul 04</x:v>
      </x:c>
      <x:c r="Z286" t="str">
        <x:v>R. das Acácias, 420 - São Paulo/SP</x:v>
      </x:c>
      <x:c r="AA286" t="str">
        <x:v>São Paulo</x:v>
      </x:c>
      <x:c r="AB286" s="50" t="n">
        <x:v>46273.372916666696</x:v>
      </x:c>
      <x:c r="AC286" s="50" t="n">
        <x:v>46273.3756944445</x:v>
      </x:c>
      <x:c r="AD286" s="50" t="n">
        <x:v>46273.3784722222</x:v>
      </x:c>
      <x:c r="AE286" s="50" t="n">
        <x:v>46273.39930555559</x:v>
      </x:c>
      <x:c r="AF286" s="50" t="n">
        <x:v>46273.486111111146</x:v>
      </x:c>
      <x:c r="AG286" t="n">
        <x:v>38</x:v>
      </x:c>
      <x:c r="AH286" t="n">
        <x:v>120</x:v>
      </x:c>
      <x:c r="AI286" t="str">
        <x:v>Não</x:v>
      </x:c>
      <x:c r="AJ286" t="str">
        <x:v>Não</x:v>
      </x:c>
      <x:c r="AK286" t="n">
        <x:v>180</x:v>
      </x:c>
      <x:c r="AL286" t="n">
        <x:v>0</x:v>
      </x:c>
      <x:c r="AM286" s="64" t="n">
        <x:v>0.8778</x:v>
      </x:c>
      <x:c r="AN286" t="n">
        <x:v>0</x:v>
      </x:c>
      <x:c r="AO286" t="str">
        <x:v>Laranja</x:v>
      </x:c>
      <x:c r="AP286" t="str">
        <x:v>janela de intervenção: tempo acumulado ≥ 80% do SLA</x:v>
      </x:c>
      <x:c r="AQ286" t="str">
        <x:v>Encerramento demonstrativo de Elétrica; verificar fechamento e histórico para aprendizado. Sem despacho automático.</x:v>
      </x:c>
      <x:c r="AR286" s="62" t="n">
        <x:v>897</x:v>
      </x:c>
      <x:c r="AS286" t="str">
        <x:v>Médio</x:v>
      </x:c>
      <x:c r="AT286" s="50" t="n">
        <x:v>46273.625</x:v>
      </x:c>
      <x:c r="AU286" t="str">
        <x:v>T09</x:v>
      </x:c>
      <x:c r="AV286" t="str">
        <x:v>T2 original + evolução sintética posterior</x:v>
      </x:c>
    </x:row>
    <x:row r="287">
      <x:c r="A287" t="str">
        <x:v>CH-20260908-023</x:v>
      </x:c>
      <x:c r="B287" t="str">
        <x:v>Botão de Chamada</x:v>
      </x:c>
      <x:c r="C287" t="str">
        <x:v>Botão não responde</x:v>
      </x:c>
      <x:c r="D287" t="str">
        <x:v>Botão de chamada não registra comando.</x:v>
      </x:c>
      <x:c r="E287" t="str">
        <x:v>Concluído</x:v>
      </x:c>
      <x:c r="F287" t="str">
        <x:v>Aplicativo Cliente</x:v>
      </x:c>
      <x:c r="G287" t="str">
        <x:v>E-123</x:v>
      </x:c>
      <x:c r="H287" t="str">
        <x:v>Elevador Social</x:v>
      </x:c>
      <x:c r="I287" t="str">
        <x:v>Microprocessado</x:v>
      </x:c>
      <x:c r="J287" t="str">
        <x:v>Gearless</x:v>
      </x:c>
      <x:c r="K287" t="str">
        <x:v>OTIS</x:v>
      </x:c>
      <x:c r="L287" t="str">
        <x:v>ROT-063</x:v>
      </x:c>
      <x:c r="M287" t="str">
        <x:v>Botoeira</x:v>
      </x:c>
      <x:c r="N287" t="str">
        <x:v>Contato</x:v>
      </x:c>
      <x:c r="O287" t="str">
        <x:v>Mau contato</x:v>
      </x:c>
      <x:c r="P287" t="str">
        <x:v>Falha de comando</x:v>
      </x:c>
      <x:c r="Q287" t="str">
        <x:v>Inspeção técnica e normalização demonstrativas de Botoeira; resolução sintética, sem confirmação de consumo de peças.</x:v>
      </x:c>
      <x:c r="R287" t="str">
        <x:v>Aeroporto Terminal 3</x:v>
      </x:c>
      <x:c r="S287" t="str">
        <x:v>Sim</x:v>
      </x:c>
      <x:c r="T287" t="str">
        <x:v>Sim</x:v>
      </x:c>
      <x:c r="U287" t="str">
        <x:v>CT-2026-005</x:v>
      </x:c>
      <x:c r="V287" t="str">
        <x:v>GRU</x:v>
      </x:c>
      <x:c r="W287" t="str">
        <x:v>Renata Alves</x:v>
      </x:c>
      <x:c r="X287" t="str">
        <x:v>Supervisor C</x:v>
      </x:c>
      <x:c r="Y287" t="str">
        <x:v>Rota GRU 05</x:v>
      </x:c>
      <x:c r="Z287" t="str">
        <x:v>Rod. Hélio Smidt, s/n - Guarulhos/SP</x:v>
      </x:c>
      <x:c r="AA287" t="str">
        <x:v>São Paulo</x:v>
      </x:c>
      <x:c r="AB287" s="50" t="n">
        <x:v>46273.3784722222</x:v>
      </x:c>
      <x:c r="AC287" s="50" t="n">
        <x:v>46273.3819444444</x:v>
      </x:c>
      <x:c r="AD287" s="50" t="n">
        <x:v>46273.386111111104</x:v>
      </x:c>
      <x:c r="AE287" s="50" t="n">
        <x:v>46273.41249999998</x:v>
      </x:c>
      <x:c r="AF287" s="50" t="n">
        <x:v>46273.48541666664</x:v>
      </x:c>
      <x:c r="AG287" t="n">
        <x:v>49</x:v>
      </x:c>
      <x:c r="AH287" t="n">
        <x:v>100</x:v>
      </x:c>
      <x:c r="AI287" t="str">
        <x:v>Não</x:v>
      </x:c>
      <x:c r="AJ287" t="str">
        <x:v>Não</x:v>
      </x:c>
      <x:c r="AK287" t="n">
        <x:v>45</x:v>
      </x:c>
      <x:c r="AL287" t="n">
        <x:v>0</x:v>
      </x:c>
      <x:c r="AM287" s="64" t="n">
        <x:v>3.3111</x:v>
      </x:c>
      <x:c r="AN287" t="n">
        <x:v>2</x:v>
      </x:c>
      <x:c r="AO287" t="str">
        <x:v>Vermelho</x:v>
      </x:c>
      <x:c r="AP287" t="str">
        <x:v>SLA sintético excedido (tempo acumulado ≥ 100% do SLA)</x:v>
      </x:c>
      <x:c r="AQ287" t="str">
        <x:v>Encerramento demonstrativo de Botoeira; verificar fechamento e histórico para aprendizado. Sem despacho automático.</x:v>
      </x:c>
      <x:c r="AR287" s="62" t="n">
        <x:v>545</x:v>
      </x:c>
      <x:c r="AS287" t="str">
        <x:v>Baixo</x:v>
      </x:c>
      <x:c r="AT287" s="50" t="n">
        <x:v>46273.625</x:v>
      </x:c>
      <x:c r="AU287" t="str">
        <x:v>T09</x:v>
      </x:c>
      <x:c r="AV287" t="str">
        <x:v>T2 original + evolução sintética posterior</x:v>
      </x:c>
    </x:row>
    <x:row r="288">
      <x:c r="A288" t="str">
        <x:v>CH-20260908-024</x:v>
      </x:c>
      <x:c r="B288" t="str">
        <x:v>Parada Intermitente</x:v>
      </x:c>
      <x:c r="C288" t="str">
        <x:v>Paradas aleatórias</x:v>
      </x:c>
      <x:c r="D288" t="str">
        <x:v>Equipamento interrompe operação de forma intermitente.</x:v>
      </x:c>
      <x:c r="E288" t="str">
        <x:v>Concluído</x:v>
      </x:c>
      <x:c r="F288" t="str">
        <x:v>Monitoramento Remoto</x:v>
      </x:c>
      <x:c r="G288" t="str">
        <x:v>E-124</x:v>
      </x:c>
      <x:c r="H288" t="str">
        <x:v>Elevador Social</x:v>
      </x:c>
      <x:c r="I288" t="str">
        <x:v>Microprocessado</x:v>
      </x:c>
      <x:c r="J288" t="str">
        <x:v>Gearless</x:v>
      </x:c>
      <x:c r="K288" t="str">
        <x:v>OTIS</x:v>
      </x:c>
      <x:c r="L288" t="str">
        <x:v>ROT-074</x:v>
      </x:c>
      <x:c r="M288" t="str">
        <x:v>Painel/Comando</x:v>
      </x:c>
      <x:c r="N288" t="str">
        <x:v>Placa</x:v>
      </x:c>
      <x:c r="O288" t="str">
        <x:v>Intermitência</x:v>
      </x:c>
      <x:c r="P288" t="str">
        <x:v>Falha intermitente</x:v>
      </x:c>
      <x:c r="Q288" t="str">
        <x:v>Inspeção técnica e normalização demonstrativas de Painel/Comando; resolução sintética, sem confirmação de consumo de peças.</x:v>
      </x:c>
      <x:c r="R288" t="str">
        <x:v>Universidade Central</x:v>
      </x:c>
      <x:c r="S288" t="str">
        <x:v>Não</x:v>
      </x:c>
      <x:c r="T288" t="str">
        <x:v>Sim</x:v>
      </x:c>
      <x:c r="U288" t="str">
        <x:v>CT-2026-006</x:v>
      </x:c>
      <x:c r="V288" t="str">
        <x:v>SP-Leste</x:v>
      </x:c>
      <x:c r="W288" t="str">
        <x:v>Paulo Mendes</x:v>
      </x:c>
      <x:c r="X288" t="str">
        <x:v>Supervisor D</x:v>
      </x:c>
      <x:c r="Y288" t="str">
        <x:v>Rota Leste 06</x:v>
      </x:c>
      <x:c r="Z288" t="str">
        <x:v>Av. Central, 850 - São Paulo/SP</x:v>
      </x:c>
      <x:c r="AA288" t="str">
        <x:v>São Paulo</x:v>
      </x:c>
      <x:c r="AB288" s="50" t="n">
        <x:v>46273.3854166667</x:v>
      </x:c>
      <x:c r="AC288" s="50" t="n">
        <x:v>46273.3895833333</x:v>
      </x:c>
      <x:c r="AD288" s="50" t="n">
        <x:v>46273.3909722222</x:v>
      </x:c>
      <x:c r="AE288" s="50" t="n">
        <x:v>46273.423611111146</x:v>
      </x:c>
      <x:c r="AF288" s="50" t="n">
        <x:v>46273.538194444474</x:v>
      </x:c>
      <x:c r="AG288" t="n">
        <x:v>55</x:v>
      </x:c>
      <x:c r="AH288" t="n">
        <x:v>160</x:v>
      </x:c>
      <x:c r="AI288" t="str">
        <x:v>Não</x:v>
      </x:c>
      <x:c r="AJ288" t="str">
        <x:v>Sim</x:v>
      </x:c>
      <x:c r="AK288" t="n">
        <x:v>120</x:v>
      </x:c>
      <x:c r="AL288" t="n">
        <x:v>0</x:v>
      </x:c>
      <x:c r="AM288" s="64" t="n">
        <x:v>1.7917</x:v>
      </x:c>
      <x:c r="AN288" t="n">
        <x:v>4</x:v>
      </x:c>
      <x:c r="AO288" t="str">
        <x:v>Vermelho</x:v>
      </x:c>
      <x:c r="AP288" t="str">
        <x:v>SLA sintético excedido (tempo acumulado ≥ 100% do SLA)</x:v>
      </x:c>
      <x:c r="AQ288" t="str">
        <x:v>Encerramento demonstrativo de Painel/Comando; verificar fechamento e histórico para aprendizado. Sem despacho automático.</x:v>
      </x:c>
      <x:c r="AR288" s="62" t="n">
        <x:v>1386</x:v>
      </x:c>
      <x:c r="AS288" t="str">
        <x:v>Alto</x:v>
      </x:c>
      <x:c r="AT288" s="50" t="n">
        <x:v>46273.625</x:v>
      </x:c>
      <x:c r="AU288" t="str">
        <x:v>T09</x:v>
      </x:c>
      <x:c r="AV288" t="str">
        <x:v>T2 original + evolução sintética posterior</x:v>
      </x:c>
    </x:row>
    <x:row r="289">
      <x:c r="A289" t="str">
        <x:v>CH-20260908-025</x:v>
      </x:c>
      <x:c r="B289" t="str">
        <x:v>Falha de Tração</x:v>
      </x:c>
      <x:c r="C289" t="str">
        <x:v>Movimento irregular</x:v>
      </x:c>
      <x:c r="D289" t="str">
        <x:v>Equipamento apresenta perda de tração.</x:v>
      </x:c>
      <x:c r="E289" t="str">
        <x:v>Concluído</x:v>
      </x:c>
      <x:c r="F289" t="str">
        <x:v>Central de Atendimento</x:v>
      </x:c>
      <x:c r="G289" t="str">
        <x:v>E-125</x:v>
      </x:c>
      <x:c r="H289" t="str">
        <x:v>Elevador Social</x:v>
      </x:c>
      <x:c r="I289" t="str">
        <x:v>Microprocessado</x:v>
      </x:c>
      <x:c r="J289" t="str">
        <x:v>Gearless</x:v>
      </x:c>
      <x:c r="K289" t="str">
        <x:v>OTIS</x:v>
      </x:c>
      <x:c r="L289" t="str">
        <x:v>ROT-041</x:v>
      </x:c>
      <x:c r="M289" t="str">
        <x:v>Máquina de Tração</x:v>
      </x:c>
      <x:c r="N289" t="str">
        <x:v>Inversor</x:v>
      </x:c>
      <x:c r="O289" t="str">
        <x:v>Oscilação</x:v>
      </x:c>
      <x:c r="P289" t="str">
        <x:v>Falha de movimento</x:v>
      </x:c>
      <x:c r="Q289" t="str">
        <x:v>Diagnóstico e teste funcional simulados em Máquina de Tração; encerramento demonstrativo, sem movimentação de estoque comprovada.</x:v>
      </x:c>
      <x:c r="R289" t="str">
        <x:v>Aeroporto Terminal 3</x:v>
      </x:c>
      <x:c r="S289" t="str">
        <x:v>Sim</x:v>
      </x:c>
      <x:c r="T289" t="str">
        <x:v>Sim</x:v>
      </x:c>
      <x:c r="U289" t="str">
        <x:v>CT-2026-005</x:v>
      </x:c>
      <x:c r="V289" t="str">
        <x:v>GRU</x:v>
      </x:c>
      <x:c r="W289" t="str">
        <x:v>Renata Alves</x:v>
      </x:c>
      <x:c r="X289" t="str">
        <x:v>Supervisor A</x:v>
      </x:c>
      <x:c r="Y289" t="str">
        <x:v>Rota GRU 05</x:v>
      </x:c>
      <x:c r="Z289" t="str">
        <x:v>Rod. Hélio Smidt, s/n - Guarulhos/SP</x:v>
      </x:c>
      <x:c r="AA289" t="str">
        <x:v>São Paulo</x:v>
      </x:c>
      <x:c r="AB289" s="50" t="n">
        <x:v>46273.4</x:v>
      </x:c>
      <x:c r="AC289" s="50" t="n">
        <x:v>46273.402083333334</x:v>
      </x:c>
      <x:c r="AD289" s="50" t="n">
        <x:v>46273.40555555555</x:v>
      </x:c>
      <x:c r="AE289" s="50" t="n">
        <x:v>46273.427083333336</x:v>
      </x:c>
      <x:c r="AF289" s="50" t="n">
        <x:v>46273.461805555555</x:v>
      </x:c>
      <x:c r="AG289" t="n">
        <x:v>39</x:v>
      </x:c>
      <x:c r="AH289" t="n">
        <x:v>45</x:v>
      </x:c>
      <x:c r="AI289" t="str">
        <x:v>Não</x:v>
      </x:c>
      <x:c r="AJ289" t="str">
        <x:v>Sim</x:v>
      </x:c>
      <x:c r="AK289" t="n">
        <x:v>45</x:v>
      </x:c>
      <x:c r="AL289" t="n">
        <x:v>0</x:v>
      </x:c>
      <x:c r="AM289" s="64" t="n">
        <x:v>1.8667</x:v>
      </x:c>
      <x:c r="AN289" t="n">
        <x:v>1</x:v>
      </x:c>
      <x:c r="AO289" t="str">
        <x:v>Vermelho</x:v>
      </x:c>
      <x:c r="AP289" t="str">
        <x:v>SLA sintético excedido (tempo acumulado ≥ 100% do SLA)</x:v>
      </x:c>
      <x:c r="AQ289" t="str">
        <x:v>Encerramento demonstrativo de Máquina de Tração; verificar fechamento e histórico para aprendizado. Sem despacho automático.</x:v>
      </x:c>
      <x:c r="AR289" s="62" t="n">
        <x:v>1297.5</x:v>
      </x:c>
      <x:c r="AS289" t="str">
        <x:v>Alto</x:v>
      </x:c>
      <x:c r="AT289" s="50" t="n">
        <x:v>46273.625</x:v>
      </x:c>
      <x:c r="AU289" t="str">
        <x:v>T09</x:v>
      </x:c>
      <x:c r="AV289" t="str">
        <x:v>Ocorrência adicional sintética; perfil inspirado em CH-20260908-005</x:v>
      </x:c>
    </x:row>
    <x:row r="290">
      <x:c r="A290" t="str">
        <x:v>CH-20260908-026</x:v>
      </x:c>
      <x:c r="B290" t="str">
        <x:v>Painel sem comunicação</x:v>
      </x:c>
      <x:c r="C290" t="str">
        <x:v>Falha de comunicação</x:v>
      </x:c>
      <x:c r="D290" t="str">
        <x:v>Painel não responde aos comandos.</x:v>
      </x:c>
      <x:c r="E290" t="str">
        <x:v>Concluído</x:v>
      </x:c>
      <x:c r="F290" t="str">
        <x:v>Monitoramento Remoto</x:v>
      </x:c>
      <x:c r="G290" t="str">
        <x:v>E-126</x:v>
      </x:c>
      <x:c r="H290" t="str">
        <x:v>Elevador Social</x:v>
      </x:c>
      <x:c r="I290" t="str">
        <x:v>Microprocessado</x:v>
      </x:c>
      <x:c r="J290" t="str">
        <x:v>Gearless</x:v>
      </x:c>
      <x:c r="K290" t="str">
        <x:v>OTIS</x:v>
      </x:c>
      <x:c r="L290" t="str">
        <x:v>ROT-033</x:v>
      </x:c>
      <x:c r="M290" t="str">
        <x:v>Painel/Comando</x:v>
      </x:c>
      <x:c r="N290" t="str">
        <x:v>Interface</x:v>
      </x:c>
      <x:c r="O290" t="str">
        <x:v>Sem comunicação</x:v>
      </x:c>
      <x:c r="P290" t="str">
        <x:v>Falha lógica</x:v>
      </x:c>
      <x:c r="Q290" t="str">
        <x:v>Diagnóstico e teste funcional simulados em Painel/Comando; encerramento demonstrativo, sem movimentação de estoque comprovada.</x:v>
      </x:c>
      <x:c r="R290" t="str">
        <x:v>Universidade Central</x:v>
      </x:c>
      <x:c r="S290" t="str">
        <x:v>Não</x:v>
      </x:c>
      <x:c r="T290" t="str">
        <x:v>Sim</x:v>
      </x:c>
      <x:c r="U290" t="str">
        <x:v>CT-2026-006</x:v>
      </x:c>
      <x:c r="V290" t="str">
        <x:v>SP-Leste</x:v>
      </x:c>
      <x:c r="W290" t="str">
        <x:v>Paulo Mendes</x:v>
      </x:c>
      <x:c r="X290" t="str">
        <x:v>Supervisor D</x:v>
      </x:c>
      <x:c r="Y290" t="str">
        <x:v>Rota Leste 06</x:v>
      </x:c>
      <x:c r="Z290" t="str">
        <x:v>Av. Central, 850 - São Paulo/SP</x:v>
      </x:c>
      <x:c r="AA290" t="str">
        <x:v>São Paulo</x:v>
      </x:c>
      <x:c r="AB290" s="50" t="n">
        <x:v>46273.40972222222</x:v>
      </x:c>
      <x:c r="AC290" s="50" t="n">
        <x:v>46273.4125</x:v>
      </x:c>
      <x:c r="AD290" s="50" t="n">
        <x:v>46273.416666666664</x:v>
      </x:c>
      <x:c r="AE290" s="50" t="n">
        <x:v>46273.44583333333</x:v>
      </x:c>
      <x:c r="AF290" s="50" t="n">
        <x:v>46273.49236111111</x:v>
      </x:c>
      <x:c r="AG290" t="n">
        <x:v>52</x:v>
      </x:c>
      <x:c r="AH290" t="n">
        <x:v>62</x:v>
      </x:c>
      <x:c r="AI290" t="str">
        <x:v>Não</x:v>
      </x:c>
      <x:c r="AJ290" t="str">
        <x:v>Não</x:v>
      </x:c>
      <x:c r="AK290" t="n">
        <x:v>120</x:v>
      </x:c>
      <x:c r="AL290" t="n">
        <x:v>0</x:v>
      </x:c>
      <x:c r="AM290" s="64" t="n">
        <x:v>0.95</x:v>
      </x:c>
      <x:c r="AN290" t="n">
        <x:v>3</x:v>
      </x:c>
      <x:c r="AO290" t="str">
        <x:v>Laranja</x:v>
      </x:c>
      <x:c r="AP290" t="str">
        <x:v>janela de intervenção: tempo acumulado ≥ 80% do SLA</x:v>
      </x:c>
      <x:c r="AQ290" t="str">
        <x:v>Encerramento demonstrativo de Painel/Comando; verificar fechamento e histórico para aprendizado. Sem despacho automático.</x:v>
      </x:c>
      <x:c r="AR290" s="62" t="n">
        <x:v>1357</x:v>
      </x:c>
      <x:c r="AS290" t="str">
        <x:v>Alto</x:v>
      </x:c>
      <x:c r="AT290" s="50" t="n">
        <x:v>46273.625</x:v>
      </x:c>
      <x:c r="AU290" t="str">
        <x:v>T09</x:v>
      </x:c>
      <x:c r="AV290" t="str">
        <x:v>Ocorrência adicional sintética; perfil inspirado em CH-20260908-012</x:v>
      </x:c>
    </x:row>
    <x:row r="291">
      <x:c r="A291" t="str">
        <x:v>CH-20260908-027</x:v>
      </x:c>
      <x:c r="B291" t="str">
        <x:v>Porta não fecha</x:v>
      </x:c>
      <x:c r="C291" t="str">
        <x:v>Falha no fechamento</x:v>
      </x:c>
      <x:c r="D291" t="str">
        <x:v>Porta permanece aberta e impede partida.</x:v>
      </x:c>
      <x:c r="E291" t="str">
        <x:v>Concluído</x:v>
      </x:c>
      <x:c r="F291" t="str">
        <x:v>Aplicativo Cliente</x:v>
      </x:c>
      <x:c r="G291" t="str">
        <x:v>E-127</x:v>
      </x:c>
      <x:c r="H291" t="str">
        <x:v>Elevador Social</x:v>
      </x:c>
      <x:c r="I291" t="str">
        <x:v>Microprocessado</x:v>
      </x:c>
      <x:c r="J291" t="str">
        <x:v>Gearless</x:v>
      </x:c>
      <x:c r="K291" t="str">
        <x:v>OTIS</x:v>
      </x:c>
      <x:c r="L291" t="str">
        <x:v>ROT-021</x:v>
      </x:c>
      <x:c r="M291" t="str">
        <x:v>Operador de Porta</x:v>
      </x:c>
      <x:c r="N291" t="str">
        <x:v>Sensor de porta</x:v>
      </x:c>
      <x:c r="O291" t="str">
        <x:v>Falha de leitura</x:v>
      </x:c>
      <x:c r="P291" t="str">
        <x:v>Porta aberta</x:v>
      </x:c>
      <x:c r="Q291" t="str">
        <x:v>Diagnóstico e teste funcional simulados em Operador de Porta; encerramento demonstrativo, sem movimentação de estoque comprovada.</x:v>
      </x:c>
      <x:c r="R291" t="str">
        <x:v>Hospital São Paulo</x:v>
      </x:c>
      <x:c r="S291" t="str">
        <x:v>Sim</x:v>
      </x:c>
      <x:c r="T291" t="str">
        <x:v>Sim</x:v>
      </x:c>
      <x:c r="U291" t="str">
        <x:v>CT-2026-001</x:v>
      </x:c>
      <x:c r="V291" t="str">
        <x:v>SP-Centro</x:v>
      </x:c>
      <x:c r="W291" t="str">
        <x:v>João Silva</x:v>
      </x:c>
      <x:c r="X291" t="str">
        <x:v>Supervisor C</x:v>
      </x:c>
      <x:c r="Y291" t="str">
        <x:v>Rota Centro 01</x:v>
      </x:c>
      <x:c r="Z291" t="str">
        <x:v>Av. Paulista, 1000 - São Paulo/SP</x:v>
      </x:c>
      <x:c r="AA291" t="str">
        <x:v>São Paulo</x:v>
      </x:c>
      <x:c r="AB291" s="50" t="n">
        <x:v>46273.419444444444</x:v>
      </x:c>
      <x:c r="AC291" s="50" t="n">
        <x:v>46273.42291666667</x:v>
      </x:c>
      <x:c r="AD291" s="50" t="n">
        <x:v>46273.427777777775</x:v>
      </x:c>
      <x:c r="AE291" s="50" t="n">
        <x:v>46273.464583333334</x:v>
      </x:c>
      <x:c r="AF291" s="50" t="n">
        <x:v>46273.52291666667</x:v>
      </x:c>
      <x:c r="AG291" t="n">
        <x:v>65</x:v>
      </x:c>
      <x:c r="AH291" t="n">
        <x:v>79</x:v>
      </x:c>
      <x:c r="AI291" t="str">
        <x:v>Não</x:v>
      </x:c>
      <x:c r="AJ291" t="str">
        <x:v>Não</x:v>
      </x:c>
      <x:c r="AK291" t="n">
        <x:v>60</x:v>
      </x:c>
      <x:c r="AL291" t="n">
        <x:v>0</x:v>
      </x:c>
      <x:c r="AM291" s="64" t="n">
        <x:v>2.4</x:v>
      </x:c>
      <x:c r="AN291" t="n">
        <x:v>2</x:v>
      </x:c>
      <x:c r="AO291" t="str">
        <x:v>Vermelho</x:v>
      </x:c>
      <x:c r="AP291" t="str">
        <x:v>SLA sintético excedido (tempo acumulado ≥ 100% do SLA)</x:v>
      </x:c>
      <x:c r="AQ291" t="str">
        <x:v>Encerramento demonstrativo de Operador de Porta; verificar fechamento e histórico para aprendizado. Sem despacho automático.</x:v>
      </x:c>
      <x:c r="AR291" s="62" t="n">
        <x:v>833.5</x:v>
      </x:c>
      <x:c r="AS291" t="str">
        <x:v>Baixo</x:v>
      </x:c>
      <x:c r="AT291" s="50" t="n">
        <x:v>46273.625</x:v>
      </x:c>
      <x:c r="AU291" t="str">
        <x:v>T09</x:v>
      </x:c>
      <x:c r="AV291" t="str">
        <x:v>Ocorrência adicional sintética; perfil inspirado em CH-20260908-019</x:v>
      </x:c>
    </x:row>
    <x:row r="292">
      <x:c r="A292" t="str">
        <x:v>CH-20260908-028</x:v>
      </x:c>
      <x:c r="B292" t="str">
        <x:v>Falha de Nivelamento</x:v>
      </x:c>
      <x:c r="C292" t="str">
        <x:v>Cabine desnivelada</x:v>
      </x:c>
      <x:c r="D292" t="str">
        <x:v>Cabine parou fora do nível do pavimento.</x:v>
      </x:c>
      <x:c r="E292" t="str">
        <x:v>Concluído</x:v>
      </x:c>
      <x:c r="F292" t="str">
        <x:v>IoT</x:v>
      </x:c>
      <x:c r="G292" t="str">
        <x:v>E-128</x:v>
      </x:c>
      <x:c r="H292" t="str">
        <x:v>Elevador Social</x:v>
      </x:c>
      <x:c r="I292" t="str">
        <x:v>Microprocessado</x:v>
      </x:c>
      <x:c r="J292" t="str">
        <x:v>Gearless</x:v>
      </x:c>
      <x:c r="K292" t="str">
        <x:v>OTIS</x:v>
      </x:c>
      <x:c r="L292" t="str">
        <x:v>ROT-014</x:v>
      </x:c>
      <x:c r="M292" t="str">
        <x:v>Sensor de Nível</x:v>
      </x:c>
      <x:c r="N292" t="str">
        <x:v>Sensor</x:v>
      </x:c>
      <x:c r="O292" t="str">
        <x:v>Leitura inconsistente</x:v>
      </x:c>
      <x:c r="P292" t="str">
        <x:v>Falha de nivelamento</x:v>
      </x:c>
      <x:c r="Q292" t="str">
        <x:v>Diagnóstico e teste funcional simulados em Sensor de Nível; encerramento demonstrativo, sem movimentação de estoque comprovada.</x:v>
      </x:c>
      <x:c r="R292" t="str">
        <x:v>Shopping Center Norte</x:v>
      </x:c>
      <x:c r="S292" t="str">
        <x:v>Não</x:v>
      </x:c>
      <x:c r="T292" t="str">
        <x:v>Sim</x:v>
      </x:c>
      <x:c r="U292" t="str">
        <x:v>CT-2026-002</x:v>
      </x:c>
      <x:c r="V292" t="str">
        <x:v>SP-Norte</x:v>
      </x:c>
      <x:c r="W292" t="str">
        <x:v>Marcos Lima</x:v>
      </x:c>
      <x:c r="X292" t="str">
        <x:v>Supervisor B</x:v>
      </x:c>
      <x:c r="Y292" t="str">
        <x:v>Rota Norte 02</x:v>
      </x:c>
      <x:c r="Z292" t="str">
        <x:v>Av. Otto Baumgart, 245 - São Paulo/SP</x:v>
      </x:c>
      <x:c r="AA292" t="str">
        <x:v>São Paulo</x:v>
      </x:c>
      <x:c r="AB292" s="50" t="n">
        <x:v>46273.43125</x:v>
      </x:c>
      <x:c r="AC292" s="50" t="n">
        <x:v>46273.43263888889</x:v>
      </x:c>
      <x:c r="AD292" s="50" t="n">
        <x:v>46273.43819444445</x:v>
      </x:c>
      <x:c r="AE292" s="50" t="n">
        <x:v>46273.45</x:v>
      </x:c>
      <x:c r="AF292" s="50" t="n">
        <x:v>46273.606944444444</x:v>
      </x:c>
      <x:c r="AG292" t="n">
        <x:v>27</x:v>
      </x:c>
      <x:c r="AH292" t="n">
        <x:v>221</x:v>
      </x:c>
      <x:c r="AI292" t="str">
        <x:v>Não</x:v>
      </x:c>
      <x:c r="AJ292" t="str">
        <x:v>Não</x:v>
      </x:c>
      <x:c r="AK292" t="n">
        <x:v>90</x:v>
      </x:c>
      <x:c r="AL292" t="n">
        <x:v>0</x:v>
      </x:c>
      <x:c r="AM292" s="64" t="n">
        <x:v>2.7556</x:v>
      </x:c>
      <x:c r="AN292" t="n">
        <x:v>1</x:v>
      </x:c>
      <x:c r="AO292" t="str">
        <x:v>Vermelho</x:v>
      </x:c>
      <x:c r="AP292" t="str">
        <x:v>SLA sintético excedido (tempo acumulado ≥ 100% do SLA)</x:v>
      </x:c>
      <x:c r="AQ292" t="str">
        <x:v>Encerramento demonstrativo de Sensor de Nível; verificar fechamento e histórico para aprendizado. Sem despacho automático.</x:v>
      </x:c>
      <x:c r="AR292" s="62" t="n">
        <x:v>818</x:v>
      </x:c>
      <x:c r="AS292" t="str">
        <x:v>Baixo</x:v>
      </x:c>
      <x:c r="AT292" s="50" t="n">
        <x:v>46273.625</x:v>
      </x:c>
      <x:c r="AU292" t="str">
        <x:v>T09</x:v>
      </x:c>
      <x:c r="AV292" t="str">
        <x:v>Ocorrência adicional sintética; perfil inspirado em CH-20260908-002</x:v>
      </x:c>
    </x:row>
    <x:row r="293">
      <x:c r="A293" t="str">
        <x:v>CH-20260908-029</x:v>
      </x:c>
      <x:c r="B293" t="str">
        <x:v>Passageiro Preso</x:v>
      </x:c>
      <x:c r="C293" t="str">
        <x:v>Elevador parado entre andares</x:v>
      </x:c>
      <x:c r="D293" t="str">
        <x:v>Cabine imobilizada com passageiro no interior.</x:v>
      </x:c>
      <x:c r="E293" t="str">
        <x:v>Concluído</x:v>
      </x:c>
      <x:c r="F293" t="str">
        <x:v>Central de Atendimento</x:v>
      </x:c>
      <x:c r="G293" t="str">
        <x:v>E-108</x:v>
      </x:c>
      <x:c r="H293" t="str">
        <x:v>Elevador Social</x:v>
      </x:c>
      <x:c r="I293" t="str">
        <x:v>Microprocessado</x:v>
      </x:c>
      <x:c r="J293" t="str">
        <x:v>Gearless</x:v>
      </x:c>
      <x:c r="K293" t="str">
        <x:v>OTIS</x:v>
      </x:c>
      <x:c r="L293" t="str">
        <x:v>ROT-001</x:v>
      </x:c>
      <x:c r="M293" t="str">
        <x:v>Tração</x:v>
      </x:c>
      <x:c r="N293" t="str">
        <x:v>Freio</x:v>
      </x:c>
      <x:c r="O293" t="str">
        <x:v>Travamento</x:v>
      </x:c>
      <x:c r="P293" t="str">
        <x:v>Parada total</x:v>
      </x:c>
      <x:c r="Q293" t="str">
        <x:v>Diagnóstico e teste funcional simulados em Tração; encerramento demonstrativo, sem movimentação de estoque comprovada.</x:v>
      </x:c>
      <x:c r="R293" t="str">
        <x:v>Edifício Corporate</x:v>
      </x:c>
      <x:c r="S293" t="str">
        <x:v>Não</x:v>
      </x:c>
      <x:c r="T293" t="str">
        <x:v>Sim</x:v>
      </x:c>
      <x:c r="U293" t="str">
        <x:v>CT-2026-003</x:v>
      </x:c>
      <x:c r="V293" t="str">
        <x:v>SP-Oeste</x:v>
      </x:c>
      <x:c r="W293" t="str">
        <x:v>Ana Costa</x:v>
      </x:c>
      <x:c r="X293" t="str">
        <x:v>Supervisor A</x:v>
      </x:c>
      <x:c r="Y293" t="str">
        <x:v>Rota Oeste 03</x:v>
      </x:c>
      <x:c r="Z293" t="str">
        <x:v>Av. Faria Lima, 3500 - São Paulo/SP</x:v>
      </x:c>
      <x:c r="AA293" t="str">
        <x:v>São Paulo</x:v>
      </x:c>
      <x:c r="AB293" s="50" t="n">
        <x:v>46273.44097222222</x:v>
      </x:c>
      <x:c r="AC293" s="50" t="n">
        <x:v>46273.44305555556</x:v>
      </x:c>
      <x:c r="AD293" s="50" t="n">
        <x:v>46273.44930555556</x:v>
      </x:c>
      <x:c r="AE293" s="50" t="n">
        <x:v>46273.46875</x:v>
      </x:c>
      <x:c r="AF293" s="50" t="n">
        <x:v>46273.55069444444</x:v>
      </x:c>
      <x:c r="AG293" t="n">
        <x:v>40</x:v>
      </x:c>
      <x:c r="AH293" t="n">
        <x:v>113</x:v>
      </x:c>
      <x:c r="AI293" t="str">
        <x:v>Sim</x:v>
      </x:c>
      <x:c r="AJ293" t="str">
        <x:v>Sim</x:v>
      </x:c>
      <x:c r="AK293" t="n">
        <x:v>120</x:v>
      </x:c>
      <x:c r="AL293" t="n">
        <x:v>0</x:v>
      </x:c>
      <x:c r="AM293" s="64" t="n">
        <x:v>1.275</x:v>
      </x:c>
      <x:c r="AN293" t="n">
        <x:v>2</x:v>
      </x:c>
      <x:c r="AO293" t="str">
        <x:v>Vermelho</x:v>
      </x:c>
      <x:c r="AP293" t="str">
        <x:v>SLA sintético excedido (tempo acumulado ≥ 100% do SLA)</x:v>
      </x:c>
      <x:c r="AQ293" t="str">
        <x:v>Encerramento demonstrativo de Tração; verificar fechamento e histórico para aprendizado. Sem despacho automático.</x:v>
      </x:c>
      <x:c r="AR293" s="62" t="n">
        <x:v>1162.5</x:v>
      </x:c>
      <x:c r="AS293" t="str">
        <x:v>Médio</x:v>
      </x:c>
      <x:c r="AT293" s="50" t="n">
        <x:v>46273.625</x:v>
      </x:c>
      <x:c r="AU293" t="str">
        <x:v>T09</x:v>
      </x:c>
      <x:c r="AV293" t="str">
        <x:v>Ocorrência adicional sintética; perfil inspirado em CH-20260908-009</x:v>
      </x:c>
    </x:row>
    <x:row r="294">
      <x:c r="A294" t="str">
        <x:v>CH-20260908-030</x:v>
      </x:c>
      <x:c r="B294" t="str">
        <x:v>Parada Intermitente</x:v>
      </x:c>
      <x:c r="C294" t="str">
        <x:v>Paradas aleatórias</x:v>
      </x:c>
      <x:c r="D294" t="str">
        <x:v>Equipamento interrompe operação de forma intermitente.</x:v>
      </x:c>
      <x:c r="E294" t="str">
        <x:v>Concluído</x:v>
      </x:c>
      <x:c r="F294" t="str">
        <x:v>Monitoramento Remoto</x:v>
      </x:c>
      <x:c r="G294" t="str">
        <x:v>E-130</x:v>
      </x:c>
      <x:c r="H294" t="str">
        <x:v>Elevador Social</x:v>
      </x:c>
      <x:c r="I294" t="str">
        <x:v>Microprocessado</x:v>
      </x:c>
      <x:c r="J294" t="str">
        <x:v>Gearless</x:v>
      </x:c>
      <x:c r="K294" t="str">
        <x:v>OTIS</x:v>
      </x:c>
      <x:c r="L294" t="str">
        <x:v>ROT-074</x:v>
      </x:c>
      <x:c r="M294" t="str">
        <x:v>Painel/Comando</x:v>
      </x:c>
      <x:c r="N294" t="str">
        <x:v>Placa</x:v>
      </x:c>
      <x:c r="O294" t="str">
        <x:v>Intermitência</x:v>
      </x:c>
      <x:c r="P294" t="str">
        <x:v>Falha intermitente</x:v>
      </x:c>
      <x:c r="Q294" t="str">
        <x:v>Diagnóstico e teste funcional simulados em Painel/Comando; encerramento demonstrativo, sem movimentação de estoque comprovada.</x:v>
      </x:c>
      <x:c r="R294" t="str">
        <x:v>Condomínio Alameda</x:v>
      </x:c>
      <x:c r="S294" t="str">
        <x:v>Não</x:v>
      </x:c>
      <x:c r="T294" t="str">
        <x:v>Não</x:v>
      </x:c>
      <x:c r="U294" t="str">
        <x:v>CT-2026-004</x:v>
      </x:c>
      <x:c r="V294" t="str">
        <x:v>SP-Sul</x:v>
      </x:c>
      <x:c r="W294" t="str">
        <x:v>Carlos Souza</x:v>
      </x:c>
      <x:c r="X294" t="str">
        <x:v>Supervisor D</x:v>
      </x:c>
      <x:c r="Y294" t="str">
        <x:v>Rota Sul 04</x:v>
      </x:c>
      <x:c r="Z294" t="str">
        <x:v>R. das Acácias, 420 - São Paulo/SP</x:v>
      </x:c>
      <x:c r="AA294" t="str">
        <x:v>São Paulo</x:v>
      </x:c>
      <x:c r="AB294" s="50" t="n">
        <x:v>46273.450694444444</x:v>
      </x:c>
      <x:c r="AC294" s="50" t="n">
        <x:v>46273.45347222222</x:v>
      </x:c>
      <x:c r="AD294" s="50" t="n">
        <x:v>46273.45625</x:v>
      </x:c>
      <x:c r="AE294" s="50" t="n">
        <x:v>46273.4875</x:v>
      </x:c>
      <x:c r="AF294" s="50" t="n">
        <x:v>46273.52361111111</x:v>
      </x:c>
      <x:c r="AG294" t="n">
        <x:v>53</x:v>
      </x:c>
      <x:c r="AH294" t="n">
        <x:v>47</x:v>
      </x:c>
      <x:c r="AI294" t="str">
        <x:v>Não</x:v>
      </x:c>
      <x:c r="AJ294" t="str">
        <x:v>Sim</x:v>
      </x:c>
      <x:c r="AK294" t="n">
        <x:v>180</x:v>
      </x:c>
      <x:c r="AL294" t="n">
        <x:v>0</x:v>
      </x:c>
      <x:c r="AM294" s="64" t="n">
        <x:v>0.5556</x:v>
      </x:c>
      <x:c r="AN294" t="n">
        <x:v>4</x:v>
      </x:c>
      <x:c r="AO294" t="str">
        <x:v>Laranja</x:v>
      </x:c>
      <x:c r="AP294" t="str">
        <x:v>janela de intervenção: recorrência ≥ 4/30d e equipamento parado</x:v>
      </x:c>
      <x:c r="AQ294" t="str">
        <x:v>Encerramento demonstrativo de Painel/Comando; verificar fechamento e histórico para aprendizado. Sem despacho automático.</x:v>
      </x:c>
      <x:c r="AR294" s="62" t="n">
        <x:v>1795</x:v>
      </x:c>
      <x:c r="AS294" t="str">
        <x:v>Alto</x:v>
      </x:c>
      <x:c r="AT294" s="50" t="n">
        <x:v>46273.625</x:v>
      </x:c>
      <x:c r="AU294" t="str">
        <x:v>T09</x:v>
      </x:c>
      <x:c r="AV294" t="str">
        <x:v>Ocorrência adicional sintética; perfil inspirado em CH-20260908-016</x:v>
      </x:c>
    </x:row>
    <x:row r="295">
      <x:c r="A295" t="str">
        <x:v>CH-20260908-031</x:v>
      </x:c>
      <x:c r="B295" t="str">
        <x:v>Botão de Chamada</x:v>
      </x:c>
      <x:c r="C295" t="str">
        <x:v>Botão não responde</x:v>
      </x:c>
      <x:c r="D295" t="str">
        <x:v>Botão de chamada não registra comando.</x:v>
      </x:c>
      <x:c r="E295" t="str">
        <x:v>Concluído</x:v>
      </x:c>
      <x:c r="F295" t="str">
        <x:v>Aplicativo Cliente</x:v>
      </x:c>
      <x:c r="G295" t="str">
        <x:v>E-131</x:v>
      </x:c>
      <x:c r="H295" t="str">
        <x:v>Elevador Social</x:v>
      </x:c>
      <x:c r="I295" t="str">
        <x:v>Microprocessado</x:v>
      </x:c>
      <x:c r="J295" t="str">
        <x:v>Gearless</x:v>
      </x:c>
      <x:c r="K295" t="str">
        <x:v>OTIS</x:v>
      </x:c>
      <x:c r="L295" t="str">
        <x:v>ROT-063</x:v>
      </x:c>
      <x:c r="M295" t="str">
        <x:v>Botoeira</x:v>
      </x:c>
      <x:c r="N295" t="str">
        <x:v>Contato</x:v>
      </x:c>
      <x:c r="O295" t="str">
        <x:v>Mau contato</x:v>
      </x:c>
      <x:c r="P295" t="str">
        <x:v>Falha de comando</x:v>
      </x:c>
      <x:c r="Q295" t="str">
        <x:v>Diagnóstico e teste funcional simulados em Botoeira; encerramento demonstrativo, sem movimentação de estoque comprovada.</x:v>
      </x:c>
      <x:c r="R295" t="str">
        <x:v>Aeroporto Terminal 3</x:v>
      </x:c>
      <x:c r="S295" t="str">
        <x:v>Sim</x:v>
      </x:c>
      <x:c r="T295" t="str">
        <x:v>Sim</x:v>
      </x:c>
      <x:c r="U295" t="str">
        <x:v>CT-2026-005</x:v>
      </x:c>
      <x:c r="V295" t="str">
        <x:v>GRU</x:v>
      </x:c>
      <x:c r="W295" t="str">
        <x:v>Renata Alves</x:v>
      </x:c>
      <x:c r="X295" t="str">
        <x:v>Supervisor C</x:v>
      </x:c>
      <x:c r="Y295" t="str">
        <x:v>Rota GRU 05</x:v>
      </x:c>
      <x:c r="Z295" t="str">
        <x:v>Rod. Hélio Smidt, s/n - Guarulhos/SP</x:v>
      </x:c>
      <x:c r="AA295" t="str">
        <x:v>São Paulo</x:v>
      </x:c>
      <x:c r="AB295" s="50" t="n">
        <x:v>46273.461805555555</x:v>
      </x:c>
      <x:c r="AC295" s="50" t="n">
        <x:v>46273.46527777778</x:v>
      </x:c>
      <x:c r="AD295" s="50" t="n">
        <x:v>46273.46875</x:v>
      </x:c>
      <x:c r="AE295" s="50" t="n">
        <x:v>46273.50763888889</x:v>
      </x:c>
      <x:c r="AF295" s="50" t="n">
        <x:v>46273.555555555555</x:v>
      </x:c>
      <x:c r="AG295" t="n">
        <x:v>66</x:v>
      </x:c>
      <x:c r="AH295" t="n">
        <x:v>64</x:v>
      </x:c>
      <x:c r="AI295" t="str">
        <x:v>Não</x:v>
      </x:c>
      <x:c r="AJ295" t="str">
        <x:v>Não</x:v>
      </x:c>
      <x:c r="AK295" t="n">
        <x:v>45</x:v>
      </x:c>
      <x:c r="AL295" t="n">
        <x:v>0</x:v>
      </x:c>
      <x:c r="AM295" s="64" t="n">
        <x:v>2.8889</x:v>
      </x:c>
      <x:c r="AN295" t="n">
        <x:v>2</x:v>
      </x:c>
      <x:c r="AO295" t="str">
        <x:v>Vermelho</x:v>
      </x:c>
      <x:c r="AP295" t="str">
        <x:v>SLA sintético excedido (tempo acumulado ≥ 100% do SLA)</x:v>
      </x:c>
      <x:c r="AQ295" t="str">
        <x:v>Encerramento demonstrativo de Botoeira; verificar fechamento e histórico para aprendizado. Sem despacho automático.</x:v>
      </x:c>
      <x:c r="AR295" s="62" t="n">
        <x:v>814.5</x:v>
      </x:c>
      <x:c r="AS295" t="str">
        <x:v>Baixo</x:v>
      </x:c>
      <x:c r="AT295" s="50" t="n">
        <x:v>46273.625</x:v>
      </x:c>
      <x:c r="AU295" t="str">
        <x:v>T09</x:v>
      </x:c>
      <x:c r="AV295" t="str">
        <x:v>Ocorrência adicional sintética; perfil inspirado em CH-20260908-023</x:v>
      </x:c>
    </x:row>
    <x:row r="296">
      <x:c r="A296" t="str">
        <x:v>CH-20260908-032</x:v>
      </x:c>
      <x:c r="B296" t="str">
        <x:v>Iluminação de Cabine</x:v>
      </x:c>
      <x:c r="C296" t="str">
        <x:v>Iluminação inoperante</x:v>
      </x:c>
      <x:c r="D296" t="str">
        <x:v>Cabine com iluminação parcial ou total indisponível.</x:v>
      </x:c>
      <x:c r="E296" t="str">
        <x:v>Concluído</x:v>
      </x:c>
      <x:c r="F296" t="str">
        <x:v>IoT</x:v>
      </x:c>
      <x:c r="G296" t="str">
        <x:v>E-132</x:v>
      </x:c>
      <x:c r="H296" t="str">
        <x:v>Elevador Social</x:v>
      </x:c>
      <x:c r="I296" t="str">
        <x:v>Microprocessado</x:v>
      </x:c>
      <x:c r="J296" t="str">
        <x:v>Gearless</x:v>
      </x:c>
      <x:c r="K296" t="str">
        <x:v>OTIS</x:v>
      </x:c>
      <x:c r="L296" t="str">
        <x:v>ROT-052</x:v>
      </x:c>
      <x:c r="M296" t="str">
        <x:v>Elétrica</x:v>
      </x:c>
      <x:c r="N296" t="str">
        <x:v>Fonte</x:v>
      </x:c>
      <x:c r="O296" t="str">
        <x:v>Sem alimentação</x:v>
      </x:c>
      <x:c r="P296" t="str">
        <x:v>Falha elétrica</x:v>
      </x:c>
      <x:c r="Q296" t="str">
        <x:v>Diagnóstico e teste funcional simulados em Elétrica; encerramento demonstrativo, sem movimentação de estoque comprovada.</x:v>
      </x:c>
      <x:c r="R296" t="str">
        <x:v>Universidade Central</x:v>
      </x:c>
      <x:c r="S296" t="str">
        <x:v>Não</x:v>
      </x:c>
      <x:c r="T296" t="str">
        <x:v>Sim</x:v>
      </x:c>
      <x:c r="U296" t="str">
        <x:v>CT-2026-006</x:v>
      </x:c>
      <x:c r="V296" t="str">
        <x:v>SP-Leste</x:v>
      </x:c>
      <x:c r="W296" t="str">
        <x:v>Paulo Mendes</x:v>
      </x:c>
      <x:c r="X296" t="str">
        <x:v>Supervisor B</x:v>
      </x:c>
      <x:c r="Y296" t="str">
        <x:v>Rota Leste 06</x:v>
      </x:c>
      <x:c r="Z296" t="str">
        <x:v>Av. Central, 850 - São Paulo/SP</x:v>
      </x:c>
      <x:c r="AA296" t="str">
        <x:v>São Paulo</x:v>
      </x:c>
      <x:c r="AB296" s="50" t="n">
        <x:v>46273.46875</x:v>
      </x:c>
      <x:c r="AC296" s="50" t="n">
        <x:v>46273.470138888886</x:v>
      </x:c>
      <x:c r="AD296" s="50" t="n">
        <x:v>46273.47430555556</x:v>
      </x:c>
      <x:c r="AE296" s="50" t="n">
        <x:v>46273.48819444444</x:v>
      </x:c>
      <x:c r="AF296" s="50" t="n">
        <x:v>46273.54791666667</x:v>
      </x:c>
      <x:c r="AG296" t="n">
        <x:v>28</x:v>
      </x:c>
      <x:c r="AH296" t="n">
        <x:v>81</x:v>
      </x:c>
      <x:c r="AI296" t="str">
        <x:v>Não</x:v>
      </x:c>
      <x:c r="AJ296" t="str">
        <x:v>Não</x:v>
      </x:c>
      <x:c r="AK296" t="n">
        <x:v>120</x:v>
      </x:c>
      <x:c r="AL296" t="n">
        <x:v>0</x:v>
      </x:c>
      <x:c r="AM296" s="64" t="n">
        <x:v>0.9083</x:v>
      </x:c>
      <x:c r="AN296" t="n">
        <x:v>0</x:v>
      </x:c>
      <x:c r="AO296" t="str">
        <x:v>Laranja</x:v>
      </x:c>
      <x:c r="AP296" t="str">
        <x:v>janela de intervenção: tempo acumulado ≥ 80% do SLA</x:v>
      </x:c>
      <x:c r="AQ296" t="str">
        <x:v>Encerramento demonstrativo de Elétrica; verificar fechamento e histórico para aprendizado. Sem despacho automático.</x:v>
      </x:c>
      <x:c r="AR296" s="62" t="n">
        <x:v>507</x:v>
      </x:c>
      <x:c r="AS296" t="str">
        <x:v>Baixo</x:v>
      </x:c>
      <x:c r="AT296" s="50" t="n">
        <x:v>46273.625</x:v>
      </x:c>
      <x:c r="AU296" t="str">
        <x:v>T09</x:v>
      </x:c>
      <x:c r="AV296" t="str">
        <x:v>Ocorrência adicional sintética; perfil inspirado em CH-20260908-006</x:v>
      </x:c>
    </x:row>
    <x:row r="297">
      <x:c r="A297" t="str">
        <x:v>CH-20260908-033</x:v>
      </x:c>
      <x:c r="B297" t="str">
        <x:v>Falha de Tração</x:v>
      </x:c>
      <x:c r="C297" t="str">
        <x:v>Movimento irregular</x:v>
      </x:c>
      <x:c r="D297" t="str">
        <x:v>Equipamento apresenta perda de tração.</x:v>
      </x:c>
      <x:c r="E297" t="str">
        <x:v>Em atendimento</x:v>
      </x:c>
      <x:c r="F297" t="str">
        <x:v>Central de Atendimento</x:v>
      </x:c>
      <x:c r="G297" t="str">
        <x:v>E-133</x:v>
      </x:c>
      <x:c r="H297" t="str">
        <x:v>Elevador Social</x:v>
      </x:c>
      <x:c r="I297" t="str">
        <x:v>Microprocessado</x:v>
      </x:c>
      <x:c r="J297" t="str">
        <x:v>Gearless</x:v>
      </x:c>
      <x:c r="K297" t="str">
        <x:v>OTIS</x:v>
      </x:c>
      <x:c r="L297" t="str">
        <x:v>ROT-041</x:v>
      </x:c>
      <x:c r="M297" t="str">
        <x:v>Máquina de Tração</x:v>
      </x:c>
      <x:c r="N297" t="str">
        <x:v>Inversor</x:v>
      </x:c>
      <x:c r="O297" t="str">
        <x:v>Oscilação</x:v>
      </x:c>
      <x:c r="P297" t="str">
        <x:v>Falha de movimento</x:v>
      </x:c>
      <x:c r="Q297"/>
      <x:c r="R297" t="str">
        <x:v>Hospital São Paulo</x:v>
      </x:c>
      <x:c r="S297" t="str">
        <x:v>Sim</x:v>
      </x:c>
      <x:c r="T297" t="str">
        <x:v>Sim</x:v>
      </x:c>
      <x:c r="U297" t="str">
        <x:v>CT-2026-001</x:v>
      </x:c>
      <x:c r="V297" t="str">
        <x:v>SP-Centro</x:v>
      </x:c>
      <x:c r="W297" t="str">
        <x:v>João Silva</x:v>
      </x:c>
      <x:c r="X297" t="str">
        <x:v>Supervisor A</x:v>
      </x:c>
      <x:c r="Y297" t="str">
        <x:v>Rota Centro 01</x:v>
      </x:c>
      <x:c r="Z297" t="str">
        <x:v>Av. Paulista, 1000 - São Paulo/SP</x:v>
      </x:c>
      <x:c r="AA297" t="str">
        <x:v>São Paulo</x:v>
      </x:c>
      <x:c r="AB297" s="50" t="n">
        <x:v>46273.47638888889</x:v>
      </x:c>
      <x:c r="AC297" s="50" t="n">
        <x:v>46273.478472222225</x:v>
      </x:c>
      <x:c r="AD297" s="50" t="n">
        <x:v>46273.48333333333</x:v>
      </x:c>
      <x:c r="AE297" s="50" t="n">
        <x:v>46273.50486111111</x:v>
      </x:c>
      <x:c r="AF297" s="50"/>
      <x:c r="AG297" t="n">
        <x:v>41</x:v>
      </x:c>
      <x:c r="AH297"/>
      <x:c r="AI297" t="str">
        <x:v>Não</x:v>
      </x:c>
      <x:c r="AJ297" t="str">
        <x:v>Sim</x:v>
      </x:c>
      <x:c r="AK297" t="n">
        <x:v>60</x:v>
      </x:c>
      <x:c r="AL297" t="n">
        <x:v>0</x:v>
      </x:c>
      <x:c r="AM297" s="64" t="n">
        <x:v>3.5667</x:v>
      </x:c>
      <x:c r="AN297" t="n">
        <x:v>1</x:v>
      </x:c>
      <x:c r="AO297" t="str">
        <x:v>Vermelho</x:v>
      </x:c>
      <x:c r="AP297" t="str">
        <x:v>SLA sintético excedido (tempo acumulado ≥ 100% do SLA)</x:v>
      </x:c>
      <x:c r="AQ297" t="str">
        <x:v>Priorizar avaliação do chamado em Máquina de Tração; SLA demonstrativo comprometido. Supervisor decide o encaminhamento.</x:v>
      </x:c>
      <x:c r="AR297" s="62" t="n">
        <x:v>1123.5</x:v>
      </x:c>
      <x:c r="AS297" t="str">
        <x:v>Médio</x:v>
      </x:c>
      <x:c r="AT297" s="50" t="n">
        <x:v>46273.625</x:v>
      </x:c>
      <x:c r="AU297" t="str">
        <x:v>T09</x:v>
      </x:c>
      <x:c r="AV297" t="str">
        <x:v>Ocorrência adicional sintética; perfil inspirado em CH-20260908-013</x:v>
      </x:c>
    </x:row>
    <x:row r="298">
      <x:c r="A298" t="str">
        <x:v>CH-20260908-034</x:v>
      </x:c>
      <x:c r="B298" t="str">
        <x:v>Painel sem comunicação</x:v>
      </x:c>
      <x:c r="C298" t="str">
        <x:v>Falha de comunicação</x:v>
      </x:c>
      <x:c r="D298" t="str">
        <x:v>Painel não responde aos comandos.</x:v>
      </x:c>
      <x:c r="E298" t="str">
        <x:v>Concluído</x:v>
      </x:c>
      <x:c r="F298" t="str">
        <x:v>Monitoramento Remoto</x:v>
      </x:c>
      <x:c r="G298" t="str">
        <x:v>E-134</x:v>
      </x:c>
      <x:c r="H298" t="str">
        <x:v>Elevador Social</x:v>
      </x:c>
      <x:c r="I298" t="str">
        <x:v>Microprocessado</x:v>
      </x:c>
      <x:c r="J298" t="str">
        <x:v>Gearless</x:v>
      </x:c>
      <x:c r="K298" t="str">
        <x:v>OTIS</x:v>
      </x:c>
      <x:c r="L298" t="str">
        <x:v>ROT-033</x:v>
      </x:c>
      <x:c r="M298" t="str">
        <x:v>Painel/Comando</x:v>
      </x:c>
      <x:c r="N298" t="str">
        <x:v>Interface</x:v>
      </x:c>
      <x:c r="O298" t="str">
        <x:v>Sem comunicação</x:v>
      </x:c>
      <x:c r="P298" t="str">
        <x:v>Falha lógica</x:v>
      </x:c>
      <x:c r="Q298" t="str">
        <x:v>Diagnóstico e teste funcional simulados em Painel/Comando; encerramento demonstrativo, sem movimentação de estoque comprovada.</x:v>
      </x:c>
      <x:c r="R298" t="str">
        <x:v>Shopping Center Norte</x:v>
      </x:c>
      <x:c r="S298" t="str">
        <x:v>Não</x:v>
      </x:c>
      <x:c r="T298" t="str">
        <x:v>Sim</x:v>
      </x:c>
      <x:c r="U298" t="str">
        <x:v>CT-2026-002</x:v>
      </x:c>
      <x:c r="V298" t="str">
        <x:v>SP-Norte</x:v>
      </x:c>
      <x:c r="W298" t="str">
        <x:v>Marcos Lima</x:v>
      </x:c>
      <x:c r="X298" t="str">
        <x:v>Supervisor D</x:v>
      </x:c>
      <x:c r="Y298" t="str">
        <x:v>Rota Norte 02</x:v>
      </x:c>
      <x:c r="Z298" t="str">
        <x:v>Av. Otto Baumgart, 245 - São Paulo/SP</x:v>
      </x:c>
      <x:c r="AA298" t="str">
        <x:v>São Paulo</x:v>
      </x:c>
      <x:c r="AB298" s="50" t="n">
        <x:v>46273.48402777778</x:v>
      </x:c>
      <x:c r="AC298" s="50" t="n">
        <x:v>46273.486805555556</x:v>
      </x:c>
      <x:c r="AD298" s="50" t="n">
        <x:v>46273.49236111111</x:v>
      </x:c>
      <x:c r="AE298" s="50" t="n">
        <x:v>46273.521527777775</x:v>
      </x:c>
      <x:c r="AF298" s="50" t="n">
        <x:v>46273.60486111111</x:v>
      </x:c>
      <x:c r="AG298" t="n">
        <x:v>54</x:v>
      </x:c>
      <x:c r="AH298" t="n">
        <x:v>115</x:v>
      </x:c>
      <x:c r="AI298" t="str">
        <x:v>Não</x:v>
      </x:c>
      <x:c r="AJ298" t="str">
        <x:v>Não</x:v>
      </x:c>
      <x:c r="AK298" t="n">
        <x:v>90</x:v>
      </x:c>
      <x:c r="AL298" t="n">
        <x:v>0</x:v>
      </x:c>
      <x:c r="AM298" s="64" t="n">
        <x:v>1.8778</x:v>
      </x:c>
      <x:c r="AN298" t="n">
        <x:v>3</x:v>
      </x:c>
      <x:c r="AO298" t="str">
        <x:v>Vermelho</x:v>
      </x:c>
      <x:c r="AP298" t="str">
        <x:v>SLA sintético excedido (tempo acumulado ≥ 100% do SLA)</x:v>
      </x:c>
      <x:c r="AQ298" t="str">
        <x:v>Encerramento demonstrativo de Painel/Comando; verificar fechamento e histórico para aprendizado. Sem despacho automático.</x:v>
      </x:c>
      <x:c r="AR298" s="62" t="n">
        <x:v>1484</x:v>
      </x:c>
      <x:c r="AS298" t="str">
        <x:v>Alto</x:v>
      </x:c>
      <x:c r="AT298" s="50" t="n">
        <x:v>46273.625</x:v>
      </x:c>
      <x:c r="AU298" t="str">
        <x:v>T09</x:v>
      </x:c>
      <x:c r="AV298" t="str">
        <x:v>Ocorrência adicional sintética; perfil inspirado em CH-20260908-020</x:v>
      </x:c>
    </x:row>
    <x:row r="299">
      <x:c r="A299" t="str">
        <x:v>CH-20260908-035</x:v>
      </x:c>
      <x:c r="B299" t="str">
        <x:v>Porta não fecha</x:v>
      </x:c>
      <x:c r="C299" t="str">
        <x:v>Falha no fechamento</x:v>
      </x:c>
      <x:c r="D299" t="str">
        <x:v>Porta permanece aberta e impede partida.</x:v>
      </x:c>
      <x:c r="E299" t="str">
        <x:v>Em atendimento</x:v>
      </x:c>
      <x:c r="F299" t="str">
        <x:v>Aplicativo Cliente</x:v>
      </x:c>
      <x:c r="G299" t="str">
        <x:v>E-135</x:v>
      </x:c>
      <x:c r="H299" t="str">
        <x:v>Elevador Social</x:v>
      </x:c>
      <x:c r="I299" t="str">
        <x:v>Microprocessado</x:v>
      </x:c>
      <x:c r="J299" t="str">
        <x:v>Gearless</x:v>
      </x:c>
      <x:c r="K299" t="str">
        <x:v>OTIS</x:v>
      </x:c>
      <x:c r="L299" t="str">
        <x:v>ROT-021</x:v>
      </x:c>
      <x:c r="M299" t="str">
        <x:v>Operador de Porta</x:v>
      </x:c>
      <x:c r="N299" t="str">
        <x:v>Sensor de porta</x:v>
      </x:c>
      <x:c r="O299" t="str">
        <x:v>Falha de leitura</x:v>
      </x:c>
      <x:c r="P299" t="str">
        <x:v>Porta aberta</x:v>
      </x:c>
      <x:c r="Q299"/>
      <x:c r="R299" t="str">
        <x:v>Edifício Corporate</x:v>
      </x:c>
      <x:c r="S299" t="str">
        <x:v>Não</x:v>
      </x:c>
      <x:c r="T299" t="str">
        <x:v>Sim</x:v>
      </x:c>
      <x:c r="U299" t="str">
        <x:v>CT-2026-003</x:v>
      </x:c>
      <x:c r="V299" t="str">
        <x:v>SP-Oeste</x:v>
      </x:c>
      <x:c r="W299" t="str">
        <x:v>Ana Costa</x:v>
      </x:c>
      <x:c r="X299" t="str">
        <x:v>Supervisor C</x:v>
      </x:c>
      <x:c r="Y299" t="str">
        <x:v>Rota Oeste 03</x:v>
      </x:c>
      <x:c r="Z299" t="str">
        <x:v>Av. Faria Lima, 3500 - São Paulo/SP</x:v>
      </x:c>
      <x:c r="AA299" t="str">
        <x:v>São Paulo</x:v>
      </x:c>
      <x:c r="AB299" s="50" t="n">
        <x:v>46273.49375</x:v>
      </x:c>
      <x:c r="AC299" s="50" t="n">
        <x:v>46273.49722222222</x:v>
      </x:c>
      <x:c r="AD299" s="50" t="n">
        <x:v>46273.50347222222</x:v>
      </x:c>
      <x:c r="AE299" s="50" t="n">
        <x:v>46273.54027777778</x:v>
      </x:c>
      <x:c r="AF299" s="50"/>
      <x:c r="AG299" t="n">
        <x:v>67</x:v>
      </x:c>
      <x:c r="AH299"/>
      <x:c r="AI299" t="str">
        <x:v>Não</x:v>
      </x:c>
      <x:c r="AJ299" t="str">
        <x:v>Não</x:v>
      </x:c>
      <x:c r="AK299" t="n">
        <x:v>120</x:v>
      </x:c>
      <x:c r="AL299" t="n">
        <x:v>0</x:v>
      </x:c>
      <x:c r="AM299" s="64" t="n">
        <x:v>1.575</x:v>
      </x:c>
      <x:c r="AN299" t="n">
        <x:v>2</x:v>
      </x:c>
      <x:c r="AO299" t="str">
        <x:v>Vermelho</x:v>
      </x:c>
      <x:c r="AP299" t="str">
        <x:v>SLA sintético excedido (tempo acumulado ≥ 100% do SLA)</x:v>
      </x:c>
      <x:c r="AQ299" t="str">
        <x:v>Priorizar avaliação do chamado em Operador de Porta; SLA demonstrativo comprometido. Supervisor decide o encaminhamento.</x:v>
      </x:c>
      <x:c r="AR299" s="62" t="n">
        <x:v>884.5</x:v>
      </x:c>
      <x:c r="AS299" t="str">
        <x:v>Médio</x:v>
      </x:c>
      <x:c r="AT299" s="50" t="n">
        <x:v>46273.625</x:v>
      </x:c>
      <x:c r="AU299" t="str">
        <x:v>T09</x:v>
      </x:c>
      <x:c r="AV299" t="str">
        <x:v>Ocorrência adicional sintética; perfil inspirado em CH-20260908-003</x:v>
      </x:c>
    </x:row>
    <x:row r="300">
      <x:c r="A300" t="str">
        <x:v>CH-20260908-036</x:v>
      </x:c>
      <x:c r="B300" t="str">
        <x:v>Falha de Nivelamento</x:v>
      </x:c>
      <x:c r="C300" t="str">
        <x:v>Cabine desnivelada</x:v>
      </x:c>
      <x:c r="D300" t="str">
        <x:v>Cabine parou fora do nível do pavimento.</x:v>
      </x:c>
      <x:c r="E300" t="str">
        <x:v>Concluído</x:v>
      </x:c>
      <x:c r="F300" t="str">
        <x:v>IoT</x:v>
      </x:c>
      <x:c r="G300" t="str">
        <x:v>E-113</x:v>
      </x:c>
      <x:c r="H300" t="str">
        <x:v>Elevador Social</x:v>
      </x:c>
      <x:c r="I300" t="str">
        <x:v>Microprocessado</x:v>
      </x:c>
      <x:c r="J300" t="str">
        <x:v>Gearless</x:v>
      </x:c>
      <x:c r="K300" t="str">
        <x:v>OTIS</x:v>
      </x:c>
      <x:c r="L300" t="str">
        <x:v>ROT-014</x:v>
      </x:c>
      <x:c r="M300" t="str">
        <x:v>Sensor de Nível</x:v>
      </x:c>
      <x:c r="N300" t="str">
        <x:v>Sensor</x:v>
      </x:c>
      <x:c r="O300" t="str">
        <x:v>Leitura inconsistente</x:v>
      </x:c>
      <x:c r="P300" t="str">
        <x:v>Falha de nivelamento</x:v>
      </x:c>
      <x:c r="Q300" t="str">
        <x:v>Diagnóstico e teste funcional simulados em Sensor de Nível; encerramento demonstrativo, sem movimentação de estoque comprovada.</x:v>
      </x:c>
      <x:c r="R300" t="str">
        <x:v>Condomínio Alameda</x:v>
      </x:c>
      <x:c r="S300" t="str">
        <x:v>Não</x:v>
      </x:c>
      <x:c r="T300" t="str">
        <x:v>Não</x:v>
      </x:c>
      <x:c r="U300" t="str">
        <x:v>CT-2026-004</x:v>
      </x:c>
      <x:c r="V300" t="str">
        <x:v>SP-Sul</x:v>
      </x:c>
      <x:c r="W300" t="str">
        <x:v>Carlos Souza</x:v>
      </x:c>
      <x:c r="X300" t="str">
        <x:v>Supervisor B</x:v>
      </x:c>
      <x:c r="Y300" t="str">
        <x:v>Rota Sul 04</x:v>
      </x:c>
      <x:c r="Z300" t="str">
        <x:v>R. das Acácias, 420 - São Paulo/SP</x:v>
      </x:c>
      <x:c r="AA300" t="str">
        <x:v>São Paulo</x:v>
      </x:c>
      <x:c r="AB300" s="50" t="n">
        <x:v>46273.50347222222</x:v>
      </x:c>
      <x:c r="AC300" s="50" t="n">
        <x:v>46273.50486111111</x:v>
      </x:c>
      <x:c r="AD300" s="50" t="n">
        <x:v>46273.50763888889</x:v>
      </x:c>
      <x:c r="AE300" s="50" t="n">
        <x:v>46273.52361111111</x:v>
      </x:c>
      <x:c r="AF300" s="50" t="n">
        <x:v>46273.572916666664</x:v>
      </x:c>
      <x:c r="AG300" t="n">
        <x:v>29</x:v>
      </x:c>
      <x:c r="AH300" t="n">
        <x:v>66</x:v>
      </x:c>
      <x:c r="AI300" t="str">
        <x:v>Não</x:v>
      </x:c>
      <x:c r="AJ300" t="str">
        <x:v>Não</x:v>
      </x:c>
      <x:c r="AK300" t="n">
        <x:v>180</x:v>
      </x:c>
      <x:c r="AL300" t="n">
        <x:v>0</x:v>
      </x:c>
      <x:c r="AM300" s="64" t="n">
        <x:v>0.5278</x:v>
      </x:c>
      <x:c r="AN300" t="n">
        <x:v>2</x:v>
      </x:c>
      <x:c r="AO300" t="str">
        <x:v>Amarelo</x:v>
      </x:c>
      <x:c r="AP300" t="str">
        <x:v>atenção: recorrências em 30 dias</x:v>
      </x:c>
      <x:c r="AQ300" t="str">
        <x:v>Encerramento demonstrativo de Sensor de Nível; verificar fechamento e histórico para aprendizado. Sem despacho automático.</x:v>
      </x:c>
      <x:c r="AR300" s="62" t="n">
        <x:v>945</x:v>
      </x:c>
      <x:c r="AS300" t="str">
        <x:v>Médio</x:v>
      </x:c>
      <x:c r="AT300" s="50" t="n">
        <x:v>46273.625</x:v>
      </x:c>
      <x:c r="AU300" t="str">
        <x:v>T09</x:v>
      </x:c>
      <x:c r="AV300" t="str">
        <x:v>Ocorrência adicional sintética; perfil inspirado em CH-20260908-010</x:v>
      </x:c>
    </x:row>
    <x:row r="301">
      <x:c r="A301" t="str">
        <x:v>CH-20260908-037</x:v>
      </x:c>
      <x:c r="B301" t="str">
        <x:v>Passageiro Preso</x:v>
      </x:c>
      <x:c r="C301" t="str">
        <x:v>Elevador parado entre andares</x:v>
      </x:c>
      <x:c r="D301" t="str">
        <x:v>Cabine imobilizada com passageiro no interior.</x:v>
      </x:c>
      <x:c r="E301" t="str">
        <x:v>Concluído</x:v>
      </x:c>
      <x:c r="F301" t="str">
        <x:v>Central de Atendimento</x:v>
      </x:c>
      <x:c r="G301" t="str">
        <x:v>E-137</x:v>
      </x:c>
      <x:c r="H301" t="str">
        <x:v>Elevador Social</x:v>
      </x:c>
      <x:c r="I301" t="str">
        <x:v>Microprocessado</x:v>
      </x:c>
      <x:c r="J301" t="str">
        <x:v>Gearless</x:v>
      </x:c>
      <x:c r="K301" t="str">
        <x:v>OTIS</x:v>
      </x:c>
      <x:c r="L301" t="str">
        <x:v>ROT-001</x:v>
      </x:c>
      <x:c r="M301" t="str">
        <x:v>Tração</x:v>
      </x:c>
      <x:c r="N301" t="str">
        <x:v>Freio</x:v>
      </x:c>
      <x:c r="O301" t="str">
        <x:v>Travamento</x:v>
      </x:c>
      <x:c r="P301" t="str">
        <x:v>Parada total</x:v>
      </x:c>
      <x:c r="Q301" t="str">
        <x:v>Diagnóstico e teste funcional simulados em Tração; encerramento demonstrativo, sem movimentação de estoque comprovada.</x:v>
      </x:c>
      <x:c r="R301" t="str">
        <x:v>Aeroporto Terminal 3</x:v>
      </x:c>
      <x:c r="S301" t="str">
        <x:v>Sim</x:v>
      </x:c>
      <x:c r="T301" t="str">
        <x:v>Sim</x:v>
      </x:c>
      <x:c r="U301" t="str">
        <x:v>CT-2026-005</x:v>
      </x:c>
      <x:c r="V301" t="str">
        <x:v>GRU</x:v>
      </x:c>
      <x:c r="W301" t="str">
        <x:v>Renata Alves</x:v>
      </x:c>
      <x:c r="X301" t="str">
        <x:v>Supervisor A</x:v>
      </x:c>
      <x:c r="Y301" t="str">
        <x:v>Rota GRU 05</x:v>
      </x:c>
      <x:c r="Z301" t="str">
        <x:v>Rod. Hélio Smidt, s/n - Guarulhos/SP</x:v>
      </x:c>
      <x:c r="AA301" t="str">
        <x:v>São Paulo</x:v>
      </x:c>
      <x:c r="AB301" s="50" t="n">
        <x:v>46273.513194444444</x:v>
      </x:c>
      <x:c r="AC301" s="50" t="n">
        <x:v>46273.51527777778</x:v>
      </x:c>
      <x:c r="AD301" s="50" t="n">
        <x:v>46273.51875</x:v>
      </x:c>
      <x:c r="AE301" s="50" t="n">
        <x:v>46273.54236111111</x:v>
      </x:c>
      <x:c r="AF301" s="50" t="n">
        <x:v>46273.603472222225</x:v>
      </x:c>
      <x:c r="AG301" t="n">
        <x:v>42</x:v>
      </x:c>
      <x:c r="AH301" t="n">
        <x:v>83</x:v>
      </x:c>
      <x:c r="AI301" t="str">
        <x:v>Sim</x:v>
      </x:c>
      <x:c r="AJ301" t="str">
        <x:v>Sim</x:v>
      </x:c>
      <x:c r="AK301" t="n">
        <x:v>45</x:v>
      </x:c>
      <x:c r="AL301" t="n">
        <x:v>0</x:v>
      </x:c>
      <x:c r="AM301" s="64" t="n">
        <x:v>2.7778</x:v>
      </x:c>
      <x:c r="AN301" t="n">
        <x:v>0</x:v>
      </x:c>
      <x:c r="AO301" t="str">
        <x:v>Vermelho</x:v>
      </x:c>
      <x:c r="AP301" t="str">
        <x:v>SLA sintético excedido (tempo acumulado ≥ 100% do SLA)</x:v>
      </x:c>
      <x:c r="AQ301" t="str">
        <x:v>Encerramento demonstrativo de Tração; verificar fechamento e histórico para aprendizado. Sem despacho automático.</x:v>
      </x:c>
      <x:c r="AR301" s="62" t="n">
        <x:v>1098.5</x:v>
      </x:c>
      <x:c r="AS301" t="str">
        <x:v>Médio</x:v>
      </x:c>
      <x:c r="AT301" s="50" t="n">
        <x:v>46273.625</x:v>
      </x:c>
      <x:c r="AU301" t="str">
        <x:v>T09</x:v>
      </x:c>
      <x:c r="AV301" t="str">
        <x:v>Ocorrência adicional sintética; perfil inspirado em CH-20260908-017</x:v>
      </x:c>
    </x:row>
    <x:row r="302">
      <x:c r="A302" t="str">
        <x:v>CH-20260908-038</x:v>
      </x:c>
      <x:c r="B302" t="str">
        <x:v>Parada Intermitente</x:v>
      </x:c>
      <x:c r="C302" t="str">
        <x:v>Paradas aleatórias</x:v>
      </x:c>
      <x:c r="D302" t="str">
        <x:v>Equipamento interrompe operação de forma intermitente.</x:v>
      </x:c>
      <x:c r="E302" t="str">
        <x:v>Em atendimento</x:v>
      </x:c>
      <x:c r="F302" t="str">
        <x:v>Monitoramento Remoto</x:v>
      </x:c>
      <x:c r="G302" t="str">
        <x:v>E-138</x:v>
      </x:c>
      <x:c r="H302" t="str">
        <x:v>Elevador Social</x:v>
      </x:c>
      <x:c r="I302" t="str">
        <x:v>Microprocessado</x:v>
      </x:c>
      <x:c r="J302" t="str">
        <x:v>Gearless</x:v>
      </x:c>
      <x:c r="K302" t="str">
        <x:v>OTIS</x:v>
      </x:c>
      <x:c r="L302" t="str">
        <x:v>ROT-074</x:v>
      </x:c>
      <x:c r="M302" t="str">
        <x:v>Painel/Comando</x:v>
      </x:c>
      <x:c r="N302" t="str">
        <x:v>Placa</x:v>
      </x:c>
      <x:c r="O302" t="str">
        <x:v>Intermitência</x:v>
      </x:c>
      <x:c r="P302" t="str">
        <x:v>Falha intermitente</x:v>
      </x:c>
      <x:c r="Q302"/>
      <x:c r="R302" t="str">
        <x:v>Universidade Central</x:v>
      </x:c>
      <x:c r="S302" t="str">
        <x:v>Não</x:v>
      </x:c>
      <x:c r="T302" t="str">
        <x:v>Sim</x:v>
      </x:c>
      <x:c r="U302" t="str">
        <x:v>CT-2026-006</x:v>
      </x:c>
      <x:c r="V302" t="str">
        <x:v>SP-Leste</x:v>
      </x:c>
      <x:c r="W302" t="str">
        <x:v>Paulo Mendes</x:v>
      </x:c>
      <x:c r="X302" t="str">
        <x:v>Supervisor D</x:v>
      </x:c>
      <x:c r="Y302" t="str">
        <x:v>Rota Leste 06</x:v>
      </x:c>
      <x:c r="Z302" t="str">
        <x:v>Av. Central, 850 - São Paulo/SP</x:v>
      </x:c>
      <x:c r="AA302" t="str">
        <x:v>São Paulo</x:v>
      </x:c>
      <x:c r="AB302" s="50" t="n">
        <x:v>46273.524305555555</x:v>
      </x:c>
      <x:c r="AC302" s="50" t="n">
        <x:v>46273.527083333334</x:v>
      </x:c>
      <x:c r="AD302" s="50" t="n">
        <x:v>46273.53125</x:v>
      </x:c>
      <x:c r="AE302" s="50" t="n">
        <x:v>46273.5625</x:v>
      </x:c>
      <x:c r="AF302" s="50"/>
      <x:c r="AG302" t="n">
        <x:v>55</x:v>
      </x:c>
      <x:c r="AH302"/>
      <x:c r="AI302" t="str">
        <x:v>Não</x:v>
      </x:c>
      <x:c r="AJ302" t="str">
        <x:v>Sim</x:v>
      </x:c>
      <x:c r="AK302" t="n">
        <x:v>120</x:v>
      </x:c>
      <x:c r="AL302" t="n">
        <x:v>0</x:v>
      </x:c>
      <x:c r="AM302" s="64" t="n">
        <x:v>1.2083</x:v>
      </x:c>
      <x:c r="AN302" t="n">
        <x:v>4</x:v>
      </x:c>
      <x:c r="AO302" t="str">
        <x:v>Vermelho</x:v>
      </x:c>
      <x:c r="AP302" t="str">
        <x:v>SLA sintético excedido (tempo acumulado ≥ 100% do SLA)</x:v>
      </x:c>
      <x:c r="AQ302" t="str">
        <x:v>Priorizar avaliação do chamado em Painel/Comando; SLA demonstrativo comprometido. Supervisor decide o encaminhamento.</x:v>
      </x:c>
      <x:c r="AR302" s="62" t="n">
        <x:v>1617</x:v>
      </x:c>
      <x:c r="AS302" t="str">
        <x:v>Alto</x:v>
      </x:c>
      <x:c r="AT302" s="50" t="n">
        <x:v>46273.625</x:v>
      </x:c>
      <x:c r="AU302" t="str">
        <x:v>T09</x:v>
      </x:c>
      <x:c r="AV302" t="str">
        <x:v>Ocorrência adicional sintética; perfil inspirado em CH-20260908-024</x:v>
      </x:c>
    </x:row>
    <x:row r="303">
      <x:c r="A303" t="str">
        <x:v>CH-20260908-039</x:v>
      </x:c>
      <x:c r="B303" t="str">
        <x:v>Botão de Chamada</x:v>
      </x:c>
      <x:c r="C303" t="str">
        <x:v>Botão não responde</x:v>
      </x:c>
      <x:c r="D303" t="str">
        <x:v>Botão de chamada não registra comando.</x:v>
      </x:c>
      <x:c r="E303" t="str">
        <x:v>Em atendimento</x:v>
      </x:c>
      <x:c r="F303" t="str">
        <x:v>Aplicativo Cliente</x:v>
      </x:c>
      <x:c r="G303" t="str">
        <x:v>E-139</x:v>
      </x:c>
      <x:c r="H303" t="str">
        <x:v>Elevador Social</x:v>
      </x:c>
      <x:c r="I303" t="str">
        <x:v>Microprocessado</x:v>
      </x:c>
      <x:c r="J303" t="str">
        <x:v>Gearless</x:v>
      </x:c>
      <x:c r="K303" t="str">
        <x:v>OTIS</x:v>
      </x:c>
      <x:c r="L303" t="str">
        <x:v>ROT-063</x:v>
      </x:c>
      <x:c r="M303" t="str">
        <x:v>Botoeira</x:v>
      </x:c>
      <x:c r="N303" t="str">
        <x:v>Contato</x:v>
      </x:c>
      <x:c r="O303" t="str">
        <x:v>Mau contato</x:v>
      </x:c>
      <x:c r="P303" t="str">
        <x:v>Falha de comando</x:v>
      </x:c>
      <x:c r="Q303"/>
      <x:c r="R303" t="str">
        <x:v>Hospital São Paulo</x:v>
      </x:c>
      <x:c r="S303" t="str">
        <x:v>Sim</x:v>
      </x:c>
      <x:c r="T303" t="str">
        <x:v>Sim</x:v>
      </x:c>
      <x:c r="U303" t="str">
        <x:v>CT-2026-001</x:v>
      </x:c>
      <x:c r="V303" t="str">
        <x:v>SP-Centro</x:v>
      </x:c>
      <x:c r="W303" t="str">
        <x:v>João Silva</x:v>
      </x:c>
      <x:c r="X303" t="str">
        <x:v>Supervisor C</x:v>
      </x:c>
      <x:c r="Y303" t="str">
        <x:v>Rota Centro 01</x:v>
      </x:c>
      <x:c r="Z303" t="str">
        <x:v>Av. Paulista, 1000 - São Paulo/SP</x:v>
      </x:c>
      <x:c r="AA303" t="str">
        <x:v>São Paulo</x:v>
      </x:c>
      <x:c r="AB303" s="50" t="n">
        <x:v>46273.53125</x:v>
      </x:c>
      <x:c r="AC303" s="50" t="n">
        <x:v>46273.53472222222</x:v>
      </x:c>
      <x:c r="AD303" s="50" t="n">
        <x:v>46273.53958333333</x:v>
      </x:c>
      <x:c r="AE303" s="50" t="n">
        <x:v>46273.57847222222</x:v>
      </x:c>
      <x:c r="AF303" s="50"/>
      <x:c r="AG303" t="n">
        <x:v>68</x:v>
      </x:c>
      <x:c r="AH303"/>
      <x:c r="AI303" t="str">
        <x:v>Não</x:v>
      </x:c>
      <x:c r="AJ303" t="str">
        <x:v>Não</x:v>
      </x:c>
      <x:c r="AK303" t="n">
        <x:v>60</x:v>
      </x:c>
      <x:c r="AL303" t="n">
        <x:v>0</x:v>
      </x:c>
      <x:c r="AM303" s="64" t="n">
        <x:v>2.25</x:v>
      </x:c>
      <x:c r="AN303" t="n">
        <x:v>2</x:v>
      </x:c>
      <x:c r="AO303" t="str">
        <x:v>Vermelho</x:v>
      </x:c>
      <x:c r="AP303" t="str">
        <x:v>SLA sintético excedido (tempo acumulado ≥ 100% do SLA)</x:v>
      </x:c>
      <x:c r="AQ303" t="str">
        <x:v>Priorizar avaliação do chamado em Botoeira; SLA demonstrativo comprometido. Supervisor decide o encaminhamento.</x:v>
      </x:c>
      <x:c r="AR303" s="62" t="n">
        <x:v>881.5</x:v>
      </x:c>
      <x:c r="AS303" t="str">
        <x:v>Baixo</x:v>
      </x:c>
      <x:c r="AT303" s="50" t="n">
        <x:v>46273.625</x:v>
      </x:c>
      <x:c r="AU303" t="str">
        <x:v>T09</x:v>
      </x:c>
      <x:c r="AV303" t="str">
        <x:v>Ocorrência adicional sintética; perfil inspirado em CH-20260908-007</x:v>
      </x:c>
    </x:row>
    <x:row r="304">
      <x:c r="A304" t="str">
        <x:v>CH-20260908-040</x:v>
      </x:c>
      <x:c r="B304" t="str">
        <x:v>Iluminação de Cabine</x:v>
      </x:c>
      <x:c r="C304" t="str">
        <x:v>Iluminação inoperante</x:v>
      </x:c>
      <x:c r="D304" t="str">
        <x:v>Cabine com iluminação parcial ou total indisponível.</x:v>
      </x:c>
      <x:c r="E304" t="str">
        <x:v>Concluído</x:v>
      </x:c>
      <x:c r="F304" t="str">
        <x:v>IoT</x:v>
      </x:c>
      <x:c r="G304" t="str">
        <x:v>E-140</x:v>
      </x:c>
      <x:c r="H304" t="str">
        <x:v>Elevador Social</x:v>
      </x:c>
      <x:c r="I304" t="str">
        <x:v>Microprocessado</x:v>
      </x:c>
      <x:c r="J304" t="str">
        <x:v>Gearless</x:v>
      </x:c>
      <x:c r="K304" t="str">
        <x:v>OTIS</x:v>
      </x:c>
      <x:c r="L304" t="str">
        <x:v>ROT-052</x:v>
      </x:c>
      <x:c r="M304" t="str">
        <x:v>Elétrica</x:v>
      </x:c>
      <x:c r="N304" t="str">
        <x:v>Fonte</x:v>
      </x:c>
      <x:c r="O304" t="str">
        <x:v>Sem alimentação</x:v>
      </x:c>
      <x:c r="P304" t="str">
        <x:v>Falha elétrica</x:v>
      </x:c>
      <x:c r="Q304" t="str">
        <x:v>Diagnóstico e teste funcional simulados em Elétrica; encerramento demonstrativo, sem movimentação de estoque comprovada.</x:v>
      </x:c>
      <x:c r="R304" t="str">
        <x:v>Shopping Center Norte</x:v>
      </x:c>
      <x:c r="S304" t="str">
        <x:v>Não</x:v>
      </x:c>
      <x:c r="T304" t="str">
        <x:v>Sim</x:v>
      </x:c>
      <x:c r="U304" t="str">
        <x:v>CT-2026-002</x:v>
      </x:c>
      <x:c r="V304" t="str">
        <x:v>SP-Norte</x:v>
      </x:c>
      <x:c r="W304" t="str">
        <x:v>Marcos Lima</x:v>
      </x:c>
      <x:c r="X304" t="str">
        <x:v>Supervisor B</x:v>
      </x:c>
      <x:c r="Y304" t="str">
        <x:v>Rota Norte 02</x:v>
      </x:c>
      <x:c r="Z304" t="str">
        <x:v>Av. Otto Baumgart, 245 - São Paulo/SP</x:v>
      </x:c>
      <x:c r="AA304" t="str">
        <x:v>São Paulo</x:v>
      </x:c>
      <x:c r="AB304" s="50" t="n">
        <x:v>46273.53888888889</x:v>
      </x:c>
      <x:c r="AC304" s="50" t="n">
        <x:v>46273.54027777778</x:v>
      </x:c>
      <x:c r="AD304" s="50" t="n">
        <x:v>46273.54583333333</x:v>
      </x:c>
      <x:c r="AE304" s="50" t="n">
        <x:v>46273.55972222222</x:v>
      </x:c>
      <x:c r="AF304" s="50" t="n">
        <x:v>46273.59861111111</x:v>
      </x:c>
      <x:c r="AG304" t="n">
        <x:v>30</x:v>
      </x:c>
      <x:c r="AH304" t="n">
        <x:v>51</x:v>
      </x:c>
      <x:c r="AI304" t="str">
        <x:v>Não</x:v>
      </x:c>
      <x:c r="AJ304" t="str">
        <x:v>Não</x:v>
      </x:c>
      <x:c r="AK304" t="n">
        <x:v>90</x:v>
      </x:c>
      <x:c r="AL304" t="n">
        <x:v>0</x:v>
      </x:c>
      <x:c r="AM304" s="64" t="n">
        <x:v>0.9</x:v>
      </x:c>
      <x:c r="AN304" t="n">
        <x:v>0</x:v>
      </x:c>
      <x:c r="AO304" t="str">
        <x:v>Laranja</x:v>
      </x:c>
      <x:c r="AP304" t="str">
        <x:v>janela de intervenção: tempo acumulado ≥ 80% do SLA</x:v>
      </x:c>
      <x:c r="AQ304" t="str">
        <x:v>Encerramento demonstrativo de Elétrica; verificar fechamento e histórico para aprendizado. Sem despacho automático.</x:v>
      </x:c>
      <x:c r="AR304" s="62" t="n">
        <x:v>770</x:v>
      </x:c>
      <x:c r="AS304" t="str">
        <x:v>Médio</x:v>
      </x:c>
      <x:c r="AT304" s="50" t="n">
        <x:v>46273.625</x:v>
      </x:c>
      <x:c r="AU304" t="str">
        <x:v>T09</x:v>
      </x:c>
      <x:c r="AV304" t="str">
        <x:v>Ocorrência adicional sintética; perfil inspirado em CH-20260908-014</x:v>
      </x:c>
    </x:row>
    <x:row r="305">
      <x:c r="A305" t="str">
        <x:v>CH-20260908-041</x:v>
      </x:c>
      <x:c r="B305" t="str">
        <x:v>Falha de Tração</x:v>
      </x:c>
      <x:c r="C305" t="str">
        <x:v>Movimento irregular</x:v>
      </x:c>
      <x:c r="D305" t="str">
        <x:v>Equipamento apresenta perda de tração.</x:v>
      </x:c>
      <x:c r="E305" t="str">
        <x:v>Concluído</x:v>
      </x:c>
      <x:c r="F305" t="str">
        <x:v>Central de Atendimento</x:v>
      </x:c>
      <x:c r="G305" t="str">
        <x:v>E-141</x:v>
      </x:c>
      <x:c r="H305" t="str">
        <x:v>Elevador Social</x:v>
      </x:c>
      <x:c r="I305" t="str">
        <x:v>Microprocessado</x:v>
      </x:c>
      <x:c r="J305" t="str">
        <x:v>Gearless</x:v>
      </x:c>
      <x:c r="K305" t="str">
        <x:v>OTIS</x:v>
      </x:c>
      <x:c r="L305" t="str">
        <x:v>ROT-041</x:v>
      </x:c>
      <x:c r="M305" t="str">
        <x:v>Máquina de Tração</x:v>
      </x:c>
      <x:c r="N305" t="str">
        <x:v>Inversor</x:v>
      </x:c>
      <x:c r="O305" t="str">
        <x:v>Oscilação</x:v>
      </x:c>
      <x:c r="P305" t="str">
        <x:v>Falha de movimento</x:v>
      </x:c>
      <x:c r="Q305" t="str">
        <x:v>Diagnóstico e teste funcional simulados em Máquina de Tração; encerramento demonstrativo, sem movimentação de estoque comprovada.</x:v>
      </x:c>
      <x:c r="R305" t="str">
        <x:v>Edifício Corporate</x:v>
      </x:c>
      <x:c r="S305" t="str">
        <x:v>Não</x:v>
      </x:c>
      <x:c r="T305" t="str">
        <x:v>Sim</x:v>
      </x:c>
      <x:c r="U305" t="str">
        <x:v>CT-2026-003</x:v>
      </x:c>
      <x:c r="V305" t="str">
        <x:v>SP-Oeste</x:v>
      </x:c>
      <x:c r="W305" t="str">
        <x:v>Ana Costa</x:v>
      </x:c>
      <x:c r="X305" t="str">
        <x:v>Supervisor A</x:v>
      </x:c>
      <x:c r="Y305" t="str">
        <x:v>Rota Oeste 03</x:v>
      </x:c>
      <x:c r="Z305" t="str">
        <x:v>Av. Faria Lima, 3500 - São Paulo/SP</x:v>
      </x:c>
      <x:c r="AA305" t="str">
        <x:v>São Paulo</x:v>
      </x:c>
      <x:c r="AB305" s="50" t="n">
        <x:v>46273.54652777778</x:v>
      </x:c>
      <x:c r="AC305" s="50" t="n">
        <x:v>46273.54861111111</x:v>
      </x:c>
      <x:c r="AD305" s="50" t="n">
        <x:v>46273.55486111111</x:v>
      </x:c>
      <x:c r="AE305" s="50" t="n">
        <x:v>46273.57638888889</x:v>
      </x:c>
      <x:c r="AF305" s="50"/>
      <x:c r="AG305" t="n">
        <x:v>43</x:v>
      </x:c>
      <x:c r="AH305" t="n">
        <x:v>68</x:v>
      </x:c>
      <x:c r="AI305" t="str">
        <x:v>Não</x:v>
      </x:c>
      <x:c r="AJ305" t="str">
        <x:v>Sim</x:v>
      </x:c>
      <x:c r="AK305" t="n">
        <x:v>120</x:v>
      </x:c>
      <x:c r="AL305" t="n">
        <x:v>0</x:v>
      </x:c>
      <x:c r="AM305" s="64" t="n">
        <x:v>0.925</x:v>
      </x:c>
      <x:c r="AN305" t="n">
        <x:v>1</x:v>
      </x:c>
      <x:c r="AO305" t="str">
        <x:v>Laranja</x:v>
      </x:c>
      <x:c r="AP305" t="str">
        <x:v>janela de intervenção: tempo acumulado ≥ 80% do SLA</x:v>
      </x:c>
      <x:c r="AQ305" t="str">
        <x:v>Encerramento demonstrativo de Máquina de Tração; verificar fechamento e histórico para aprendizado. Sem despacho automático.</x:v>
      </x:c>
      <x:c r="AR305" s="62" t="n">
        <x:v>1250.5</x:v>
      </x:c>
      <x:c r="AS305" t="str">
        <x:v>Alto</x:v>
      </x:c>
      <x:c r="AT305" s="50" t="n">
        <x:v>46273.625</x:v>
      </x:c>
      <x:c r="AU305" t="str">
        <x:v>T09</x:v>
      </x:c>
      <x:c r="AV305" t="str">
        <x:v>Ocorrência adicional sintética; perfil inspirado em CH-20260908-021</x:v>
      </x:c>
    </x:row>
    <x:row r="306">
      <x:c r="A306" t="str">
        <x:v>CH-20260908-042</x:v>
      </x:c>
      <x:c r="B306" t="str">
        <x:v>Painel sem comunicação</x:v>
      </x:c>
      <x:c r="C306" t="str">
        <x:v>Falha de comunicação</x:v>
      </x:c>
      <x:c r="D306" t="str">
        <x:v>Painel não responde aos comandos.</x:v>
      </x:c>
      <x:c r="E306" t="str">
        <x:v>Em atendimento</x:v>
      </x:c>
      <x:c r="F306" t="str">
        <x:v>Monitoramento Remoto</x:v>
      </x:c>
      <x:c r="G306" t="str">
        <x:v>E-142</x:v>
      </x:c>
      <x:c r="H306" t="str">
        <x:v>Elevador Social</x:v>
      </x:c>
      <x:c r="I306" t="str">
        <x:v>Microprocessado</x:v>
      </x:c>
      <x:c r="J306" t="str">
        <x:v>Gearless</x:v>
      </x:c>
      <x:c r="K306" t="str">
        <x:v>OTIS</x:v>
      </x:c>
      <x:c r="L306" t="str">
        <x:v>ROT-033</x:v>
      </x:c>
      <x:c r="M306" t="str">
        <x:v>Painel/Comando</x:v>
      </x:c>
      <x:c r="N306" t="str">
        <x:v>Interface</x:v>
      </x:c>
      <x:c r="O306" t="str">
        <x:v>Sem comunicação</x:v>
      </x:c>
      <x:c r="P306" t="str">
        <x:v>Falha lógica</x:v>
      </x:c>
      <x:c r="Q306"/>
      <x:c r="R306" t="str">
        <x:v>Condomínio Alameda</x:v>
      </x:c>
      <x:c r="S306" t="str">
        <x:v>Não</x:v>
      </x:c>
      <x:c r="T306" t="str">
        <x:v>Não</x:v>
      </x:c>
      <x:c r="U306" t="str">
        <x:v>CT-2026-004</x:v>
      </x:c>
      <x:c r="V306" t="str">
        <x:v>SP-Sul</x:v>
      </x:c>
      <x:c r="W306" t="str">
        <x:v>Carlos Souza</x:v>
      </x:c>
      <x:c r="X306" t="str">
        <x:v>Supervisor D</x:v>
      </x:c>
      <x:c r="Y306" t="str">
        <x:v>Rota Sul 04</x:v>
      </x:c>
      <x:c r="Z306" t="str">
        <x:v>R. das Acácias, 420 - São Paulo/SP</x:v>
      </x:c>
      <x:c r="AA306" t="str">
        <x:v>São Paulo</x:v>
      </x:c>
      <x:c r="AB306" s="50" t="n">
        <x:v>46273.55625</x:v>
      </x:c>
      <x:c r="AC306" s="50" t="n">
        <x:v>46273.55902777778</x:v>
      </x:c>
      <x:c r="AD306" s="50" t="n">
        <x:v>46273.56180555555</x:v>
      </x:c>
      <x:c r="AE306" s="50" t="n">
        <x:v>46273.595138888886</x:v>
      </x:c>
      <x:c r="AF306" s="50"/>
      <x:c r="AG306" t="n">
        <x:v>56</x:v>
      </x:c>
      <x:c r="AH306"/>
      <x:c r="AI306" t="str">
        <x:v>Não</x:v>
      </x:c>
      <x:c r="AJ306" t="str">
        <x:v>Não</x:v>
      </x:c>
      <x:c r="AK306" t="n">
        <x:v>180</x:v>
      </x:c>
      <x:c r="AL306" t="n">
        <x:v>0</x:v>
      </x:c>
      <x:c r="AM306" s="64" t="n">
        <x:v>0.55</x:v>
      </x:c>
      <x:c r="AN306" t="n">
        <x:v>3</x:v>
      </x:c>
      <x:c r="AO306" t="str">
        <x:v>Amarelo</x:v>
      </x:c>
      <x:c r="AP306" t="str">
        <x:v>atenção: tempo acumulado ≥ 55% do SLA</x:v>
      </x:c>
      <x:c r="AQ306" t="str">
        <x:v>Acompanhar sinais em Painel/Comando; correlacionar histórico e SLA antes de recomendar intervenção.</x:v>
      </x:c>
      <x:c r="AR306" s="62" t="n">
        <x:v>1671</x:v>
      </x:c>
      <x:c r="AS306" t="str">
        <x:v>Alto</x:v>
      </x:c>
      <x:c r="AT306" s="50" t="n">
        <x:v>46273.625</x:v>
      </x:c>
      <x:c r="AU306" t="str">
        <x:v>T09</x:v>
      </x:c>
      <x:c r="AV306" t="str">
        <x:v>Ocorrência adicional sintética; perfil inspirado em CH-20260908-004</x:v>
      </x:c>
    </x:row>
    <x:row r="307">
      <x:c r="A307" t="str">
        <x:v>CH-20260908-043</x:v>
      </x:c>
      <x:c r="B307" t="str">
        <x:v>Porta não fecha</x:v>
      </x:c>
      <x:c r="C307" t="str">
        <x:v>Falha no fechamento</x:v>
      </x:c>
      <x:c r="D307" t="str">
        <x:v>Porta permanece aberta e impede partida.</x:v>
      </x:c>
      <x:c r="E307" t="str">
        <x:v>Em atendimento</x:v>
      </x:c>
      <x:c r="F307" t="str">
        <x:v>Aplicativo Cliente</x:v>
      </x:c>
      <x:c r="G307" t="str">
        <x:v>E-121</x:v>
      </x:c>
      <x:c r="H307" t="str">
        <x:v>Elevador Social</x:v>
      </x:c>
      <x:c r="I307" t="str">
        <x:v>Microprocessado</x:v>
      </x:c>
      <x:c r="J307" t="str">
        <x:v>Gearless</x:v>
      </x:c>
      <x:c r="K307" t="str">
        <x:v>OTIS</x:v>
      </x:c>
      <x:c r="L307" t="str">
        <x:v>ROT-021</x:v>
      </x:c>
      <x:c r="M307" t="str">
        <x:v>Operador de Porta</x:v>
      </x:c>
      <x:c r="N307" t="str">
        <x:v>Sensor de porta</x:v>
      </x:c>
      <x:c r="O307" t="str">
        <x:v>Falha de leitura</x:v>
      </x:c>
      <x:c r="P307" t="str">
        <x:v>Porta aberta</x:v>
      </x:c>
      <x:c r="Q307"/>
      <x:c r="R307" t="str">
        <x:v>Aeroporto Terminal 3</x:v>
      </x:c>
      <x:c r="S307" t="str">
        <x:v>Sim</x:v>
      </x:c>
      <x:c r="T307" t="str">
        <x:v>Sim</x:v>
      </x:c>
      <x:c r="U307" t="str">
        <x:v>CT-2026-005</x:v>
      </x:c>
      <x:c r="V307" t="str">
        <x:v>GRU</x:v>
      </x:c>
      <x:c r="W307" t="str">
        <x:v>Renata Alves</x:v>
      </x:c>
      <x:c r="X307" t="str">
        <x:v>Supervisor C</x:v>
      </x:c>
      <x:c r="Y307" t="str">
        <x:v>Rota GRU 05</x:v>
      </x:c>
      <x:c r="Z307" t="str">
        <x:v>Rod. Hélio Smidt, s/n - Guarulhos/SP</x:v>
      </x:c>
      <x:c r="AA307" t="str">
        <x:v>São Paulo</x:v>
      </x:c>
      <x:c r="AB307" s="50" t="n">
        <x:v>46273.56597222222</x:v>
      </x:c>
      <x:c r="AC307" s="50" t="n">
        <x:v>46273.569444444445</x:v>
      </x:c>
      <x:c r="AD307" s="50" t="n">
        <x:v>46273.572916666664</x:v>
      </x:c>
      <x:c r="AE307" s="50" t="n">
        <x:v>46273.61388888889</x:v>
      </x:c>
      <x:c r="AF307" s="50"/>
      <x:c r="AG307" t="n">
        <x:v>69</x:v>
      </x:c>
      <x:c r="AH307"/>
      <x:c r="AI307" t="str">
        <x:v>Não</x:v>
      </x:c>
      <x:c r="AJ307" t="str">
        <x:v>Não</x:v>
      </x:c>
      <x:c r="AK307" t="n">
        <x:v>45</x:v>
      </x:c>
      <x:c r="AL307" t="n">
        <x:v>0</x:v>
      </x:c>
      <x:c r="AM307" s="64" t="n">
        <x:v>1.8889</x:v>
      </x:c>
      <x:c r="AN307" t="n">
        <x:v>3</x:v>
      </x:c>
      <x:c r="AO307" t="str">
        <x:v>Vermelho</x:v>
      </x:c>
      <x:c r="AP307" t="str">
        <x:v>SLA sintético excedido (tempo acumulado ≥ 100% do SLA)</x:v>
      </x:c>
      <x:c r="AQ307" t="str">
        <x:v>Priorizar avaliação do chamado em Operador de Porta; SLA demonstrativo comprometido. Supervisor decide o encaminhamento.</x:v>
      </x:c>
      <x:c r="AR307" s="62" t="n">
        <x:v>995.5</x:v>
      </x:c>
      <x:c r="AS307" t="str">
        <x:v>Médio</x:v>
      </x:c>
      <x:c r="AT307" s="50" t="n">
        <x:v>46273.625</x:v>
      </x:c>
      <x:c r="AU307" t="str">
        <x:v>T09</x:v>
      </x:c>
      <x:c r="AV307" t="str">
        <x:v>Ocorrência adicional sintética; perfil inspirado em CH-20260908-011</x:v>
      </x:c>
    </x:row>
    <x:row r="308">
      <x:c r="A308" t="str">
        <x:v>CH-20260908-044</x:v>
      </x:c>
      <x:c r="B308" t="str">
        <x:v>Falha de Nivelamento</x:v>
      </x:c>
      <x:c r="C308" t="str">
        <x:v>Cabine desnivelada</x:v>
      </x:c>
      <x:c r="D308" t="str">
        <x:v>Cabine parou fora do nível do pavimento.</x:v>
      </x:c>
      <x:c r="E308" t="str">
        <x:v>Em atendimento</x:v>
      </x:c>
      <x:c r="F308" t="str">
        <x:v>IoT</x:v>
      </x:c>
      <x:c r="G308" t="str">
        <x:v>E-144</x:v>
      </x:c>
      <x:c r="H308" t="str">
        <x:v>Elevador Social</x:v>
      </x:c>
      <x:c r="I308" t="str">
        <x:v>Microprocessado</x:v>
      </x:c>
      <x:c r="J308" t="str">
        <x:v>Gearless</x:v>
      </x:c>
      <x:c r="K308" t="str">
        <x:v>OTIS</x:v>
      </x:c>
      <x:c r="L308" t="str">
        <x:v>ROT-014</x:v>
      </x:c>
      <x:c r="M308" t="str">
        <x:v>Sensor de Nível</x:v>
      </x:c>
      <x:c r="N308" t="str">
        <x:v>Sensor</x:v>
      </x:c>
      <x:c r="O308" t="str">
        <x:v>Leitura inconsistente</x:v>
      </x:c>
      <x:c r="P308" t="str">
        <x:v>Falha de nivelamento</x:v>
      </x:c>
      <x:c r="Q308"/>
      <x:c r="R308" t="str">
        <x:v>Universidade Central</x:v>
      </x:c>
      <x:c r="S308" t="str">
        <x:v>Não</x:v>
      </x:c>
      <x:c r="T308" t="str">
        <x:v>Sim</x:v>
      </x:c>
      <x:c r="U308" t="str">
        <x:v>CT-2026-006</x:v>
      </x:c>
      <x:c r="V308" t="str">
        <x:v>SP-Leste</x:v>
      </x:c>
      <x:c r="W308" t="str">
        <x:v>Paulo Mendes</x:v>
      </x:c>
      <x:c r="X308" t="str">
        <x:v>Supervisor B</x:v>
      </x:c>
      <x:c r="Y308" t="str">
        <x:v>Rota Leste 06</x:v>
      </x:c>
      <x:c r="Z308" t="str">
        <x:v>Av. Central, 850 - São Paulo/SP</x:v>
      </x:c>
      <x:c r="AA308" t="str">
        <x:v>São Paulo</x:v>
      </x:c>
      <x:c r="AB308" s="50" t="n">
        <x:v>46273.575694444444</x:v>
      </x:c>
      <x:c r="AC308" s="50" t="n">
        <x:v>46273.57708333333</x:v>
      </x:c>
      <x:c r="AD308" s="50" t="n">
        <x:v>46273.58125</x:v>
      </x:c>
      <x:c r="AE308" s="50" t="n">
        <x:v>46273.59722222222</x:v>
      </x:c>
      <x:c r="AF308" s="50"/>
      <x:c r="AG308" t="n">
        <x:v>31</x:v>
      </x:c>
      <x:c r="AH308"/>
      <x:c r="AI308" t="str">
        <x:v>Não</x:v>
      </x:c>
      <x:c r="AJ308" t="str">
        <x:v>Não</x:v>
      </x:c>
      <x:c r="AK308" t="n">
        <x:v>120</x:v>
      </x:c>
      <x:c r="AL308" t="n">
        <x:v>0</x:v>
      </x:c>
      <x:c r="AM308" s="64" t="n">
        <x:v>0.5917</x:v>
      </x:c>
      <x:c r="AN308" t="n">
        <x:v>1</x:v>
      </x:c>
      <x:c r="AO308" t="str">
        <x:v>Amarelo</x:v>
      </x:c>
      <x:c r="AP308" t="str">
        <x:v>atenção: tempo acumulado ≥ 55% do SLA</x:v>
      </x:c>
      <x:c r="AQ308" t="str">
        <x:v>Acompanhar sinais em Sensor de Nível; correlacionar histórico e SLA antes de recomendar intervenção.</x:v>
      </x:c>
      <x:c r="AR308" s="62" t="n">
        <x:v>767</x:v>
      </x:c>
      <x:c r="AS308" t="str">
        <x:v>Baixo</x:v>
      </x:c>
      <x:c r="AT308" s="50" t="n">
        <x:v>46273.625</x:v>
      </x:c>
      <x:c r="AU308" t="str">
        <x:v>T09</x:v>
      </x:c>
      <x:c r="AV308" t="str">
        <x:v>Ocorrência adicional sintética; perfil inspirado em CH-20260908-018</x:v>
      </x:c>
    </x:row>
    <x:row r="309">
      <x:c r="A309" t="str">
        <x:v>CH-20260908-045</x:v>
      </x:c>
      <x:c r="B309" t="str">
        <x:v>Passageiro Preso</x:v>
      </x:c>
      <x:c r="C309" t="str">
        <x:v>Elevador parado entre andares</x:v>
      </x:c>
      <x:c r="D309" t="str">
        <x:v>Cabine imobilizada com passageiro no interior.</x:v>
      </x:c>
      <x:c r="E309" t="str">
        <x:v>Em atendimento</x:v>
      </x:c>
      <x:c r="F309" t="str">
        <x:v>Central de Atendimento</x:v>
      </x:c>
      <x:c r="G309" t="str">
        <x:v>E-145</x:v>
      </x:c>
      <x:c r="H309" t="str">
        <x:v>Elevador Social</x:v>
      </x:c>
      <x:c r="I309" t="str">
        <x:v>Microprocessado</x:v>
      </x:c>
      <x:c r="J309" t="str">
        <x:v>Gearless</x:v>
      </x:c>
      <x:c r="K309" t="str">
        <x:v>OTIS</x:v>
      </x:c>
      <x:c r="L309" t="str">
        <x:v>ROT-001</x:v>
      </x:c>
      <x:c r="M309" t="str">
        <x:v>Tração</x:v>
      </x:c>
      <x:c r="N309" t="str">
        <x:v>Freio</x:v>
      </x:c>
      <x:c r="O309" t="str">
        <x:v>Travamento</x:v>
      </x:c>
      <x:c r="P309" t="str">
        <x:v>Parada total</x:v>
      </x:c>
      <x:c r="Q309"/>
      <x:c r="R309" t="str">
        <x:v>Hospital São Paulo</x:v>
      </x:c>
      <x:c r="S309" t="str">
        <x:v>Sim</x:v>
      </x:c>
      <x:c r="T309" t="str">
        <x:v>Sim</x:v>
      </x:c>
      <x:c r="U309" t="str">
        <x:v>CT-2026-001</x:v>
      </x:c>
      <x:c r="V309" t="str">
        <x:v>SP-Centro</x:v>
      </x:c>
      <x:c r="W309" t="str">
        <x:v>João Silva</x:v>
      </x:c>
      <x:c r="X309" t="str">
        <x:v>Supervisor A</x:v>
      </x:c>
      <x:c r="Y309" t="str">
        <x:v>Rota Centro 01</x:v>
      </x:c>
      <x:c r="Z309" t="str">
        <x:v>Av. Paulista, 1000 - São Paulo/SP</x:v>
      </x:c>
      <x:c r="AA309" t="str">
        <x:v>São Paulo</x:v>
      </x:c>
      <x:c r="AB309" s="50" t="n">
        <x:v>46273.58819444444</x:v>
      </x:c>
      <x:c r="AC309" s="50" t="n">
        <x:v>46273.59027777778</x:v>
      </x:c>
      <x:c r="AD309" s="50" t="n">
        <x:v>46273.595138888886</x:v>
      </x:c>
      <x:c r="AE309" s="50" t="n">
        <x:v>46273.61875</x:v>
      </x:c>
      <x:c r="AF309" s="50"/>
      <x:c r="AG309" t="n">
        <x:v>44</x:v>
      </x:c>
      <x:c r="AH309"/>
      <x:c r="AI309" t="str">
        <x:v>Sim</x:v>
      </x:c>
      <x:c r="AJ309" t="str">
        <x:v>Sim</x:v>
      </x:c>
      <x:c r="AK309" t="n">
        <x:v>60</x:v>
      </x:c>
      <x:c r="AL309" t="n">
        <x:v>0</x:v>
      </x:c>
      <x:c r="AM309" s="64" t="n">
        <x:v>0.8833</x:v>
      </x:c>
      <x:c r="AN309" t="n">
        <x:v>0</x:v>
      </x:c>
      <x:c r="AO309" t="str">
        <x:v>Vermelho</x:v>
      </x:c>
      <x:c r="AP309" t="str">
        <x:v>passageiro preso; tempo acumulado ≥ 85% do SLA</x:v>
      </x:c>
      <x:c r="AQ309" t="str">
        <x:v>Priorizar avaliação do chamado em Tração; SLA demonstrativo comprometido. Supervisor decide o encaminhamento.</x:v>
      </x:c>
      <x:c r="AR309" s="62" t="n">
        <x:v>1074.5</x:v>
      </x:c>
      <x:c r="AS309" t="str">
        <x:v>Médio</x:v>
      </x:c>
      <x:c r="AT309" s="50" t="n">
        <x:v>46273.625</x:v>
      </x:c>
      <x:c r="AU309" t="str">
        <x:v>T09</x:v>
      </x:c>
      <x:c r="AV309" t="str">
        <x:v>Ocorrência adicional sintética; perfil inspirado em CH-20260908-001</x:v>
      </x:c>
    </x:row>
    <x:row r="310">
      <x:c r="A310" t="str">
        <x:v>CH-20260908-046</x:v>
      </x:c>
      <x:c r="B310" t="str">
        <x:v>Parada Intermitente</x:v>
      </x:c>
      <x:c r="C310" t="str">
        <x:v>Paradas aleatórias</x:v>
      </x:c>
      <x:c r="D310" t="str">
        <x:v>Equipamento interrompe operação de forma intermitente.</x:v>
      </x:c>
      <x:c r="E310" t="str">
        <x:v>Técnico a caminho</x:v>
      </x:c>
      <x:c r="F310" t="str">
        <x:v>Monitoramento Remoto</x:v>
      </x:c>
      <x:c r="G310" t="str">
        <x:v>E-146</x:v>
      </x:c>
      <x:c r="H310" t="str">
        <x:v>Elevador Social</x:v>
      </x:c>
      <x:c r="I310" t="str">
        <x:v>Microprocessado</x:v>
      </x:c>
      <x:c r="J310" t="str">
        <x:v>Gearless</x:v>
      </x:c>
      <x:c r="K310" t="str">
        <x:v>OTIS</x:v>
      </x:c>
      <x:c r="L310" t="str">
        <x:v>ROT-074</x:v>
      </x:c>
      <x:c r="M310" t="str">
        <x:v>Painel/Comando</x:v>
      </x:c>
      <x:c r="N310" t="str">
        <x:v>Placa</x:v>
      </x:c>
      <x:c r="O310" t="str">
        <x:v>Intermitência</x:v>
      </x:c>
      <x:c r="P310" t="str">
        <x:v>Falha intermitente</x:v>
      </x:c>
      <x:c r="Q310"/>
      <x:c r="R310" t="str">
        <x:v>Shopping Center Norte</x:v>
      </x:c>
      <x:c r="S310" t="str">
        <x:v>Não</x:v>
      </x:c>
      <x:c r="T310" t="str">
        <x:v>Sim</x:v>
      </x:c>
      <x:c r="U310" t="str">
        <x:v>CT-2026-002</x:v>
      </x:c>
      <x:c r="V310" t="str">
        <x:v>SP-Norte</x:v>
      </x:c>
      <x:c r="W310" t="str">
        <x:v>Marcos Lima</x:v>
      </x:c>
      <x:c r="X310" t="str">
        <x:v>Supervisor D</x:v>
      </x:c>
      <x:c r="Y310" t="str">
        <x:v>Rota Norte 02</x:v>
      </x:c>
      <x:c r="Z310" t="str">
        <x:v>Av. Otto Baumgart, 245 - São Paulo/SP</x:v>
      </x:c>
      <x:c r="AA310" t="str">
        <x:v>São Paulo</x:v>
      </x:c>
      <x:c r="AB310" s="50" t="n">
        <x:v>46273.597916666666</x:v>
      </x:c>
      <x:c r="AC310" s="50" t="n">
        <x:v>46273.600694444445</x:v>
      </x:c>
      <x:c r="AD310" s="50" t="n">
        <x:v>46273.60625</x:v>
      </x:c>
      <x:c r="AE310" s="50"/>
      <x:c r="AF310" s="50"/>
      <x:c r="AG310"/>
      <x:c r="AH310"/>
      <x:c r="AI310" t="str">
        <x:v>Não</x:v>
      </x:c>
      <x:c r="AJ310" t="str">
        <x:v>Sim</x:v>
      </x:c>
      <x:c r="AK310" t="n">
        <x:v>90</x:v>
      </x:c>
      <x:c r="AL310" t="n">
        <x:v>18</x:v>
      </x:c>
      <x:c r="AM310" s="64" t="n">
        <x:v>0.4333</x:v>
      </x:c>
      <x:c r="AN310" t="n">
        <x:v>4</x:v>
      </x:c>
      <x:c r="AO310" t="str">
        <x:v>Laranja</x:v>
      </x:c>
      <x:c r="AP310" t="str">
        <x:v>janela de intervenção: recorrência ≥ 4/30d e equipamento parado</x:v>
      </x:c>
      <x:c r="AQ310" t="str">
        <x:v>Janela de intervenção em Painel/Comando; revisar recorrências (4/30d) e contexto antes de escalar.</x:v>
      </x:c>
      <x:c r="AR310" s="62" t="n">
        <x:v>1668</x:v>
      </x:c>
      <x:c r="AS310" t="str">
        <x:v>Alto</x:v>
      </x:c>
      <x:c r="AT310" s="50" t="n">
        <x:v>46273.625</x:v>
      </x:c>
      <x:c r="AU310" t="str">
        <x:v>T09</x:v>
      </x:c>
      <x:c r="AV310" t="str">
        <x:v>Ocorrência adicional sintética; perfil inspirado em CH-20260908-008</x:v>
      </x:c>
    </x:row>
    <x:row r="311">
      <x:c r="A311" t="str">
        <x:v>CH-20260908-047</x:v>
      </x:c>
      <x:c r="B311" t="str">
        <x:v>Botão de Chamada</x:v>
      </x:c>
      <x:c r="C311" t="str">
        <x:v>Botão não responde</x:v>
      </x:c>
      <x:c r="D311" t="str">
        <x:v>Botão de chamada não registra comando.</x:v>
      </x:c>
      <x:c r="E311" t="str">
        <x:v>Técnico a caminho</x:v>
      </x:c>
      <x:c r="F311" t="str">
        <x:v>Aplicativo Cliente</x:v>
      </x:c>
      <x:c r="G311" t="str">
        <x:v>E-147</x:v>
      </x:c>
      <x:c r="H311" t="str">
        <x:v>Elevador Social</x:v>
      </x:c>
      <x:c r="I311" t="str">
        <x:v>Microprocessado</x:v>
      </x:c>
      <x:c r="J311" t="str">
        <x:v>Gearless</x:v>
      </x:c>
      <x:c r="K311" t="str">
        <x:v>OTIS</x:v>
      </x:c>
      <x:c r="L311" t="str">
        <x:v>ROT-063</x:v>
      </x:c>
      <x:c r="M311" t="str">
        <x:v>Botoeira</x:v>
      </x:c>
      <x:c r="N311" t="str">
        <x:v>Contato</x:v>
      </x:c>
      <x:c r="O311" t="str">
        <x:v>Mau contato</x:v>
      </x:c>
      <x:c r="P311" t="str">
        <x:v>Falha de comando</x:v>
      </x:c>
      <x:c r="Q311"/>
      <x:c r="R311" t="str">
        <x:v>Edifício Corporate</x:v>
      </x:c>
      <x:c r="S311" t="str">
        <x:v>Não</x:v>
      </x:c>
      <x:c r="T311" t="str">
        <x:v>Sim</x:v>
      </x:c>
      <x:c r="U311" t="str">
        <x:v>CT-2026-003</x:v>
      </x:c>
      <x:c r="V311" t="str">
        <x:v>SP-Oeste</x:v>
      </x:c>
      <x:c r="W311" t="str">
        <x:v>Ana Costa</x:v>
      </x:c>
      <x:c r="X311" t="str">
        <x:v>Supervisor C</x:v>
      </x:c>
      <x:c r="Y311" t="str">
        <x:v>Rota Oeste 03</x:v>
      </x:c>
      <x:c r="Z311" t="str">
        <x:v>Av. Faria Lima, 3500 - São Paulo/SP</x:v>
      </x:c>
      <x:c r="AA311" t="str">
        <x:v>São Paulo</x:v>
      </x:c>
      <x:c r="AB311" s="50" t="n">
        <x:v>46273.60763888889</x:v>
      </x:c>
      <x:c r="AC311" s="50" t="n">
        <x:v>46273.61111111111</x:v>
      </x:c>
      <x:c r="AD311" s="50" t="n">
        <x:v>46273.61736111111</x:v>
      </x:c>
      <x:c r="AE311" s="50"/>
      <x:c r="AF311" s="50"/>
      <x:c r="AG311"/>
      <x:c r="AH311"/>
      <x:c r="AI311" t="str">
        <x:v>Não</x:v>
      </x:c>
      <x:c r="AJ311" t="str">
        <x:v>Não</x:v>
      </x:c>
      <x:c r="AK311" t="n">
        <x:v>120</x:v>
      </x:c>
      <x:c r="AL311" t="n">
        <x:v>45</x:v>
      </x:c>
      <x:c r="AM311" s="64" t="n">
        <x:v>0.2083</x:v>
      </x:c>
      <x:c r="AN311" t="n">
        <x:v>2</x:v>
      </x:c>
      <x:c r="AO311" t="str">
        <x:v>Amarelo</x:v>
      </x:c>
      <x:c r="AP311" t="str">
        <x:v>atenção: recorrências em 30 dias</x:v>
      </x:c>
      <x:c r="AQ311" t="str">
        <x:v>Acompanhar sinais em Botoeira; correlacionar histórico e SLA antes de recomendar intervenção.</x:v>
      </x:c>
      <x:c r="AR311" s="62" t="n">
        <x:v>1008.5</x:v>
      </x:c>
      <x:c r="AS311" t="str">
        <x:v>Baixo</x:v>
      </x:c>
      <x:c r="AT311" s="50" t="n">
        <x:v>46273.625</x:v>
      </x:c>
      <x:c r="AU311" t="str">
        <x:v>T09</x:v>
      </x:c>
      <x:c r="AV311" t="str">
        <x:v>Ocorrência adicional sintética; perfil inspirado em CH-20260908-015</x:v>
      </x:c>
    </x:row>
    <x:row r="312">
      <x:c r="A312" t="str">
        <x:v>CH-20260908-048</x:v>
      </x:c>
      <x:c r="B312" t="str">
        <x:v>Iluminação de Cabine</x:v>
      </x:c>
      <x:c r="C312" t="str">
        <x:v>Iluminação inoperante</x:v>
      </x:c>
      <x:c r="D312" t="str">
        <x:v>Cabine com iluminação parcial ou total indisponível.</x:v>
      </x:c>
      <x:c r="E312" t="str">
        <x:v>Técnico a caminho</x:v>
      </x:c>
      <x:c r="F312" t="str">
        <x:v>IoT</x:v>
      </x:c>
      <x:c r="G312" t="str">
        <x:v>E-148</x:v>
      </x:c>
      <x:c r="H312" t="str">
        <x:v>Elevador Social</x:v>
      </x:c>
      <x:c r="I312" t="str">
        <x:v>Microprocessado</x:v>
      </x:c>
      <x:c r="J312" t="str">
        <x:v>Gearless</x:v>
      </x:c>
      <x:c r="K312" t="str">
        <x:v>OTIS</x:v>
      </x:c>
      <x:c r="L312" t="str">
        <x:v>ROT-052</x:v>
      </x:c>
      <x:c r="M312" t="str">
        <x:v>Elétrica</x:v>
      </x:c>
      <x:c r="N312" t="str">
        <x:v>Fonte</x:v>
      </x:c>
      <x:c r="O312" t="str">
        <x:v>Sem alimentação</x:v>
      </x:c>
      <x:c r="P312" t="str">
        <x:v>Falha elétrica</x:v>
      </x:c>
      <x:c r="Q312"/>
      <x:c r="R312" t="str">
        <x:v>Condomínio Alameda</x:v>
      </x:c>
      <x:c r="S312" t="str">
        <x:v>Não</x:v>
      </x:c>
      <x:c r="T312" t="str">
        <x:v>Não</x:v>
      </x:c>
      <x:c r="U312" t="str">
        <x:v>CT-2026-004</x:v>
      </x:c>
      <x:c r="V312" t="str">
        <x:v>SP-Sul</x:v>
      </x:c>
      <x:c r="W312" t="str">
        <x:v>Carlos Souza</x:v>
      </x:c>
      <x:c r="X312" t="str">
        <x:v>Supervisor B</x:v>
      </x:c>
      <x:c r="Y312" t="str">
        <x:v>Rota Sul 04</x:v>
      </x:c>
      <x:c r="Z312" t="str">
        <x:v>R. das Acácias, 420 - São Paulo/SP</x:v>
      </x:c>
      <x:c r="AA312" t="str">
        <x:v>São Paulo</x:v>
      </x:c>
      <x:c r="AB312" s="50" t="n">
        <x:v>46273.61736111111</x:v>
      </x:c>
      <x:c r="AC312" s="50" t="n">
        <x:v>46273.61875</x:v>
      </x:c>
      <x:c r="AD312" s="50" t="n">
        <x:v>46273.62152777778</x:v>
      </x:c>
      <x:c r="AE312" s="50"/>
      <x:c r="AF312" s="50"/>
      <x:c r="AG312"/>
      <x:c r="AH312"/>
      <x:c r="AI312" t="str">
        <x:v>Não</x:v>
      </x:c>
      <x:c r="AJ312" t="str">
        <x:v>Não</x:v>
      </x:c>
      <x:c r="AK312" t="n">
        <x:v>180</x:v>
      </x:c>
      <x:c r="AL312" t="n">
        <x:v>21</x:v>
      </x:c>
      <x:c r="AM312" s="64" t="n">
        <x:v>0.0611</x:v>
      </x:c>
      <x:c r="AN312" t="n">
        <x:v>0</x:v>
      </x:c>
      <x:c r="AO312" t="str">
        <x:v>Verde</x:v>
      </x:c>
      <x:c r="AP312" t="str">
        <x:v>operação dentro dos limiares sintéticos da demonstração</x:v>
      </x:c>
      <x:c r="AQ312" t="str">
        <x:v>Manter acompanhamento do componente Elétrica e dos indicadores operacionais.</x:v>
      </x:c>
      <x:c r="AR312" s="62" t="n">
        <x:v>897</x:v>
      </x:c>
      <x:c r="AS312" t="str">
        <x:v>Médio</x:v>
      </x:c>
      <x:c r="AT312" s="50" t="n">
        <x:v>46273.625</x:v>
      </x:c>
      <x:c r="AU312" t="str">
        <x:v>T09</x:v>
      </x:c>
      <x:c r="AV312" t="str">
        <x:v>Ocorrência adicional sintética; perfil inspirado em CH-20260908-022</x:v>
      </x:c>
    </x:row>
    <x:row r="313">
      <x:c r="A313" t="str">
        <x:v>CH-20260908-001</x:v>
      </x:c>
      <x:c r="B313" t="str">
        <x:v>Passageiro Preso</x:v>
      </x:c>
      <x:c r="C313" t="str">
        <x:v>Elevador parado entre andares</x:v>
      </x:c>
      <x:c r="D313" t="str">
        <x:v>Cabine imobilizada com passageiro no interior.</x:v>
      </x:c>
      <x:c r="E313" t="str">
        <x:v>Concluído</x:v>
      </x:c>
      <x:c r="F313" t="str">
        <x:v>Central de Atendimento</x:v>
      </x:c>
      <x:c r="G313" t="str">
        <x:v>E-101</x:v>
      </x:c>
      <x:c r="H313" t="str">
        <x:v>Elevador Social</x:v>
      </x:c>
      <x:c r="I313" t="str">
        <x:v>Microprocessado</x:v>
      </x:c>
      <x:c r="J313" t="str">
        <x:v>Gearless</x:v>
      </x:c>
      <x:c r="K313" t="str">
        <x:v>OTIS</x:v>
      </x:c>
      <x:c r="L313" t="str">
        <x:v>ROT-001</x:v>
      </x:c>
      <x:c r="M313" t="str">
        <x:v>Tração</x:v>
      </x:c>
      <x:c r="N313" t="str">
        <x:v>Freio</x:v>
      </x:c>
      <x:c r="O313" t="str">
        <x:v>Travamento</x:v>
      </x:c>
      <x:c r="P313" t="str">
        <x:v>Parada total</x:v>
      </x:c>
      <x:c r="Q313" t="str">
        <x:v>Resgate concluído e equipamento normalizado</x:v>
      </x:c>
      <x:c r="R313" t="str">
        <x:v>Hospital São Paulo</x:v>
      </x:c>
      <x:c r="S313" t="str">
        <x:v>Sim</x:v>
      </x:c>
      <x:c r="T313" t="str">
        <x:v>Sim</x:v>
      </x:c>
      <x:c r="U313" t="str">
        <x:v>CT-2026-001</x:v>
      </x:c>
      <x:c r="V313" t="str">
        <x:v>SP-Centro</x:v>
      </x:c>
      <x:c r="W313" t="str">
        <x:v>João Silva</x:v>
      </x:c>
      <x:c r="X313" t="str">
        <x:v>Supervisor A</x:v>
      </x:c>
      <x:c r="Y313" t="str">
        <x:v>Rota Centro 01</x:v>
      </x:c>
      <x:c r="Z313" t="str">
        <x:v>Av. Paulista, 1000 - São Paulo/SP</x:v>
      </x:c>
      <x:c r="AA313" t="str">
        <x:v>São Paulo</x:v>
      </x:c>
      <x:c r="AB313" s="50" t="n">
        <x:v>46273.3055555556</x:v>
      </x:c>
      <x:c r="AC313" s="50" t="n">
        <x:v>46273.3076388889</x:v>
      </x:c>
      <x:c r="AD313" s="50" t="n">
        <x:v>46273.3104166667</x:v>
      </x:c>
      <x:c r="AE313" s="50" t="n">
        <x:v>46273.3201388889</x:v>
      </x:c>
      <x:c r="AF313" s="50" t="n">
        <x:v>46273.3430555556</x:v>
      </x:c>
      <x:c r="AG313" t="n">
        <x:v>21</x:v>
      </x:c>
      <x:c r="AH313" t="n">
        <x:v>28</x:v>
      </x:c>
      <x:c r="AI313" t="str">
        <x:v>Sim</x:v>
      </x:c>
      <x:c r="AJ313" t="str">
        <x:v>Sim</x:v>
      </x:c>
      <x:c r="AK313" t="n">
        <x:v>60</x:v>
      </x:c>
      <x:c r="AL313" t="n">
        <x:v>0</x:v>
      </x:c>
      <x:c r="AM313" s="64" t="n">
        <x:v>0.8167</x:v>
      </x:c>
      <x:c r="AN313" t="n">
        <x:v>0</x:v>
      </x:c>
      <x:c r="AO313" t="str">
        <x:v>Amarelo</x:v>
      </x:c>
      <x:c r="AP313" t="str">
        <x:v>passageiro preso; SLA acima de 80%; carro parado</x:v>
      </x:c>
      <x:c r="AQ313" t="str">
        <x:v>Sem recorrência relevante; acompanhar evolução de Tração.</x:v>
      </x:c>
      <x:c r="AR313" s="62" t="n">
        <x:v>882</x:v>
      </x:c>
      <x:c r="AS313" t="str">
        <x:v>Médio</x:v>
      </x:c>
      <x:c r="AT313" s="50" t="n">
        <x:v>46273.666666666664</x:v>
      </x:c>
      <x:c r="AU313" t="str">
        <x:v>T10</x:v>
      </x:c>
      <x:c r="AV313" t="str">
        <x:v>T2 original + evolução sintética posterior</x:v>
      </x:c>
    </x:row>
    <x:row r="314">
      <x:c r="A314" t="str">
        <x:v>CH-20260908-002</x:v>
      </x:c>
      <x:c r="B314" t="str">
        <x:v>Falha de Nivelamento</x:v>
      </x:c>
      <x:c r="C314" t="str">
        <x:v>Cabine desnivelada</x:v>
      </x:c>
      <x:c r="D314" t="str">
        <x:v>Cabine parou fora do nível do pavimento.</x:v>
      </x:c>
      <x:c r="E314" t="str">
        <x:v>Concluído</x:v>
      </x:c>
      <x:c r="F314" t="str">
        <x:v>IoT</x:v>
      </x:c>
      <x:c r="G314" t="str">
        <x:v>E-102</x:v>
      </x:c>
      <x:c r="H314" t="str">
        <x:v>Elevador Social</x:v>
      </x:c>
      <x:c r="I314" t="str">
        <x:v>Microprocessado</x:v>
      </x:c>
      <x:c r="J314" t="str">
        <x:v>Gearless</x:v>
      </x:c>
      <x:c r="K314" t="str">
        <x:v>OTIS</x:v>
      </x:c>
      <x:c r="L314" t="str">
        <x:v>ROT-014</x:v>
      </x:c>
      <x:c r="M314" t="str">
        <x:v>Sensor de Nível</x:v>
      </x:c>
      <x:c r="N314" t="str">
        <x:v>Sensor</x:v>
      </x:c>
      <x:c r="O314" t="str">
        <x:v>Leitura inconsistente</x:v>
      </x:c>
      <x:c r="P314" t="str">
        <x:v>Falha de nivelamento</x:v>
      </x:c>
      <x:c r="Q314" t="str">
        <x:v>Sensor ajustado/substituído</x:v>
      </x:c>
      <x:c r="R314" t="str">
        <x:v>Shopping Center Norte</x:v>
      </x:c>
      <x:c r="S314" t="str">
        <x:v>Não</x:v>
      </x:c>
      <x:c r="T314" t="str">
        <x:v>Sim</x:v>
      </x:c>
      <x:c r="U314" t="str">
        <x:v>CT-2026-002</x:v>
      </x:c>
      <x:c r="V314" t="str">
        <x:v>SP-Norte</x:v>
      </x:c>
      <x:c r="W314" t="str">
        <x:v>Marcos Lima</x:v>
      </x:c>
      <x:c r="X314" t="str">
        <x:v>Supervisor B</x:v>
      </x:c>
      <x:c r="Y314" t="str">
        <x:v>Rota Norte 02</x:v>
      </x:c>
      <x:c r="Z314" t="str">
        <x:v>Av. Otto Baumgart, 245 - São Paulo/SP</x:v>
      </x:c>
      <x:c r="AA314" t="str">
        <x:v>São Paulo</x:v>
      </x:c>
      <x:c r="AB314" s="50" t="n">
        <x:v>46273.3090277778</x:v>
      </x:c>
      <x:c r="AC314" s="50" t="n">
        <x:v>46273.3118055556</x:v>
      </x:c>
      <x:c r="AD314" s="50" t="n">
        <x:v>46273.3159722222</x:v>
      </x:c>
      <x:c r="AE314" s="50" t="n">
        <x:v>46273.3340277778</x:v>
      </x:c>
      <x:c r="AF314" s="50" t="n">
        <x:v>46273.3652777778</x:v>
      </x:c>
      <x:c r="AG314" t="n">
        <x:v>36</x:v>
      </x:c>
      <x:c r="AH314" t="n">
        <x:v>40</x:v>
      </x:c>
      <x:c r="AI314" t="str">
        <x:v>Não</x:v>
      </x:c>
      <x:c r="AJ314" t="str">
        <x:v>Não</x:v>
      </x:c>
      <x:c r="AK314" t="n">
        <x:v>90</x:v>
      </x:c>
      <x:c r="AL314" t="n">
        <x:v>0</x:v>
      </x:c>
      <x:c r="AM314" s="64" t="n">
        <x:v>0.8444</x:v>
      </x:c>
      <x:c r="AN314" t="n">
        <x:v>1</x:v>
      </x:c>
      <x:c r="AO314" t="str">
        <x:v>Amarelo</x:v>
      </x:c>
      <x:c r="AP314" t="str">
        <x:v>SLA acima de 80%</x:v>
      </x:c>
      <x:c r="AQ314" t="str">
        <x:v>Há ocorrência recente semelhante; comparar solução anterior de Sensor de Nível.</x:v>
      </x:c>
      <x:c r="AR314" s="62" t="n">
        <x:v>664</x:v>
      </x:c>
      <x:c r="AS314" t="str">
        <x:v>Baixo</x:v>
      </x:c>
      <x:c r="AT314" s="50" t="n">
        <x:v>46273.666666666664</x:v>
      </x:c>
      <x:c r="AU314" t="str">
        <x:v>T10</x:v>
      </x:c>
      <x:c r="AV314" t="str">
        <x:v>T2 original + evolução sintética posterior</x:v>
      </x:c>
    </x:row>
    <x:row r="315">
      <x:c r="A315" t="str">
        <x:v>CH-20260908-003</x:v>
      </x:c>
      <x:c r="B315" t="str">
        <x:v>Porta não fecha</x:v>
      </x:c>
      <x:c r="C315" t="str">
        <x:v>Falha no fechamento</x:v>
      </x:c>
      <x:c r="D315" t="str">
        <x:v>Porta permanece aberta e impede partida.</x:v>
      </x:c>
      <x:c r="E315" t="str">
        <x:v>Concluído</x:v>
      </x:c>
      <x:c r="F315" t="str">
        <x:v>Aplicativo Cliente</x:v>
      </x:c>
      <x:c r="G315" t="str">
        <x:v>E-103</x:v>
      </x:c>
      <x:c r="H315" t="str">
        <x:v>Elevador Social</x:v>
      </x:c>
      <x:c r="I315" t="str">
        <x:v>Microprocessado</x:v>
      </x:c>
      <x:c r="J315" t="str">
        <x:v>Gearless</x:v>
      </x:c>
      <x:c r="K315" t="str">
        <x:v>OTIS</x:v>
      </x:c>
      <x:c r="L315" t="str">
        <x:v>ROT-021</x:v>
      </x:c>
      <x:c r="M315" t="str">
        <x:v>Operador de Porta</x:v>
      </x:c>
      <x:c r="N315" t="str">
        <x:v>Sensor de porta</x:v>
      </x:c>
      <x:c r="O315" t="str">
        <x:v>Falha de leitura</x:v>
      </x:c>
      <x:c r="P315" t="str">
        <x:v>Porta aberta</x:v>
      </x:c>
      <x:c r="Q315" t="str">
        <x:v>Sensor de porta ajustado</x:v>
      </x:c>
      <x:c r="R315" t="str">
        <x:v>Edifício Corporate</x:v>
      </x:c>
      <x:c r="S315" t="str">
        <x:v>Não</x:v>
      </x:c>
      <x:c r="T315" t="str">
        <x:v>Sim</x:v>
      </x:c>
      <x:c r="U315" t="str">
        <x:v>CT-2026-003</x:v>
      </x:c>
      <x:c r="V315" t="str">
        <x:v>SP-Oeste</x:v>
      </x:c>
      <x:c r="W315" t="str">
        <x:v>Ana Costa</x:v>
      </x:c>
      <x:c r="X315" t="str">
        <x:v>Supervisor C</x:v>
      </x:c>
      <x:c r="Y315" t="str">
        <x:v>Rota Oeste 03</x:v>
      </x:c>
      <x:c r="Z315" t="str">
        <x:v>Av. Faria Lima, 3500 - São Paulo/SP</x:v>
      </x:c>
      <x:c r="AA315" t="str">
        <x:v>São Paulo</x:v>
      </x:c>
      <x:c r="AB315" s="50" t="n">
        <x:v>46273.3118055556</x:v>
      </x:c>
      <x:c r="AC315" s="50" t="n">
        <x:v>46273.3152777778</x:v>
      </x:c>
      <x:c r="AD315" s="50" t="n">
        <x:v>46273.3166666667</x:v>
      </x:c>
      <x:c r="AE315" s="50" t="n">
        <x:v>46273.3395833333</x:v>
      </x:c>
      <x:c r="AF315" s="50" t="n">
        <x:v>46273.3784722222</x:v>
      </x:c>
      <x:c r="AG315" t="n">
        <x:v>40</x:v>
      </x:c>
      <x:c r="AH315" t="n">
        <x:v>51</x:v>
      </x:c>
      <x:c r="AI315" t="str">
        <x:v>Não</x:v>
      </x:c>
      <x:c r="AJ315" t="str">
        <x:v>Não</x:v>
      </x:c>
      <x:c r="AK315" t="n">
        <x:v>120</x:v>
      </x:c>
      <x:c r="AL315" t="n">
        <x:v>0</x:v>
      </x:c>
      <x:c r="AM315" s="64" t="n">
        <x:v>0.7583</x:v>
      </x:c>
      <x:c r="AN315" t="n">
        <x:v>2</x:v>
      </x:c>
      <x:c r="AO315" t="str">
        <x:v>Amarelo</x:v>
      </x:c>
      <x:c r="AP315" t="str">
        <x:v>2 recorrências/30d; SLA acima de 55%</x:v>
      </x:c>
      <x:c r="AQ315" t="str">
        <x:v>Há ocorrência recente semelhante; comparar solução anterior de Operador de Porta.</x:v>
      </x:c>
      <x:c r="AR315" s="62" t="n">
        <x:v>769</x:v>
      </x:c>
      <x:c r="AS315" t="str">
        <x:v>Médio</x:v>
      </x:c>
      <x:c r="AT315" s="50" t="n">
        <x:v>46273.666666666664</x:v>
      </x:c>
      <x:c r="AU315" t="str">
        <x:v>T10</x:v>
      </x:c>
      <x:c r="AV315" t="str">
        <x:v>T2 original + evolução sintética posterior</x:v>
      </x:c>
    </x:row>
    <x:row r="316">
      <x:c r="A316" t="str">
        <x:v>CH-20260908-004</x:v>
      </x:c>
      <x:c r="B316" t="str">
        <x:v>Painel sem comunicação</x:v>
      </x:c>
      <x:c r="C316" t="str">
        <x:v>Falha de comunicação</x:v>
      </x:c>
      <x:c r="D316" t="str">
        <x:v>Painel não responde aos comandos.</x:v>
      </x:c>
      <x:c r="E316" t="str">
        <x:v>Concluído</x:v>
      </x:c>
      <x:c r="F316" t="str">
        <x:v>Monitoramento Remoto</x:v>
      </x:c>
      <x:c r="G316" t="str">
        <x:v>E-104</x:v>
      </x:c>
      <x:c r="H316" t="str">
        <x:v>Elevador Social</x:v>
      </x:c>
      <x:c r="I316" t="str">
        <x:v>Microprocessado</x:v>
      </x:c>
      <x:c r="J316" t="str">
        <x:v>Gearless</x:v>
      </x:c>
      <x:c r="K316" t="str">
        <x:v>OTIS</x:v>
      </x:c>
      <x:c r="L316" t="str">
        <x:v>ROT-033</x:v>
      </x:c>
      <x:c r="M316" t="str">
        <x:v>Painel/Comando</x:v>
      </x:c>
      <x:c r="N316" t="str">
        <x:v>Interface</x:v>
      </x:c>
      <x:c r="O316" t="str">
        <x:v>Sem comunicação</x:v>
      </x:c>
      <x:c r="P316" t="str">
        <x:v>Falha lógica</x:v>
      </x:c>
      <x:c r="Q316" t="str">
        <x:v>Interface reinicializada/substituída</x:v>
      </x:c>
      <x:c r="R316" t="str">
        <x:v>Condomínio Alameda</x:v>
      </x:c>
      <x:c r="S316" t="str">
        <x:v>Não</x:v>
      </x:c>
      <x:c r="T316" t="str">
        <x:v>Não</x:v>
      </x:c>
      <x:c r="U316" t="str">
        <x:v>CT-2026-004</x:v>
      </x:c>
      <x:c r="V316" t="str">
        <x:v>SP-Sul</x:v>
      </x:c>
      <x:c r="W316" t="str">
        <x:v>Carlos Souza</x:v>
      </x:c>
      <x:c r="X316" t="str">
        <x:v>Supervisor D</x:v>
      </x:c>
      <x:c r="Y316" t="str">
        <x:v>Rota Sul 04</x:v>
      </x:c>
      <x:c r="Z316" t="str">
        <x:v>R. das Acácias, 420 - São Paulo/SP</x:v>
      </x:c>
      <x:c r="AA316" t="str">
        <x:v>São Paulo</x:v>
      </x:c>
      <x:c r="AB316" s="50" t="n">
        <x:v>46273.3145833333</x:v>
      </x:c>
      <x:c r="AC316" s="50" t="n">
        <x:v>46273.31875</x:v>
      </x:c>
      <x:c r="AD316" s="50" t="n">
        <x:v>46273.3215277778</x:v>
      </x:c>
      <x:c r="AE316" s="50" t="n">
        <x:v>46273.3493055556</x:v>
      </x:c>
      <x:c r="AF316" s="50" t="n">
        <x:v>46273.3958333333</x:v>
      </x:c>
      <x:c r="AG316" t="n">
        <x:v>50</x:v>
      </x:c>
      <x:c r="AH316" t="n">
        <x:v>62</x:v>
      </x:c>
      <x:c r="AI316" t="str">
        <x:v>Não</x:v>
      </x:c>
      <x:c r="AJ316" t="str">
        <x:v>Não</x:v>
      </x:c>
      <x:c r="AK316" t="n">
        <x:v>180</x:v>
      </x:c>
      <x:c r="AL316" t="n">
        <x:v>0</x:v>
      </x:c>
      <x:c r="AM316" s="64" t="n">
        <x:v>0.6222</x:v>
      </x:c>
      <x:c r="AN316" t="n">
        <x:v>3</x:v>
      </x:c>
      <x:c r="AO316" t="str">
        <x:v>Verde</x:v>
      </x:c>
      <x:c r="AP316" t="str">
        <x:v>3 recorrências/30d; SLA acima de 55%</x:v>
      </x:c>
      <x:c r="AQ316" t="str">
        <x:v>Recorrência elevada: verificar padrão histórico em Painel/Comando/Interface.</x:v>
      </x:c>
      <x:c r="AR316" s="62" t="n">
        <x:v>1594</x:v>
      </x:c>
      <x:c r="AS316" t="str">
        <x:v>Alto</x:v>
      </x:c>
      <x:c r="AT316" s="50" t="n">
        <x:v>46273.666666666664</x:v>
      </x:c>
      <x:c r="AU316" t="str">
        <x:v>T10</x:v>
      </x:c>
      <x:c r="AV316" t="str">
        <x:v>T2 original + evolução sintética posterior</x:v>
      </x:c>
    </x:row>
    <x:row r="317">
      <x:c r="A317" t="str">
        <x:v>CH-20260908-005</x:v>
      </x:c>
      <x:c r="B317" t="str">
        <x:v>Falha de Tração</x:v>
      </x:c>
      <x:c r="C317" t="str">
        <x:v>Movimento irregular</x:v>
      </x:c>
      <x:c r="D317" t="str">
        <x:v>Equipamento apresenta perda de tração.</x:v>
      </x:c>
      <x:c r="E317" t="str">
        <x:v>Concluído</x:v>
      </x:c>
      <x:c r="F317" t="str">
        <x:v>Central de Atendimento</x:v>
      </x:c>
      <x:c r="G317" t="str">
        <x:v>E-105</x:v>
      </x:c>
      <x:c r="H317" t="str">
        <x:v>Elevador Social</x:v>
      </x:c>
      <x:c r="I317" t="str">
        <x:v>Microprocessado</x:v>
      </x:c>
      <x:c r="J317" t="str">
        <x:v>Gearless</x:v>
      </x:c>
      <x:c r="K317" t="str">
        <x:v>OTIS</x:v>
      </x:c>
      <x:c r="L317" t="str">
        <x:v>ROT-041</x:v>
      </x:c>
      <x:c r="M317" t="str">
        <x:v>Máquina de Tração</x:v>
      </x:c>
      <x:c r="N317" t="str">
        <x:v>Inversor</x:v>
      </x:c>
      <x:c r="O317" t="str">
        <x:v>Oscilação</x:v>
      </x:c>
      <x:c r="P317" t="str">
        <x:v>Falha de movimento</x:v>
      </x:c>
      <x:c r="Q317" t="str">
        <x:v>Parâmetros do inversor corrigidos</x:v>
      </x:c>
      <x:c r="R317" t="str">
        <x:v>Aeroporto Terminal 3</x:v>
      </x:c>
      <x:c r="S317" t="str">
        <x:v>Sim</x:v>
      </x:c>
      <x:c r="T317" t="str">
        <x:v>Sim</x:v>
      </x:c>
      <x:c r="U317" t="str">
        <x:v>CT-2026-005</x:v>
      </x:c>
      <x:c r="V317" t="str">
        <x:v>GRU</x:v>
      </x:c>
      <x:c r="W317" t="str">
        <x:v>Renata Alves</x:v>
      </x:c>
      <x:c r="X317" t="str">
        <x:v>Supervisor A</x:v>
      </x:c>
      <x:c r="Y317" t="str">
        <x:v>Rota GRU 05</x:v>
      </x:c>
      <x:c r="Z317" t="str">
        <x:v>Rod. Hélio Smidt, s/n - Guarulhos/SP</x:v>
      </x:c>
      <x:c r="AA317" t="str">
        <x:v>São Paulo</x:v>
      </x:c>
      <x:c r="AB317" s="50" t="n">
        <x:v>46273.3180555556</x:v>
      </x:c>
      <x:c r="AC317" s="50" t="n">
        <x:v>46273.3194444444</x:v>
      </x:c>
      <x:c r="AD317" s="50" t="n">
        <x:v>46273.3236111111</x:v>
      </x:c>
      <x:c r="AE317" s="50" t="n">
        <x:v>46273.3319444444</x:v>
      </x:c>
      <x:c r="AF317" s="50" t="n">
        <x:v>46273.3861111111</x:v>
      </x:c>
      <x:c r="AG317" t="n">
        <x:v>20</x:v>
      </x:c>
      <x:c r="AH317" t="n">
        <x:v>73</x:v>
      </x:c>
      <x:c r="AI317" t="str">
        <x:v>Não</x:v>
      </x:c>
      <x:c r="AJ317" t="str">
        <x:v>Sim</x:v>
      </x:c>
      <x:c r="AK317" t="n">
        <x:v>45</x:v>
      </x:c>
      <x:c r="AL317" t="n">
        <x:v>0</x:v>
      </x:c>
      <x:c r="AM317" s="64" t="n">
        <x:v>2.0667</x:v>
      </x:c>
      <x:c r="AN317" t="n">
        <x:v>1</x:v>
      </x:c>
      <x:c r="AO317" t="str">
        <x:v>Vermelho</x:v>
      </x:c>
      <x:c r="AP317" t="str">
        <x:v>SLA estourado; carro parado</x:v>
      </x:c>
      <x:c r="AQ317" t="str">
        <x:v>Há ocorrência recente semelhante; comparar solução anterior de Máquina de Tração.</x:v>
      </x:c>
      <x:c r="AR317" s="62" t="n">
        <x:v>1259</x:v>
      </x:c>
      <x:c r="AS317" t="str">
        <x:v>Alto</x:v>
      </x:c>
      <x:c r="AT317" s="50" t="n">
        <x:v>46273.666666666664</x:v>
      </x:c>
      <x:c r="AU317" t="str">
        <x:v>T10</x:v>
      </x:c>
      <x:c r="AV317" t="str">
        <x:v>T2 original + evolução sintética posterior</x:v>
      </x:c>
    </x:row>
    <x:row r="318">
      <x:c r="A318" t="str">
        <x:v>CH-20260908-006</x:v>
      </x:c>
      <x:c r="B318" t="str">
        <x:v>Iluminação de Cabine</x:v>
      </x:c>
      <x:c r="C318" t="str">
        <x:v>Iluminação inoperante</x:v>
      </x:c>
      <x:c r="D318" t="str">
        <x:v>Cabine com iluminação parcial ou total indisponível.</x:v>
      </x:c>
      <x:c r="E318" t="str">
        <x:v>Concluído</x:v>
      </x:c>
      <x:c r="F318" t="str">
        <x:v>IoT</x:v>
      </x:c>
      <x:c r="G318" t="str">
        <x:v>E-106</x:v>
      </x:c>
      <x:c r="H318" t="str">
        <x:v>Elevador Social</x:v>
      </x:c>
      <x:c r="I318" t="str">
        <x:v>Microprocessado</x:v>
      </x:c>
      <x:c r="J318" t="str">
        <x:v>Gearless</x:v>
      </x:c>
      <x:c r="K318" t="str">
        <x:v>OTIS</x:v>
      </x:c>
      <x:c r="L318" t="str">
        <x:v>ROT-052</x:v>
      </x:c>
      <x:c r="M318" t="str">
        <x:v>Elétrica</x:v>
      </x:c>
      <x:c r="N318" t="str">
        <x:v>Fonte</x:v>
      </x:c>
      <x:c r="O318" t="str">
        <x:v>Sem alimentação</x:v>
      </x:c>
      <x:c r="P318" t="str">
        <x:v>Falha elétrica</x:v>
      </x:c>
      <x:c r="Q318" t="str">
        <x:v>Fonte substituída</x:v>
      </x:c>
      <x:c r="R318" t="str">
        <x:v>Universidade Central</x:v>
      </x:c>
      <x:c r="S318" t="str">
        <x:v>Não</x:v>
      </x:c>
      <x:c r="T318" t="str">
        <x:v>Sim</x:v>
      </x:c>
      <x:c r="U318" t="str">
        <x:v>CT-2026-006</x:v>
      </x:c>
      <x:c r="V318" t="str">
        <x:v>SP-Leste</x:v>
      </x:c>
      <x:c r="W318" t="str">
        <x:v>Paulo Mendes</x:v>
      </x:c>
      <x:c r="X318" t="str">
        <x:v>Supervisor B</x:v>
      </x:c>
      <x:c r="Y318" t="str">
        <x:v>Rota Leste 06</x:v>
      </x:c>
      <x:c r="Z318" t="str">
        <x:v>Av. Central, 850 - São Paulo/SP</x:v>
      </x:c>
      <x:c r="AA318" t="str">
        <x:v>São Paulo</x:v>
      </x:c>
      <x:c r="AB318" s="50" t="n">
        <x:v>46273.3215277778</x:v>
      </x:c>
      <x:c r="AC318" s="50" t="n">
        <x:v>46273.3236111111</x:v>
      </x:c>
      <x:c r="AD318" s="50" t="n">
        <x:v>46273.325</x:v>
      </x:c>
      <x:c r="AE318" s="50" t="n">
        <x:v>46273.3388888889</x:v>
      </x:c>
      <x:c r="AF318" s="50" t="n">
        <x:v>46273.3569444444</x:v>
      </x:c>
      <x:c r="AG318" t="n">
        <x:v>25</x:v>
      </x:c>
      <x:c r="AH318" t="n">
        <x:v>21</x:v>
      </x:c>
      <x:c r="AI318" t="str">
        <x:v>Não</x:v>
      </x:c>
      <x:c r="AJ318" t="str">
        <x:v>Não</x:v>
      </x:c>
      <x:c r="AK318" t="n">
        <x:v>120</x:v>
      </x:c>
      <x:c r="AL318" t="n">
        <x:v>0</x:v>
      </x:c>
      <x:c r="AM318" s="64" t="n">
        <x:v>0.3833</x:v>
      </x:c>
      <x:c r="AN318" t="n">
        <x:v>0</x:v>
      </x:c>
      <x:c r="AO318" t="str">
        <x:v>Verde</x:v>
      </x:c>
      <x:c r="AP318" t="str">
        <x:v>operação dentro do esperado</x:v>
      </x:c>
      <x:c r="AQ318" t="str">
        <x:v>Sem recorrência relevante; acompanhar evolução de Elétrica.</x:v>
      </x:c>
      <x:c r="AR318" s="62" t="n">
        <x:v>507</x:v>
      </x:c>
      <x:c r="AS318" t="str">
        <x:v>Baixo</x:v>
      </x:c>
      <x:c r="AT318" s="50" t="n">
        <x:v>46273.666666666664</x:v>
      </x:c>
      <x:c r="AU318" t="str">
        <x:v>T10</x:v>
      </x:c>
      <x:c r="AV318" t="str">
        <x:v>T2 original + evolução sintética posterior</x:v>
      </x:c>
    </x:row>
    <x:row r="319">
      <x:c r="A319" t="str">
        <x:v>CH-20260908-007</x:v>
      </x:c>
      <x:c r="B319" t="str">
        <x:v>Botão de Chamada</x:v>
      </x:c>
      <x:c r="C319" t="str">
        <x:v>Botão não responde</x:v>
      </x:c>
      <x:c r="D319" t="str">
        <x:v>Botão de chamada não registra comando.</x:v>
      </x:c>
      <x:c r="E319" t="str">
        <x:v>Concluído</x:v>
      </x:c>
      <x:c r="F319" t="str">
        <x:v>Aplicativo Cliente</x:v>
      </x:c>
      <x:c r="G319" t="str">
        <x:v>E-107</x:v>
      </x:c>
      <x:c r="H319" t="str">
        <x:v>Elevador Social</x:v>
      </x:c>
      <x:c r="I319" t="str">
        <x:v>Microprocessado</x:v>
      </x:c>
      <x:c r="J319" t="str">
        <x:v>Gearless</x:v>
      </x:c>
      <x:c r="K319" t="str">
        <x:v>OTIS</x:v>
      </x:c>
      <x:c r="L319" t="str">
        <x:v>ROT-063</x:v>
      </x:c>
      <x:c r="M319" t="str">
        <x:v>Botoeira</x:v>
      </x:c>
      <x:c r="N319" t="str">
        <x:v>Contato</x:v>
      </x:c>
      <x:c r="O319" t="str">
        <x:v>Mau contato</x:v>
      </x:c>
      <x:c r="P319" t="str">
        <x:v>Falha de comando</x:v>
      </x:c>
      <x:c r="Q319" t="str">
        <x:v>Contato reparado</x:v>
      </x:c>
      <x:c r="R319" t="str">
        <x:v>Hospital São Paulo</x:v>
      </x:c>
      <x:c r="S319" t="str">
        <x:v>Sim</x:v>
      </x:c>
      <x:c r="T319" t="str">
        <x:v>Sim</x:v>
      </x:c>
      <x:c r="U319" t="str">
        <x:v>CT-2026-001</x:v>
      </x:c>
      <x:c r="V319" t="str">
        <x:v>SP-Centro</x:v>
      </x:c>
      <x:c r="W319" t="str">
        <x:v>João Silva</x:v>
      </x:c>
      <x:c r="X319" t="str">
        <x:v>Supervisor C</x:v>
      </x:c>
      <x:c r="Y319" t="str">
        <x:v>Rota Centro 01</x:v>
      </x:c>
      <x:c r="Z319" t="str">
        <x:v>Av. Paulista, 1000 - São Paulo/SP</x:v>
      </x:c>
      <x:c r="AA319" t="str">
        <x:v>São Paulo</x:v>
      </x:c>
      <x:c r="AB319" s="50" t="n">
        <x:v>46273.3243055556</x:v>
      </x:c>
      <x:c r="AC319" s="50" t="n">
        <x:v>46273.3270833333</x:v>
      </x:c>
      <x:c r="AD319" s="50" t="n">
        <x:v>46273.3298611111</x:v>
      </x:c>
      <x:c r="AE319" s="50" t="n">
        <x:v>46273.3486111111</x:v>
      </x:c>
      <x:c r="AF319" s="50" t="n">
        <x:v>46273.3743055556</x:v>
      </x:c>
      <x:c r="AG319" t="n">
        <x:v>35</x:v>
      </x:c>
      <x:c r="AH319" t="n">
        <x:v>32</x:v>
      </x:c>
      <x:c r="AI319" t="str">
        <x:v>Não</x:v>
      </x:c>
      <x:c r="AJ319" t="str">
        <x:v>Não</x:v>
      </x:c>
      <x:c r="AK319" t="n">
        <x:v>60</x:v>
      </x:c>
      <x:c r="AL319" t="n">
        <x:v>0</x:v>
      </x:c>
      <x:c r="AM319" s="64" t="n">
        <x:v>1.1167</x:v>
      </x:c>
      <x:c r="AN319" t="n">
        <x:v>2</x:v>
      </x:c>
      <x:c r="AO319" t="str">
        <x:v>Vermelho</x:v>
      </x:c>
      <x:c r="AP319" t="str">
        <x:v>2 recorrências/30d; SLA estourado</x:v>
      </x:c>
      <x:c r="AQ319" t="str">
        <x:v>Há ocorrência recente semelhante; comparar solução anterior de Botoeira.</x:v>
      </x:c>
      <x:c r="AR319" s="62" t="n">
        <x:v>612</x:v>
      </x:c>
      <x:c r="AS319" t="str">
        <x:v>Baixo</x:v>
      </x:c>
      <x:c r="AT319" s="50" t="n">
        <x:v>46273.666666666664</x:v>
      </x:c>
      <x:c r="AU319" t="str">
        <x:v>T10</x:v>
      </x:c>
      <x:c r="AV319" t="str">
        <x:v>T2 original + evolução sintética posterior</x:v>
      </x:c>
    </x:row>
    <x:row r="320">
      <x:c r="A320" t="str">
        <x:v>CH-20260908-008</x:v>
      </x:c>
      <x:c r="B320" t="str">
        <x:v>Parada Intermitente</x:v>
      </x:c>
      <x:c r="C320" t="str">
        <x:v>Paradas aleatórias</x:v>
      </x:c>
      <x:c r="D320" t="str">
        <x:v>Equipamento interrompe operação de forma intermitente.</x:v>
      </x:c>
      <x:c r="E320" t="str">
        <x:v>Concluído</x:v>
      </x:c>
      <x:c r="F320" t="str">
        <x:v>Monitoramento Remoto</x:v>
      </x:c>
      <x:c r="G320" t="str">
        <x:v>E-108</x:v>
      </x:c>
      <x:c r="H320" t="str">
        <x:v>Elevador Social</x:v>
      </x:c>
      <x:c r="I320" t="str">
        <x:v>Microprocessado</x:v>
      </x:c>
      <x:c r="J320" t="str">
        <x:v>Gearless</x:v>
      </x:c>
      <x:c r="K320" t="str">
        <x:v>OTIS</x:v>
      </x:c>
      <x:c r="L320" t="str">
        <x:v>ROT-074</x:v>
      </x:c>
      <x:c r="M320" t="str">
        <x:v>Painel/Comando</x:v>
      </x:c>
      <x:c r="N320" t="str">
        <x:v>Placa</x:v>
      </x:c>
      <x:c r="O320" t="str">
        <x:v>Intermitência</x:v>
      </x:c>
      <x:c r="P320" t="str">
        <x:v>Falha intermitente</x:v>
      </x:c>
      <x:c r="Q320" t="str">
        <x:v>Placa revisada e teste funcional</x:v>
      </x:c>
      <x:c r="R320" t="str">
        <x:v>Shopping Center Norte</x:v>
      </x:c>
      <x:c r="S320" t="str">
        <x:v>Não</x:v>
      </x:c>
      <x:c r="T320" t="str">
        <x:v>Sim</x:v>
      </x:c>
      <x:c r="U320" t="str">
        <x:v>CT-2026-002</x:v>
      </x:c>
      <x:c r="V320" t="str">
        <x:v>SP-Norte</x:v>
      </x:c>
      <x:c r="W320" t="str">
        <x:v>Marcos Lima</x:v>
      </x:c>
      <x:c r="X320" t="str">
        <x:v>Supervisor D</x:v>
      </x:c>
      <x:c r="Y320" t="str">
        <x:v>Rota Norte 02</x:v>
      </x:c>
      <x:c r="Z320" t="str">
        <x:v>Av. Otto Baumgart, 245 - São Paulo/SP</x:v>
      </x:c>
      <x:c r="AA320" t="str">
        <x:v>São Paulo</x:v>
      </x:c>
      <x:c r="AB320" s="50" t="n">
        <x:v>46273.3270833333</x:v>
      </x:c>
      <x:c r="AC320" s="50" t="n">
        <x:v>46273.3305555556</x:v>
      </x:c>
      <x:c r="AD320" s="50" t="n">
        <x:v>46273.3347222222</x:v>
      </x:c>
      <x:c r="AE320" s="50" t="n">
        <x:v>46273.3583333333</x:v>
      </x:c>
      <x:c r="AF320" s="50" t="n">
        <x:v>46273.3916666667</x:v>
      </x:c>
      <x:c r="AG320" t="n">
        <x:v>45</x:v>
      </x:c>
      <x:c r="AH320" t="n">
        <x:v>43</x:v>
      </x:c>
      <x:c r="AI320" t="str">
        <x:v>Não</x:v>
      </x:c>
      <x:c r="AJ320" t="str">
        <x:v>Sim</x:v>
      </x:c>
      <x:c r="AK320" t="n">
        <x:v>90</x:v>
      </x:c>
      <x:c r="AL320" t="n">
        <x:v>0</x:v>
      </x:c>
      <x:c r="AM320" s="64" t="n">
        <x:v>0.9778</x:v>
      </x:c>
      <x:c r="AN320" t="n">
        <x:v>4</x:v>
      </x:c>
      <x:c r="AO320" t="str">
        <x:v>Laranja</x:v>
      </x:c>
      <x:c r="AP320" t="str">
        <x:v>4 recorrências/30d; SLA acima de 80%; carro parado</x:v>
      </x:c>
      <x:c r="AQ320" t="str">
        <x:v>Recorrência elevada: verificar padrão histórico em Painel/Comando/Placa.</x:v>
      </x:c>
      <x:c r="AR320" s="62" t="n">
        <x:v>1437</x:v>
      </x:c>
      <x:c r="AS320" t="str">
        <x:v>Alto</x:v>
      </x:c>
      <x:c r="AT320" s="50" t="n">
        <x:v>46273.666666666664</x:v>
      </x:c>
      <x:c r="AU320" t="str">
        <x:v>T10</x:v>
      </x:c>
      <x:c r="AV320" t="str">
        <x:v>T2 original + evolução sintética posterior</x:v>
      </x:c>
    </x:row>
    <x:row r="321">
      <x:c r="A321" t="str">
        <x:v>CH-20260908-009</x:v>
      </x:c>
      <x:c r="B321" t="str">
        <x:v>Passageiro Preso</x:v>
      </x:c>
      <x:c r="C321" t="str">
        <x:v>Elevador parado entre andares</x:v>
      </x:c>
      <x:c r="D321" t="str">
        <x:v>Cabine imobilizada com passageiro no interior.</x:v>
      </x:c>
      <x:c r="E321" t="str">
        <x:v>Concluído</x:v>
      </x:c>
      <x:c r="F321" t="str">
        <x:v>Central de Atendimento</x:v>
      </x:c>
      <x:c r="G321" t="str">
        <x:v>E-109</x:v>
      </x:c>
      <x:c r="H321" t="str">
        <x:v>Elevador Social</x:v>
      </x:c>
      <x:c r="I321" t="str">
        <x:v>Microprocessado</x:v>
      </x:c>
      <x:c r="J321" t="str">
        <x:v>Gearless</x:v>
      </x:c>
      <x:c r="K321" t="str">
        <x:v>OTIS</x:v>
      </x:c>
      <x:c r="L321" t="str">
        <x:v>ROT-001</x:v>
      </x:c>
      <x:c r="M321" t="str">
        <x:v>Tração</x:v>
      </x:c>
      <x:c r="N321" t="str">
        <x:v>Freio</x:v>
      </x:c>
      <x:c r="O321" t="str">
        <x:v>Travamento</x:v>
      </x:c>
      <x:c r="P321" t="str">
        <x:v>Parada total</x:v>
      </x:c>
      <x:c r="Q321" t="str">
        <x:v>Resgate concluído e equipamento normalizado</x:v>
      </x:c>
      <x:c r="R321" t="str">
        <x:v>Edifício Corporate</x:v>
      </x:c>
      <x:c r="S321" t="str">
        <x:v>Não</x:v>
      </x:c>
      <x:c r="T321" t="str">
        <x:v>Sim</x:v>
      </x:c>
      <x:c r="U321" t="str">
        <x:v>CT-2026-003</x:v>
      </x:c>
      <x:c r="V321" t="str">
        <x:v>SP-Oeste</x:v>
      </x:c>
      <x:c r="W321" t="str">
        <x:v>Ana Costa</x:v>
      </x:c>
      <x:c r="X321" t="str">
        <x:v>Supervisor A</x:v>
      </x:c>
      <x:c r="Y321" t="str">
        <x:v>Rota Oeste 03</x:v>
      </x:c>
      <x:c r="Z321" t="str">
        <x:v>Av. Faria Lima, 3500 - São Paulo/SP</x:v>
      </x:c>
      <x:c r="AA321" t="str">
        <x:v>São Paulo</x:v>
      </x:c>
      <x:c r="AB321" s="50" t="n">
        <x:v>46273.3298611111</x:v>
      </x:c>
      <x:c r="AC321" s="50" t="n">
        <x:v>46273.3340277778</x:v>
      </x:c>
      <x:c r="AD321" s="50" t="n">
        <x:v>46273.3354166667</x:v>
      </x:c>
      <x:c r="AE321" s="50" t="n">
        <x:v>46273.3604166667</x:v>
      </x:c>
      <x:c r="AF321" s="50" t="n">
        <x:v>46273.3833333333</x:v>
      </x:c>
      <x:c r="AG321" t="n">
        <x:v>44</x:v>
      </x:c>
      <x:c r="AH321" t="n">
        <x:v>28</x:v>
      </x:c>
      <x:c r="AI321" t="str">
        <x:v>Sim</x:v>
      </x:c>
      <x:c r="AJ321" t="str">
        <x:v>Sim</x:v>
      </x:c>
      <x:c r="AK321" t="n">
        <x:v>120</x:v>
      </x:c>
      <x:c r="AL321" t="n">
        <x:v>0</x:v>
      </x:c>
      <x:c r="AM321" s="64" t="n">
        <x:v>0.6</x:v>
      </x:c>
      <x:c r="AN321" t="n">
        <x:v>0</x:v>
      </x:c>
      <x:c r="AO321" t="str">
        <x:v>Verde</x:v>
      </x:c>
      <x:c r="AP321" t="str">
        <x:v>passageiro preso; SLA acima de 55%; carro parado</x:v>
      </x:c>
      <x:c r="AQ321" t="str">
        <x:v>Sem recorrência relevante; acompanhar evolução de Tração.</x:v>
      </x:c>
      <x:c r="AR321" s="62" t="n">
        <x:v>970</x:v>
      </x:c>
      <x:c r="AS321" t="str">
        <x:v>Médio</x:v>
      </x:c>
      <x:c r="AT321" s="50" t="n">
        <x:v>46273.666666666664</x:v>
      </x:c>
      <x:c r="AU321" t="str">
        <x:v>T10</x:v>
      </x:c>
      <x:c r="AV321" t="str">
        <x:v>T2 original + evolução sintética posterior</x:v>
      </x:c>
    </x:row>
    <x:row r="322">
      <x:c r="A322" t="str">
        <x:v>CH-20260908-010</x:v>
      </x:c>
      <x:c r="B322" t="str">
        <x:v>Falha de Nivelamento</x:v>
      </x:c>
      <x:c r="C322" t="str">
        <x:v>Cabine desnivelada</x:v>
      </x:c>
      <x:c r="D322" t="str">
        <x:v>Cabine parou fora do nível do pavimento.</x:v>
      </x:c>
      <x:c r="E322" t="str">
        <x:v>Concluído</x:v>
      </x:c>
      <x:c r="F322" t="str">
        <x:v>IoT</x:v>
      </x:c>
      <x:c r="G322" t="str">
        <x:v>E-110</x:v>
      </x:c>
      <x:c r="H322" t="str">
        <x:v>Elevador Social</x:v>
      </x:c>
      <x:c r="I322" t="str">
        <x:v>Microprocessado</x:v>
      </x:c>
      <x:c r="J322" t="str">
        <x:v>Gearless</x:v>
      </x:c>
      <x:c r="K322" t="str">
        <x:v>OTIS</x:v>
      </x:c>
      <x:c r="L322" t="str">
        <x:v>ROT-014</x:v>
      </x:c>
      <x:c r="M322" t="str">
        <x:v>Sensor de Nível</x:v>
      </x:c>
      <x:c r="N322" t="str">
        <x:v>Sensor</x:v>
      </x:c>
      <x:c r="O322" t="str">
        <x:v>Leitura inconsistente</x:v>
      </x:c>
      <x:c r="P322" t="str">
        <x:v>Falha de nivelamento</x:v>
      </x:c>
      <x:c r="Q322" t="str">
        <x:v>Sensor ajustado/substituído</x:v>
      </x:c>
      <x:c r="R322" t="str">
        <x:v>Condomínio Alameda</x:v>
      </x:c>
      <x:c r="S322" t="str">
        <x:v>Não</x:v>
      </x:c>
      <x:c r="T322" t="str">
        <x:v>Não</x:v>
      </x:c>
      <x:c r="U322" t="str">
        <x:v>CT-2026-004</x:v>
      </x:c>
      <x:c r="V322" t="str">
        <x:v>SP-Sul</x:v>
      </x:c>
      <x:c r="W322" t="str">
        <x:v>Carlos Souza</x:v>
      </x:c>
      <x:c r="X322" t="str">
        <x:v>Supervisor B</x:v>
      </x:c>
      <x:c r="Y322" t="str">
        <x:v>Rota Sul 04</x:v>
      </x:c>
      <x:c r="Z322" t="str">
        <x:v>R. das Acácias, 420 - São Paulo/SP</x:v>
      </x:c>
      <x:c r="AA322" t="str">
        <x:v>São Paulo</x:v>
      </x:c>
      <x:c r="AB322" s="50" t="n">
        <x:v>46273.3326388889</x:v>
      </x:c>
      <x:c r="AC322" s="50" t="n">
        <x:v>46273.3340277778</x:v>
      </x:c>
      <x:c r="AD322" s="50" t="n">
        <x:v>46273.3368055556</x:v>
      </x:c>
      <x:c r="AE322" s="50" t="n">
        <x:v>46273.3465277778</x:v>
      </x:c>
      <x:c r="AF322" s="50" t="n">
        <x:v>46273.3951388889</x:v>
      </x:c>
      <x:c r="AG322" t="n">
        <x:v>20</x:v>
      </x:c>
      <x:c r="AH322" t="n">
        <x:v>65</x:v>
      </x:c>
      <x:c r="AI322" t="str">
        <x:v>Não</x:v>
      </x:c>
      <x:c r="AJ322" t="str">
        <x:v>Não</x:v>
      </x:c>
      <x:c r="AK322" t="n">
        <x:v>180</x:v>
      </x:c>
      <x:c r="AL322" t="n">
        <x:v>0</x:v>
      </x:c>
      <x:c r="AM322" s="64" t="n">
        <x:v>0.4722</x:v>
      </x:c>
      <x:c r="AN322" t="n">
        <x:v>1</x:v>
      </x:c>
      <x:c r="AO322" t="str">
        <x:v>Verde</x:v>
      </x:c>
      <x:c r="AP322" t="str">
        <x:v>operação dentro do esperado</x:v>
      </x:c>
      <x:c r="AQ322" t="str">
        <x:v>Há ocorrência recente semelhante; comparar solução anterior de Sensor de Nível.</x:v>
      </x:c>
      <x:c r="AR322" s="62" t="n">
        <x:v>791</x:v>
      </x:c>
      <x:c r="AS322" t="str">
        <x:v>Médio</x:v>
      </x:c>
      <x:c r="AT322" s="50" t="n">
        <x:v>46273.666666666664</x:v>
      </x:c>
      <x:c r="AU322" t="str">
        <x:v>T10</x:v>
      </x:c>
      <x:c r="AV322" t="str">
        <x:v>T2 original + evolução sintética posterior</x:v>
      </x:c>
    </x:row>
    <x:row r="323">
      <x:c r="A323" t="str">
        <x:v>CH-20260908-011</x:v>
      </x:c>
      <x:c r="B323" t="str">
        <x:v>Porta não fecha</x:v>
      </x:c>
      <x:c r="C323" t="str">
        <x:v>Falha no fechamento</x:v>
      </x:c>
      <x:c r="D323" t="str">
        <x:v>Porta permanece aberta e impede partida.</x:v>
      </x:c>
      <x:c r="E323" t="str">
        <x:v>Concluído</x:v>
      </x:c>
      <x:c r="F323" t="str">
        <x:v>Aplicativo Cliente</x:v>
      </x:c>
      <x:c r="G323" t="str">
        <x:v>E-111</x:v>
      </x:c>
      <x:c r="H323" t="str">
        <x:v>Elevador Social</x:v>
      </x:c>
      <x:c r="I323" t="str">
        <x:v>Microprocessado</x:v>
      </x:c>
      <x:c r="J323" t="str">
        <x:v>Gearless</x:v>
      </x:c>
      <x:c r="K323" t="str">
        <x:v>OTIS</x:v>
      </x:c>
      <x:c r="L323" t="str">
        <x:v>ROT-021</x:v>
      </x:c>
      <x:c r="M323" t="str">
        <x:v>Operador de Porta</x:v>
      </x:c>
      <x:c r="N323" t="str">
        <x:v>Sensor de porta</x:v>
      </x:c>
      <x:c r="O323" t="str">
        <x:v>Falha de leitura</x:v>
      </x:c>
      <x:c r="P323" t="str">
        <x:v>Porta aberta</x:v>
      </x:c>
      <x:c r="Q323" t="str">
        <x:v>Inspeção técnica e normalização demonstrativas de Operador de Porta; resolução sintética, sem confirmação de consumo de peças.</x:v>
      </x:c>
      <x:c r="R323" t="str">
        <x:v>Aeroporto Terminal 3</x:v>
      </x:c>
      <x:c r="S323" t="str">
        <x:v>Sim</x:v>
      </x:c>
      <x:c r="T323" t="str">
        <x:v>Sim</x:v>
      </x:c>
      <x:c r="U323" t="str">
        <x:v>CT-2026-005</x:v>
      </x:c>
      <x:c r="V323" t="str">
        <x:v>GRU</x:v>
      </x:c>
      <x:c r="W323" t="str">
        <x:v>Renata Alves</x:v>
      </x:c>
      <x:c r="X323" t="str">
        <x:v>Supervisor C</x:v>
      </x:c>
      <x:c r="Y323" t="str">
        <x:v>Rota GRU 05</x:v>
      </x:c>
      <x:c r="Z323" t="str">
        <x:v>Rod. Hélio Smidt, s/n - Guarulhos/SP</x:v>
      </x:c>
      <x:c r="AA323" t="str">
        <x:v>São Paulo</x:v>
      </x:c>
      <x:c r="AB323" s="50" t="n">
        <x:v>46273.3354166667</x:v>
      </x:c>
      <x:c r="AC323" s="50" t="n">
        <x:v>46273.3375</x:v>
      </x:c>
      <x:c r="AD323" s="50" t="n">
        <x:v>46273.341666666696</x:v>
      </x:c>
      <x:c r="AE323" s="50" t="n">
        <x:v>46273.3534722222</x:v>
      </x:c>
      <x:c r="AF323" s="50" t="n">
        <x:v>46273.41875</x:v>
      </x:c>
      <x:c r="AG323" t="n">
        <x:v>26</x:v>
      </x:c>
      <x:c r="AH323" t="n">
        <x:v>89</x:v>
      </x:c>
      <x:c r="AI323" t="str">
        <x:v>Não</x:v>
      </x:c>
      <x:c r="AJ323" t="str">
        <x:v>Não</x:v>
      </x:c>
      <x:c r="AK323" t="n">
        <x:v>45</x:v>
      </x:c>
      <x:c r="AL323" t="n">
        <x:v>0</x:v>
      </x:c>
      <x:c r="AM323" s="64" t="n">
        <x:v>2.5556</x:v>
      </x:c>
      <x:c r="AN323" t="n">
        <x:v>2</x:v>
      </x:c>
      <x:c r="AO323" t="str">
        <x:v>Vermelho</x:v>
      </x:c>
      <x:c r="AP323" t="str">
        <x:v>SLA sintético excedido (tempo acumulado ≥ 100% do SLA)</x:v>
      </x:c>
      <x:c r="AQ323" t="str">
        <x:v>Encerramento demonstrativo de Operador de Porta; verificar fechamento e histórico para aprendizado. Sem despacho automático.</x:v>
      </x:c>
      <x:c r="AR323" s="62" t="n">
        <x:v>880</x:v>
      </x:c>
      <x:c r="AS323" t="str">
        <x:v>Médio</x:v>
      </x:c>
      <x:c r="AT323" s="50" t="n">
        <x:v>46273.666666666664</x:v>
      </x:c>
      <x:c r="AU323" t="str">
        <x:v>T10</x:v>
      </x:c>
      <x:c r="AV323" t="str">
        <x:v>T2 original + evolução sintética posterior</x:v>
      </x:c>
    </x:row>
    <x:row r="324">
      <x:c r="A324" t="str">
        <x:v>CH-20260908-012</x:v>
      </x:c>
      <x:c r="B324" t="str">
        <x:v>Painel sem comunicação</x:v>
      </x:c>
      <x:c r="C324" t="str">
        <x:v>Falha de comunicação</x:v>
      </x:c>
      <x:c r="D324" t="str">
        <x:v>Painel não responde aos comandos.</x:v>
      </x:c>
      <x:c r="E324" t="str">
        <x:v>Concluído</x:v>
      </x:c>
      <x:c r="F324" t="str">
        <x:v>Monitoramento Remoto</x:v>
      </x:c>
      <x:c r="G324" t="str">
        <x:v>E-112</x:v>
      </x:c>
      <x:c r="H324" t="str">
        <x:v>Elevador Social</x:v>
      </x:c>
      <x:c r="I324" t="str">
        <x:v>Microprocessado</x:v>
      </x:c>
      <x:c r="J324" t="str">
        <x:v>Gearless</x:v>
      </x:c>
      <x:c r="K324" t="str">
        <x:v>OTIS</x:v>
      </x:c>
      <x:c r="L324" t="str">
        <x:v>ROT-033</x:v>
      </x:c>
      <x:c r="M324" t="str">
        <x:v>Painel/Comando</x:v>
      </x:c>
      <x:c r="N324" t="str">
        <x:v>Interface</x:v>
      </x:c>
      <x:c r="O324" t="str">
        <x:v>Sem comunicação</x:v>
      </x:c>
      <x:c r="P324" t="str">
        <x:v>Falha lógica</x:v>
      </x:c>
      <x:c r="Q324" t="str">
        <x:v>Interface reinicializada/substituída</x:v>
      </x:c>
      <x:c r="R324" t="str">
        <x:v>Universidade Central</x:v>
      </x:c>
      <x:c r="S324" t="str">
        <x:v>Não</x:v>
      </x:c>
      <x:c r="T324" t="str">
        <x:v>Sim</x:v>
      </x:c>
      <x:c r="U324" t="str">
        <x:v>CT-2026-006</x:v>
      </x:c>
      <x:c r="V324" t="str">
        <x:v>SP-Leste</x:v>
      </x:c>
      <x:c r="W324" t="str">
        <x:v>Paulo Mendes</x:v>
      </x:c>
      <x:c r="X324" t="str">
        <x:v>Supervisor D</x:v>
      </x:c>
      <x:c r="Y324" t="str">
        <x:v>Rota Leste 06</x:v>
      </x:c>
      <x:c r="Z324" t="str">
        <x:v>Av. Central, 850 - São Paulo/SP</x:v>
      </x:c>
      <x:c r="AA324" t="str">
        <x:v>São Paulo</x:v>
      </x:c>
      <x:c r="AB324" s="50" t="n">
        <x:v>46273.3381944444</x:v>
      </x:c>
      <x:c r="AC324" s="50" t="n">
        <x:v>46273.3409722222</x:v>
      </x:c>
      <x:c r="AD324" s="50" t="n">
        <x:v>46273.3423611111</x:v>
      </x:c>
      <x:c r="AE324" s="50" t="n">
        <x:v>46273.3618055556</x:v>
      </x:c>
      <x:c r="AF324" s="50" t="n">
        <x:v>46273.3819444444</x:v>
      </x:c>
      <x:c r="AG324" t="n">
        <x:v>34</x:v>
      </x:c>
      <x:c r="AH324" t="n">
        <x:v>24</x:v>
      </x:c>
      <x:c r="AI324" t="str">
        <x:v>Não</x:v>
      </x:c>
      <x:c r="AJ324" t="str">
        <x:v>Não</x:v>
      </x:c>
      <x:c r="AK324" t="n">
        <x:v>120</x:v>
      </x:c>
      <x:c r="AL324" t="n">
        <x:v>0</x:v>
      </x:c>
      <x:c r="AM324" s="64" t="n">
        <x:v>0.4833</x:v>
      </x:c>
      <x:c r="AN324" t="n">
        <x:v>3</x:v>
      </x:c>
      <x:c r="AO324" t="str">
        <x:v>Verde</x:v>
      </x:c>
      <x:c r="AP324" t="str">
        <x:v>3 recorrências/30d</x:v>
      </x:c>
      <x:c r="AQ324" t="str">
        <x:v>Recorrência elevada: verificar padrão histórico em Painel/Comando/Interface.</x:v>
      </x:c>
      <x:c r="AR324" s="62" t="n">
        <x:v>1280</x:v>
      </x:c>
      <x:c r="AS324" t="str">
        <x:v>Alto</x:v>
      </x:c>
      <x:c r="AT324" s="50" t="n">
        <x:v>46273.666666666664</x:v>
      </x:c>
      <x:c r="AU324" t="str">
        <x:v>T10</x:v>
      </x:c>
      <x:c r="AV324" t="str">
        <x:v>T2 original + evolução sintética posterior</x:v>
      </x:c>
    </x:row>
    <x:row r="325">
      <x:c r="A325" t="str">
        <x:v>CH-20260908-013</x:v>
      </x:c>
      <x:c r="B325" t="str">
        <x:v>Falha de Tração</x:v>
      </x:c>
      <x:c r="C325" t="str">
        <x:v>Movimento irregular</x:v>
      </x:c>
      <x:c r="D325" t="str">
        <x:v>Equipamento apresenta perda de tração.</x:v>
      </x:c>
      <x:c r="E325" t="str">
        <x:v>Concluído</x:v>
      </x:c>
      <x:c r="F325" t="str">
        <x:v>Central de Atendimento</x:v>
      </x:c>
      <x:c r="G325" t="str">
        <x:v>E-113</x:v>
      </x:c>
      <x:c r="H325" t="str">
        <x:v>Elevador Social</x:v>
      </x:c>
      <x:c r="I325" t="str">
        <x:v>Microprocessado</x:v>
      </x:c>
      <x:c r="J325" t="str">
        <x:v>Gearless</x:v>
      </x:c>
      <x:c r="K325" t="str">
        <x:v>OTIS</x:v>
      </x:c>
      <x:c r="L325" t="str">
        <x:v>ROT-041</x:v>
      </x:c>
      <x:c r="M325" t="str">
        <x:v>Máquina de Tração</x:v>
      </x:c>
      <x:c r="N325" t="str">
        <x:v>Inversor</x:v>
      </x:c>
      <x:c r="O325" t="str">
        <x:v>Oscilação</x:v>
      </x:c>
      <x:c r="P325" t="str">
        <x:v>Falha de movimento</x:v>
      </x:c>
      <x:c r="Q325" t="str">
        <x:v>Inspeção técnica e normalização demonstrativas de Máquina de Tração; resolução sintética, sem confirmação de consumo de peças.</x:v>
      </x:c>
      <x:c r="R325" t="str">
        <x:v>Hospital São Paulo</x:v>
      </x:c>
      <x:c r="S325" t="str">
        <x:v>Sim</x:v>
      </x:c>
      <x:c r="T325" t="str">
        <x:v>Sim</x:v>
      </x:c>
      <x:c r="U325" t="str">
        <x:v>CT-2026-001</x:v>
      </x:c>
      <x:c r="V325" t="str">
        <x:v>SP-Centro</x:v>
      </x:c>
      <x:c r="W325" t="str">
        <x:v>João Silva</x:v>
      </x:c>
      <x:c r="X325" t="str">
        <x:v>Supervisor A</x:v>
      </x:c>
      <x:c r="Y325" t="str">
        <x:v>Rota Centro 01</x:v>
      </x:c>
      <x:c r="Z325" t="str">
        <x:v>Av. Paulista, 1000 - São Paulo/SP</x:v>
      </x:c>
      <x:c r="AA325" t="str">
        <x:v>São Paulo</x:v>
      </x:c>
      <x:c r="AB325" s="50" t="n">
        <x:v>46273.341666666696</x:v>
      </x:c>
      <x:c r="AC325" s="50" t="n">
        <x:v>46273.3451388889</x:v>
      </x:c>
      <x:c r="AD325" s="50" t="n">
        <x:v>46273.3479166667</x:v>
      </x:c>
      <x:c r="AE325" s="50" t="n">
        <x:v>46273.3722222222</x:v>
      </x:c>
      <x:c r="AF325" s="50" t="n">
        <x:v>46273.43124999998</x:v>
      </x:c>
      <x:c r="AG325" t="n">
        <x:v>44</x:v>
      </x:c>
      <x:c r="AH325" t="n">
        <x:v>80</x:v>
      </x:c>
      <x:c r="AI325" t="str">
        <x:v>Não</x:v>
      </x:c>
      <x:c r="AJ325" t="str">
        <x:v>Sim</x:v>
      </x:c>
      <x:c r="AK325" t="n">
        <x:v>60</x:v>
      </x:c>
      <x:c r="AL325" t="n">
        <x:v>0</x:v>
      </x:c>
      <x:c r="AM325" s="64" t="n">
        <x:v>2.0667</x:v>
      </x:c>
      <x:c r="AN325" t="n">
        <x:v>1</x:v>
      </x:c>
      <x:c r="AO325" t="str">
        <x:v>Vermelho</x:v>
      </x:c>
      <x:c r="AP325" t="str">
        <x:v>SLA sintético excedido (tempo acumulado ≥ 100% do SLA)</x:v>
      </x:c>
      <x:c r="AQ325" t="str">
        <x:v>Encerramento demonstrativo de Máquina de Tração; verificar fechamento e histórico para aprendizado. Sem despacho automático.</x:v>
      </x:c>
      <x:c r="AR325" s="62" t="n">
        <x:v>1085</x:v>
      </x:c>
      <x:c r="AS325" t="str">
        <x:v>Médio</x:v>
      </x:c>
      <x:c r="AT325" s="50" t="n">
        <x:v>46273.666666666664</x:v>
      </x:c>
      <x:c r="AU325" t="str">
        <x:v>T10</x:v>
      </x:c>
      <x:c r="AV325" t="str">
        <x:v>T2 original + evolução sintética posterior</x:v>
      </x:c>
    </x:row>
    <x:row r="326">
      <x:c r="A326" t="str">
        <x:v>CH-20260908-014</x:v>
      </x:c>
      <x:c r="B326" t="str">
        <x:v>Iluminação de Cabine</x:v>
      </x:c>
      <x:c r="C326" t="str">
        <x:v>Iluminação inoperante</x:v>
      </x:c>
      <x:c r="D326" t="str">
        <x:v>Cabine com iluminação parcial ou total indisponível.</x:v>
      </x:c>
      <x:c r="E326" t="str">
        <x:v>Concluído</x:v>
      </x:c>
      <x:c r="F326" t="str">
        <x:v>IoT</x:v>
      </x:c>
      <x:c r="G326" t="str">
        <x:v>E-114</x:v>
      </x:c>
      <x:c r="H326" t="str">
        <x:v>Elevador Social</x:v>
      </x:c>
      <x:c r="I326" t="str">
        <x:v>Microprocessado</x:v>
      </x:c>
      <x:c r="J326" t="str">
        <x:v>Gearless</x:v>
      </x:c>
      <x:c r="K326" t="str">
        <x:v>OTIS</x:v>
      </x:c>
      <x:c r="L326" t="str">
        <x:v>ROT-052</x:v>
      </x:c>
      <x:c r="M326" t="str">
        <x:v>Elétrica</x:v>
      </x:c>
      <x:c r="N326" t="str">
        <x:v>Fonte</x:v>
      </x:c>
      <x:c r="O326" t="str">
        <x:v>Sem alimentação</x:v>
      </x:c>
      <x:c r="P326" t="str">
        <x:v>Falha elétrica</x:v>
      </x:c>
      <x:c r="Q326" t="str">
        <x:v>Inspeção técnica e normalização demonstrativas de Elétrica; resolução sintética, sem confirmação de consumo de peças.</x:v>
      </x:c>
      <x:c r="R326" t="str">
        <x:v>Shopping Center Norte</x:v>
      </x:c>
      <x:c r="S326" t="str">
        <x:v>Não</x:v>
      </x:c>
      <x:c r="T326" t="str">
        <x:v>Sim</x:v>
      </x:c>
      <x:c r="U326" t="str">
        <x:v>CT-2026-002</x:v>
      </x:c>
      <x:c r="V326" t="str">
        <x:v>SP-Norte</x:v>
      </x:c>
      <x:c r="W326" t="str">
        <x:v>Marcos Lima</x:v>
      </x:c>
      <x:c r="X326" t="str">
        <x:v>Supervisor B</x:v>
      </x:c>
      <x:c r="Y326" t="str">
        <x:v>Rota Norte 02</x:v>
      </x:c>
      <x:c r="Z326" t="str">
        <x:v>Av. Otto Baumgart, 245 - São Paulo/SP</x:v>
      </x:c>
      <x:c r="AA326" t="str">
        <x:v>São Paulo</x:v>
      </x:c>
      <x:c r="AB326" s="50" t="n">
        <x:v>46273.3451388889</x:v>
      </x:c>
      <x:c r="AC326" s="50" t="n">
        <x:v>46273.3493055556</x:v>
      </x:c>
      <x:c r="AD326" s="50" t="n">
        <x:v>46273.3534722222</x:v>
      </x:c>
      <x:c r="AE326" s="50" t="n">
        <x:v>46273.3826388889</x:v>
      </x:c>
      <x:c r="AF326" s="50" t="n">
        <x:v>46273.4451388889</x:v>
      </x:c>
      <x:c r="AG326" t="n">
        <x:v>54</x:v>
      </x:c>
      <x:c r="AH326" t="n">
        <x:v>85</x:v>
      </x:c>
      <x:c r="AI326" t="str">
        <x:v>Não</x:v>
      </x:c>
      <x:c r="AJ326" t="str">
        <x:v>Não</x:v>
      </x:c>
      <x:c r="AK326" t="n">
        <x:v>90</x:v>
      </x:c>
      <x:c r="AL326" t="n">
        <x:v>0</x:v>
      </x:c>
      <x:c r="AM326" s="64" t="n">
        <x:v>1.5444</x:v>
      </x:c>
      <x:c r="AN326" t="n">
        <x:v>0</x:v>
      </x:c>
      <x:c r="AO326" t="str">
        <x:v>Vermelho</x:v>
      </x:c>
      <x:c r="AP326" t="str">
        <x:v>SLA sintético excedido (tempo acumulado ≥ 100% do SLA)</x:v>
      </x:c>
      <x:c r="AQ326" t="str">
        <x:v>Encerramento demonstrativo de Elétrica; verificar fechamento e histórico para aprendizado. Sem despacho automático.</x:v>
      </x:c>
      <x:c r="AR326" s="62" t="n">
        <x:v>770</x:v>
      </x:c>
      <x:c r="AS326" t="str">
        <x:v>Médio</x:v>
      </x:c>
      <x:c r="AT326" s="50" t="n">
        <x:v>46273.666666666664</x:v>
      </x:c>
      <x:c r="AU326" t="str">
        <x:v>T10</x:v>
      </x:c>
      <x:c r="AV326" t="str">
        <x:v>T2 original + evolução sintética posterior</x:v>
      </x:c>
    </x:row>
    <x:row r="327">
      <x:c r="A327" t="str">
        <x:v>CH-20260908-015</x:v>
      </x:c>
      <x:c r="B327" t="str">
        <x:v>Botão de Chamada</x:v>
      </x:c>
      <x:c r="C327" t="str">
        <x:v>Botão não responde</x:v>
      </x:c>
      <x:c r="D327" t="str">
        <x:v>Botão de chamada não registra comando.</x:v>
      </x:c>
      <x:c r="E327" t="str">
        <x:v>Concluído</x:v>
      </x:c>
      <x:c r="F327" t="str">
        <x:v>Aplicativo Cliente</x:v>
      </x:c>
      <x:c r="G327" t="str">
        <x:v>E-115</x:v>
      </x:c>
      <x:c r="H327" t="str">
        <x:v>Elevador Social</x:v>
      </x:c>
      <x:c r="I327" t="str">
        <x:v>Microprocessado</x:v>
      </x:c>
      <x:c r="J327" t="str">
        <x:v>Gearless</x:v>
      </x:c>
      <x:c r="K327" t="str">
        <x:v>OTIS</x:v>
      </x:c>
      <x:c r="L327" t="str">
        <x:v>ROT-063</x:v>
      </x:c>
      <x:c r="M327" t="str">
        <x:v>Botoeira</x:v>
      </x:c>
      <x:c r="N327" t="str">
        <x:v>Contato</x:v>
      </x:c>
      <x:c r="O327" t="str">
        <x:v>Mau contato</x:v>
      </x:c>
      <x:c r="P327" t="str">
        <x:v>Falha de comando</x:v>
      </x:c>
      <x:c r="Q327" t="str">
        <x:v>Inspeção técnica e normalização demonstrativas de Botoeira; resolução sintética, sem confirmação de consumo de peças.</x:v>
      </x:c>
      <x:c r="R327" t="str">
        <x:v>Edifício Corporate</x:v>
      </x:c>
      <x:c r="S327" t="str">
        <x:v>Não</x:v>
      </x:c>
      <x:c r="T327" t="str">
        <x:v>Sim</x:v>
      </x:c>
      <x:c r="U327" t="str">
        <x:v>CT-2026-003</x:v>
      </x:c>
      <x:c r="V327" t="str">
        <x:v>SP-Oeste</x:v>
      </x:c>
      <x:c r="W327" t="str">
        <x:v>Ana Costa</x:v>
      </x:c>
      <x:c r="X327" t="str">
        <x:v>Supervisor C</x:v>
      </x:c>
      <x:c r="Y327" t="str">
        <x:v>Rota Oeste 03</x:v>
      </x:c>
      <x:c r="Z327" t="str">
        <x:v>Av. Faria Lima, 3500 - São Paulo/SP</x:v>
      </x:c>
      <x:c r="AA327" t="str">
        <x:v>São Paulo</x:v>
      </x:c>
      <x:c r="AB327" s="50" t="n">
        <x:v>46273.3486111111</x:v>
      </x:c>
      <x:c r="AC327" s="50" t="n">
        <x:v>46273.35</x:v>
      </x:c>
      <x:c r="AD327" s="50" t="n">
        <x:v>46273.3513888889</x:v>
      </x:c>
      <x:c r="AE327" s="50" t="n">
        <x:v>46273.3618055556</x:v>
      </x:c>
      <x:c r="AF327" s="50" t="n">
        <x:v>46273.42152777778</x:v>
      </x:c>
      <x:c r="AG327" t="n">
        <x:v>19</x:v>
      </x:c>
      <x:c r="AH327" t="n">
        <x:v>81</x:v>
      </x:c>
      <x:c r="AI327" t="str">
        <x:v>Não</x:v>
      </x:c>
      <x:c r="AJ327" t="str">
        <x:v>Não</x:v>
      </x:c>
      <x:c r="AK327" t="n">
        <x:v>120</x:v>
      </x:c>
      <x:c r="AL327" t="n">
        <x:v>0</x:v>
      </x:c>
      <x:c r="AM327" s="64" t="n">
        <x:v>0.8333</x:v>
      </x:c>
      <x:c r="AN327" t="n">
        <x:v>2</x:v>
      </x:c>
      <x:c r="AO327" t="str">
        <x:v>Laranja</x:v>
      </x:c>
      <x:c r="AP327" t="str">
        <x:v>janela de intervenção: tempo acumulado ≥ 80% do SLA</x:v>
      </x:c>
      <x:c r="AQ327" t="str">
        <x:v>Encerramento demonstrativo de Botoeira; verificar fechamento e histórico para aprendizado. Sem despacho automático.</x:v>
      </x:c>
      <x:c r="AR327" s="62" t="n">
        <x:v>739</x:v>
      </x:c>
      <x:c r="AS327" t="str">
        <x:v>Baixo</x:v>
      </x:c>
      <x:c r="AT327" s="50" t="n">
        <x:v>46273.666666666664</x:v>
      </x:c>
      <x:c r="AU327" t="str">
        <x:v>T10</x:v>
      </x:c>
      <x:c r="AV327" t="str">
        <x:v>T2 original + evolução sintética posterior</x:v>
      </x:c>
    </x:row>
    <x:row r="328">
      <x:c r="A328" t="str">
        <x:v>CH-20260908-016</x:v>
      </x:c>
      <x:c r="B328" t="str">
        <x:v>Parada Intermitente</x:v>
      </x:c>
      <x:c r="C328" t="str">
        <x:v>Paradas aleatórias</x:v>
      </x:c>
      <x:c r="D328" t="str">
        <x:v>Equipamento interrompe operação de forma intermitente.</x:v>
      </x:c>
      <x:c r="E328" t="str">
        <x:v>Concluído</x:v>
      </x:c>
      <x:c r="F328" t="str">
        <x:v>Monitoramento Remoto</x:v>
      </x:c>
      <x:c r="G328" t="str">
        <x:v>E-116</x:v>
      </x:c>
      <x:c r="H328" t="str">
        <x:v>Elevador Social</x:v>
      </x:c>
      <x:c r="I328" t="str">
        <x:v>Microprocessado</x:v>
      </x:c>
      <x:c r="J328" t="str">
        <x:v>Gearless</x:v>
      </x:c>
      <x:c r="K328" t="str">
        <x:v>OTIS</x:v>
      </x:c>
      <x:c r="L328" t="str">
        <x:v>ROT-074</x:v>
      </x:c>
      <x:c r="M328" t="str">
        <x:v>Painel/Comando</x:v>
      </x:c>
      <x:c r="N328" t="str">
        <x:v>Placa</x:v>
      </x:c>
      <x:c r="O328" t="str">
        <x:v>Intermitência</x:v>
      </x:c>
      <x:c r="P328" t="str">
        <x:v>Falha intermitente</x:v>
      </x:c>
      <x:c r="Q328" t="str">
        <x:v>Inspeção técnica e normalização demonstrativas de Painel/Comando; resolução sintética, sem confirmação de consumo de peças.</x:v>
      </x:c>
      <x:c r="R328" t="str">
        <x:v>Condomínio Alameda</x:v>
      </x:c>
      <x:c r="S328" t="str">
        <x:v>Não</x:v>
      </x:c>
      <x:c r="T328" t="str">
        <x:v>Não</x:v>
      </x:c>
      <x:c r="U328" t="str">
        <x:v>CT-2026-004</x:v>
      </x:c>
      <x:c r="V328" t="str">
        <x:v>SP-Sul</x:v>
      </x:c>
      <x:c r="W328" t="str">
        <x:v>Carlos Souza</x:v>
      </x:c>
      <x:c r="X328" t="str">
        <x:v>Supervisor D</x:v>
      </x:c>
      <x:c r="Y328" t="str">
        <x:v>Rota Sul 04</x:v>
      </x:c>
      <x:c r="Z328" t="str">
        <x:v>R. das Acácias, 420 - São Paulo/SP</x:v>
      </x:c>
      <x:c r="AA328" t="str">
        <x:v>São Paulo</x:v>
      </x:c>
      <x:c r="AB328" s="50" t="n">
        <x:v>46273.3520833333</x:v>
      </x:c>
      <x:c r="AC328" s="50" t="n">
        <x:v>46273.3541666667</x:v>
      </x:c>
      <x:c r="AD328" s="50" t="n">
        <x:v>46273.3569444444</x:v>
      </x:c>
      <x:c r="AE328" s="50" t="n">
        <x:v>46273.3722222222</x:v>
      </x:c>
      <x:c r="AF328" s="50" t="n">
        <x:v>46273.46249999998</x:v>
      </x:c>
      <x:c r="AG328" t="n">
        <x:v>29</x:v>
      </x:c>
      <x:c r="AH328" t="n">
        <x:v>125</x:v>
      </x:c>
      <x:c r="AI328" t="str">
        <x:v>Não</x:v>
      </x:c>
      <x:c r="AJ328" t="str">
        <x:v>Sim</x:v>
      </x:c>
      <x:c r="AK328" t="n">
        <x:v>180</x:v>
      </x:c>
      <x:c r="AL328" t="n">
        <x:v>0</x:v>
      </x:c>
      <x:c r="AM328" s="64" t="n">
        <x:v>0.8556</x:v>
      </x:c>
      <x:c r="AN328" t="n">
        <x:v>4</x:v>
      </x:c>
      <x:c r="AO328" t="str">
        <x:v>Laranja</x:v>
      </x:c>
      <x:c r="AP328" t="str">
        <x:v>janela de intervenção: tempo acumulado ≥ 80% do SLA</x:v>
      </x:c>
      <x:c r="AQ328" t="str">
        <x:v>Encerramento demonstrativo de Painel/Comando; verificar fechamento e histórico para aprendizado. Sem despacho automático.</x:v>
      </x:c>
      <x:c r="AR328" s="62" t="n">
        <x:v>1564</x:v>
      </x:c>
      <x:c r="AS328" t="str">
        <x:v>Alto</x:v>
      </x:c>
      <x:c r="AT328" s="50" t="n">
        <x:v>46273.666666666664</x:v>
      </x:c>
      <x:c r="AU328" t="str">
        <x:v>T10</x:v>
      </x:c>
      <x:c r="AV328" t="str">
        <x:v>T2 original + evolução sintética posterior</x:v>
      </x:c>
    </x:row>
    <x:row r="329">
      <x:c r="A329" t="str">
        <x:v>CH-20260908-017</x:v>
      </x:c>
      <x:c r="B329" t="str">
        <x:v>Passageiro Preso</x:v>
      </x:c>
      <x:c r="C329" t="str">
        <x:v>Elevador parado entre andares</x:v>
      </x:c>
      <x:c r="D329" t="str">
        <x:v>Cabine imobilizada com passageiro no interior.</x:v>
      </x:c>
      <x:c r="E329" t="str">
        <x:v>Concluído</x:v>
      </x:c>
      <x:c r="F329" t="str">
        <x:v>Central de Atendimento</x:v>
      </x:c>
      <x:c r="G329" t="str">
        <x:v>E-117</x:v>
      </x:c>
      <x:c r="H329" t="str">
        <x:v>Elevador Social</x:v>
      </x:c>
      <x:c r="I329" t="str">
        <x:v>Microprocessado</x:v>
      </x:c>
      <x:c r="J329" t="str">
        <x:v>Gearless</x:v>
      </x:c>
      <x:c r="K329" t="str">
        <x:v>OTIS</x:v>
      </x:c>
      <x:c r="L329" t="str">
        <x:v>ROT-001</x:v>
      </x:c>
      <x:c r="M329" t="str">
        <x:v>Tração</x:v>
      </x:c>
      <x:c r="N329" t="str">
        <x:v>Freio</x:v>
      </x:c>
      <x:c r="O329" t="str">
        <x:v>Travamento</x:v>
      </x:c>
      <x:c r="P329" t="str">
        <x:v>Parada total</x:v>
      </x:c>
      <x:c r="Q329" t="str">
        <x:v>Resgate concluído e equipamento normalizado</x:v>
      </x:c>
      <x:c r="R329" t="str">
        <x:v>Aeroporto Terminal 3</x:v>
      </x:c>
      <x:c r="S329" t="str">
        <x:v>Sim</x:v>
      </x:c>
      <x:c r="T329" t="str">
        <x:v>Sim</x:v>
      </x:c>
      <x:c r="U329" t="str">
        <x:v>CT-2026-005</x:v>
      </x:c>
      <x:c r="V329" t="str">
        <x:v>GRU</x:v>
      </x:c>
      <x:c r="W329" t="str">
        <x:v>Renata Alves</x:v>
      </x:c>
      <x:c r="X329" t="str">
        <x:v>Supervisor A</x:v>
      </x:c>
      <x:c r="Y329" t="str">
        <x:v>Rota GRU 05</x:v>
      </x:c>
      <x:c r="Z329" t="str">
        <x:v>Rod. Hélio Smidt, s/n - Guarulhos/SP</x:v>
      </x:c>
      <x:c r="AA329" t="str">
        <x:v>São Paulo</x:v>
      </x:c>
      <x:c r="AB329" s="50" t="n">
        <x:v>46273.3555555556</x:v>
      </x:c>
      <x:c r="AC329" s="50" t="n">
        <x:v>46273.3583333333</x:v>
      </x:c>
      <x:c r="AD329" s="50" t="n">
        <x:v>46273.3625</x:v>
      </x:c>
      <x:c r="AE329" s="50" t="n">
        <x:v>46273.3763888889</x:v>
      </x:c>
      <x:c r="AF329" s="50" t="n">
        <x:v>46273.3993055556</x:v>
      </x:c>
      <x:c r="AG329" t="n">
        <x:v>30</x:v>
      </x:c>
      <x:c r="AH329" t="n">
        <x:v>28</x:v>
      </x:c>
      <x:c r="AI329" t="str">
        <x:v>Sim</x:v>
      </x:c>
      <x:c r="AJ329" t="str">
        <x:v>Sim</x:v>
      </x:c>
      <x:c r="AK329" t="n">
        <x:v>45</x:v>
      </x:c>
      <x:c r="AL329" t="n">
        <x:v>0</x:v>
      </x:c>
      <x:c r="AM329" s="64" t="n">
        <x:v>1.2889</x:v>
      </x:c>
      <x:c r="AN329" t="n">
        <x:v>0</x:v>
      </x:c>
      <x:c r="AO329" t="str">
        <x:v>Vermelho</x:v>
      </x:c>
      <x:c r="AP329" t="str">
        <x:v>passageiro preso; SLA estourado; carro parado</x:v>
      </x:c>
      <x:c r="AQ329" t="str">
        <x:v>Sem recorrência relevante; acompanhar evolução de Tração.</x:v>
      </x:c>
      <x:c r="AR329" s="62" t="n">
        <x:v>906</x:v>
      </x:c>
      <x:c r="AS329" t="str">
        <x:v>Médio</x:v>
      </x:c>
      <x:c r="AT329" s="50" t="n">
        <x:v>46273.666666666664</x:v>
      </x:c>
      <x:c r="AU329" t="str">
        <x:v>T10</x:v>
      </x:c>
      <x:c r="AV329" t="str">
        <x:v>T2 original + evolução sintética posterior</x:v>
      </x:c>
    </x:row>
    <x:row r="330">
      <x:c r="A330" t="str">
        <x:v>CH-20260908-018</x:v>
      </x:c>
      <x:c r="B330" t="str">
        <x:v>Falha de Nivelamento</x:v>
      </x:c>
      <x:c r="C330" t="str">
        <x:v>Cabine desnivelada</x:v>
      </x:c>
      <x:c r="D330" t="str">
        <x:v>Cabine parou fora do nível do pavimento.</x:v>
      </x:c>
      <x:c r="E330" t="str">
        <x:v>Concluído</x:v>
      </x:c>
      <x:c r="F330" t="str">
        <x:v>IoT</x:v>
      </x:c>
      <x:c r="G330" t="str">
        <x:v>E-118</x:v>
      </x:c>
      <x:c r="H330" t="str">
        <x:v>Elevador Social</x:v>
      </x:c>
      <x:c r="I330" t="str">
        <x:v>Microprocessado</x:v>
      </x:c>
      <x:c r="J330" t="str">
        <x:v>Gearless</x:v>
      </x:c>
      <x:c r="K330" t="str">
        <x:v>OTIS</x:v>
      </x:c>
      <x:c r="L330" t="str">
        <x:v>ROT-014</x:v>
      </x:c>
      <x:c r="M330" t="str">
        <x:v>Sensor de Nível</x:v>
      </x:c>
      <x:c r="N330" t="str">
        <x:v>Sensor</x:v>
      </x:c>
      <x:c r="O330" t="str">
        <x:v>Leitura inconsistente</x:v>
      </x:c>
      <x:c r="P330" t="str">
        <x:v>Falha de nivelamento</x:v>
      </x:c>
      <x:c r="Q330" t="str">
        <x:v>Inspeção técnica e normalização demonstrativas de Sensor de Nível; resolução sintética, sem confirmação de consumo de peças.</x:v>
      </x:c>
      <x:c r="R330" t="str">
        <x:v>Universidade Central</x:v>
      </x:c>
      <x:c r="S330" t="str">
        <x:v>Não</x:v>
      </x:c>
      <x:c r="T330" t="str">
        <x:v>Sim</x:v>
      </x:c>
      <x:c r="U330" t="str">
        <x:v>CT-2026-006</x:v>
      </x:c>
      <x:c r="V330" t="str">
        <x:v>SP-Leste</x:v>
      </x:c>
      <x:c r="W330" t="str">
        <x:v>Paulo Mendes</x:v>
      </x:c>
      <x:c r="X330" t="str">
        <x:v>Supervisor B</x:v>
      </x:c>
      <x:c r="Y330" t="str">
        <x:v>Rota Leste 06</x:v>
      </x:c>
      <x:c r="Z330" t="str">
        <x:v>Av. Central, 850 - São Paulo/SP</x:v>
      </x:c>
      <x:c r="AA330" t="str">
        <x:v>São Paulo</x:v>
      </x:c>
      <x:c r="AB330" s="50" t="n">
        <x:v>46273.3590277778</x:v>
      </x:c>
      <x:c r="AC330" s="50" t="n">
        <x:v>46273.3625</x:v>
      </x:c>
      <x:c r="AD330" s="50" t="n">
        <x:v>46273.363888888896</x:v>
      </x:c>
      <x:c r="AE330" s="50" t="n">
        <x:v>46273.3888888889</x:v>
      </x:c>
      <x:c r="AF330" s="50" t="n">
        <x:v>46273.437500000015</x:v>
      </x:c>
      <x:c r="AG330" t="n">
        <x:v>43</x:v>
      </x:c>
      <x:c r="AH330" t="n">
        <x:v>65</x:v>
      </x:c>
      <x:c r="AI330" t="str">
        <x:v>Não</x:v>
      </x:c>
      <x:c r="AJ330" t="str">
        <x:v>Não</x:v>
      </x:c>
      <x:c r="AK330" t="n">
        <x:v>120</x:v>
      </x:c>
      <x:c r="AL330" t="n">
        <x:v>0</x:v>
      </x:c>
      <x:c r="AM330" s="64" t="n">
        <x:v>0.9</x:v>
      </x:c>
      <x:c r="AN330" t="n">
        <x:v>1</x:v>
      </x:c>
      <x:c r="AO330" t="str">
        <x:v>Laranja</x:v>
      </x:c>
      <x:c r="AP330" t="str">
        <x:v>janela de intervenção: tempo acumulado ≥ 80% do SLA</x:v>
      </x:c>
      <x:c r="AQ330" t="str">
        <x:v>Encerramento demonstrativo de Sensor de Nível; verificar fechamento e histórico para aprendizado. Sem despacho automático.</x:v>
      </x:c>
      <x:c r="AR330" s="62" t="n">
        <x:v>613</x:v>
      </x:c>
      <x:c r="AS330" t="str">
        <x:v>Baixo</x:v>
      </x:c>
      <x:c r="AT330" s="50" t="n">
        <x:v>46273.666666666664</x:v>
      </x:c>
      <x:c r="AU330" t="str">
        <x:v>T10</x:v>
      </x:c>
      <x:c r="AV330" t="str">
        <x:v>T2 original + evolução sintética posterior</x:v>
      </x:c>
    </x:row>
    <x:row r="331">
      <x:c r="A331" t="str">
        <x:v>CH-20260908-019</x:v>
      </x:c>
      <x:c r="B331" t="str">
        <x:v>Porta não fecha</x:v>
      </x:c>
      <x:c r="C331" t="str">
        <x:v>Falha no fechamento</x:v>
      </x:c>
      <x:c r="D331" t="str">
        <x:v>Porta permanece aberta e impede partida.</x:v>
      </x:c>
      <x:c r="E331" t="str">
        <x:v>Concluído</x:v>
      </x:c>
      <x:c r="F331" t="str">
        <x:v>Aplicativo Cliente</x:v>
      </x:c>
      <x:c r="G331" t="str">
        <x:v>E-119</x:v>
      </x:c>
      <x:c r="H331" t="str">
        <x:v>Elevador Social</x:v>
      </x:c>
      <x:c r="I331" t="str">
        <x:v>Microprocessado</x:v>
      </x:c>
      <x:c r="J331" t="str">
        <x:v>Gearless</x:v>
      </x:c>
      <x:c r="K331" t="str">
        <x:v>OTIS</x:v>
      </x:c>
      <x:c r="L331" t="str">
        <x:v>ROT-021</x:v>
      </x:c>
      <x:c r="M331" t="str">
        <x:v>Operador de Porta</x:v>
      </x:c>
      <x:c r="N331" t="str">
        <x:v>Sensor de porta</x:v>
      </x:c>
      <x:c r="O331" t="str">
        <x:v>Falha de leitura</x:v>
      </x:c>
      <x:c r="P331" t="str">
        <x:v>Porta aberta</x:v>
      </x:c>
      <x:c r="Q331" t="str">
        <x:v>Inspeção técnica e normalização demonstrativas de Operador de Porta; resolução sintética, sem confirmação de consumo de peças.</x:v>
      </x:c>
      <x:c r="R331" t="str">
        <x:v>Hospital São Paulo</x:v>
      </x:c>
      <x:c r="S331" t="str">
        <x:v>Sim</x:v>
      </x:c>
      <x:c r="T331" t="str">
        <x:v>Sim</x:v>
      </x:c>
      <x:c r="U331" t="str">
        <x:v>CT-2026-001</x:v>
      </x:c>
      <x:c r="V331" t="str">
        <x:v>SP-Centro</x:v>
      </x:c>
      <x:c r="W331" t="str">
        <x:v>João Silva</x:v>
      </x:c>
      <x:c r="X331" t="str">
        <x:v>Supervisor C</x:v>
      </x:c>
      <x:c r="Y331" t="str">
        <x:v>Rota Centro 01</x:v>
      </x:c>
      <x:c r="Z331" t="str">
        <x:v>Av. Paulista, 1000 - São Paulo/SP</x:v>
      </x:c>
      <x:c r="AA331" t="str">
        <x:v>São Paulo</x:v>
      </x:c>
      <x:c r="AB331" s="50" t="n">
        <x:v>46273.3625</x:v>
      </x:c>
      <x:c r="AC331" s="50" t="n">
        <x:v>46273.3666666667</x:v>
      </x:c>
      <x:c r="AD331" s="50" t="n">
        <x:v>46273.3694444444</x:v>
      </x:c>
      <x:c r="AE331" s="50" t="n">
        <x:v>46273.399305555555</x:v>
      </x:c>
      <x:c r="AF331" s="50" t="n">
        <x:v>46273.48263888889</x:v>
      </x:c>
      <x:c r="AG331" t="n">
        <x:v>53</x:v>
      </x:c>
      <x:c r="AH331" t="n">
        <x:v>115</x:v>
      </x:c>
      <x:c r="AI331" t="str">
        <x:v>Não</x:v>
      </x:c>
      <x:c r="AJ331" t="str">
        <x:v>Não</x:v>
      </x:c>
      <x:c r="AK331" t="n">
        <x:v>60</x:v>
      </x:c>
      <x:c r="AL331" t="n">
        <x:v>0</x:v>
      </x:c>
      <x:c r="AM331" s="64" t="n">
        <x:v>2.8</x:v>
      </x:c>
      <x:c r="AN331" t="n">
        <x:v>2</x:v>
      </x:c>
      <x:c r="AO331" t="str">
        <x:v>Vermelho</x:v>
      </x:c>
      <x:c r="AP331" t="str">
        <x:v>SLA sintético excedido (tempo acumulado ≥ 100% do SLA)</x:v>
      </x:c>
      <x:c r="AQ331" t="str">
        <x:v>Encerramento demonstrativo de Operador de Porta; verificar fechamento e histórico para aprendizado. Sem despacho automático.</x:v>
      </x:c>
      <x:c r="AR331" s="62" t="n">
        <x:v>718</x:v>
      </x:c>
      <x:c r="AS331" t="str">
        <x:v>Baixo</x:v>
      </x:c>
      <x:c r="AT331" s="50" t="n">
        <x:v>46273.666666666664</x:v>
      </x:c>
      <x:c r="AU331" t="str">
        <x:v>T10</x:v>
      </x:c>
      <x:c r="AV331" t="str">
        <x:v>T2 original + evolução sintética posterior</x:v>
      </x:c>
    </x:row>
    <x:row r="332">
      <x:c r="A332" t="str">
        <x:v>CH-20260908-020</x:v>
      </x:c>
      <x:c r="B332" t="str">
        <x:v>Painel sem comunicação</x:v>
      </x:c>
      <x:c r="C332" t="str">
        <x:v>Falha de comunicação</x:v>
      </x:c>
      <x:c r="D332" t="str">
        <x:v>Painel não responde aos comandos.</x:v>
      </x:c>
      <x:c r="E332" t="str">
        <x:v>Concluído</x:v>
      </x:c>
      <x:c r="F332" t="str">
        <x:v>Monitoramento Remoto</x:v>
      </x:c>
      <x:c r="G332" t="str">
        <x:v>E-120</x:v>
      </x:c>
      <x:c r="H332" t="str">
        <x:v>Elevador Social</x:v>
      </x:c>
      <x:c r="I332" t="str">
        <x:v>Microprocessado</x:v>
      </x:c>
      <x:c r="J332" t="str">
        <x:v>Gearless</x:v>
      </x:c>
      <x:c r="K332" t="str">
        <x:v>OTIS</x:v>
      </x:c>
      <x:c r="L332" t="str">
        <x:v>ROT-033</x:v>
      </x:c>
      <x:c r="M332" t="str">
        <x:v>Painel/Comando</x:v>
      </x:c>
      <x:c r="N332" t="str">
        <x:v>Interface</x:v>
      </x:c>
      <x:c r="O332" t="str">
        <x:v>Sem comunicação</x:v>
      </x:c>
      <x:c r="P332" t="str">
        <x:v>Falha lógica</x:v>
      </x:c>
      <x:c r="Q332" t="str">
        <x:v>Inspeção técnica e normalização demonstrativas de Painel/Comando; resolução sintética, sem confirmação de consumo de peças.</x:v>
      </x:c>
      <x:c r="R332" t="str">
        <x:v>Shopping Center Norte</x:v>
      </x:c>
      <x:c r="S332" t="str">
        <x:v>Não</x:v>
      </x:c>
      <x:c r="T332" t="str">
        <x:v>Sim</x:v>
      </x:c>
      <x:c r="U332" t="str">
        <x:v>CT-2026-002</x:v>
      </x:c>
      <x:c r="V332" t="str">
        <x:v>SP-Norte</x:v>
      </x:c>
      <x:c r="W332" t="str">
        <x:v>Marcos Lima</x:v>
      </x:c>
      <x:c r="X332" t="str">
        <x:v>Supervisor D</x:v>
      </x:c>
      <x:c r="Y332" t="str">
        <x:v>Rota Norte 02</x:v>
      </x:c>
      <x:c r="Z332" t="str">
        <x:v>Av. Otto Baumgart, 245 - São Paulo/SP</x:v>
      </x:c>
      <x:c r="AA332" t="str">
        <x:v>São Paulo</x:v>
      </x:c>
      <x:c r="AB332" s="50" t="n">
        <x:v>46273.3659722222</x:v>
      </x:c>
      <x:c r="AC332" s="50" t="n">
        <x:v>46273.3673611111</x:v>
      </x:c>
      <x:c r="AD332" s="50" t="n">
        <x:v>46273.3715277778</x:v>
      </x:c>
      <x:c r="AE332" s="50" t="n">
        <x:v>46273.3826388889</x:v>
      </x:c>
      <x:c r="AF332" s="50" t="n">
        <x:v>46273.4763888889</x:v>
      </x:c>
      <x:c r="AG332" t="n">
        <x:v>24</x:v>
      </x:c>
      <x:c r="AH332" t="n">
        <x:v>130</x:v>
      </x:c>
      <x:c r="AI332" t="str">
        <x:v>Não</x:v>
      </x:c>
      <x:c r="AJ332" t="str">
        <x:v>Não</x:v>
      </x:c>
      <x:c r="AK332" t="n">
        <x:v>90</x:v>
      </x:c>
      <x:c r="AL332" t="n">
        <x:v>0</x:v>
      </x:c>
      <x:c r="AM332" s="64" t="n">
        <x:v>1.7111</x:v>
      </x:c>
      <x:c r="AN332" t="n">
        <x:v>3</x:v>
      </x:c>
      <x:c r="AO332" t="str">
        <x:v>Vermelho</x:v>
      </x:c>
      <x:c r="AP332" t="str">
        <x:v>SLA sintético excedido (tempo acumulado ≥ 100% do SLA)</x:v>
      </x:c>
      <x:c r="AQ332" t="str">
        <x:v>Encerramento demonstrativo de Painel/Comando; verificar fechamento e histórico para aprendizado. Sem despacho automático.</x:v>
      </x:c>
      <x:c r="AR332" s="62" t="n">
        <x:v>1407</x:v>
      </x:c>
      <x:c r="AS332" t="str">
        <x:v>Alto</x:v>
      </x:c>
      <x:c r="AT332" s="50" t="n">
        <x:v>46273.666666666664</x:v>
      </x:c>
      <x:c r="AU332" t="str">
        <x:v>T10</x:v>
      </x:c>
      <x:c r="AV332" t="str">
        <x:v>T2 original + evolução sintética posterior</x:v>
      </x:c>
    </x:row>
    <x:row r="333">
      <x:c r="A333" t="str">
        <x:v>CH-20260908-021</x:v>
      </x:c>
      <x:c r="B333" t="str">
        <x:v>Falha de Tração</x:v>
      </x:c>
      <x:c r="C333" t="str">
        <x:v>Movimento irregular</x:v>
      </x:c>
      <x:c r="D333" t="str">
        <x:v>Equipamento apresenta perda de tração.</x:v>
      </x:c>
      <x:c r="E333" t="str">
        <x:v>Concluído</x:v>
      </x:c>
      <x:c r="F333" t="str">
        <x:v>Central de Atendimento</x:v>
      </x:c>
      <x:c r="G333" t="str">
        <x:v>E-121</x:v>
      </x:c>
      <x:c r="H333" t="str">
        <x:v>Elevador Social</x:v>
      </x:c>
      <x:c r="I333" t="str">
        <x:v>Microprocessado</x:v>
      </x:c>
      <x:c r="J333" t="str">
        <x:v>Gearless</x:v>
      </x:c>
      <x:c r="K333" t="str">
        <x:v>OTIS</x:v>
      </x:c>
      <x:c r="L333" t="str">
        <x:v>ROT-041</x:v>
      </x:c>
      <x:c r="M333" t="str">
        <x:v>Máquina de Tração</x:v>
      </x:c>
      <x:c r="N333" t="str">
        <x:v>Inversor</x:v>
      </x:c>
      <x:c r="O333" t="str">
        <x:v>Oscilação</x:v>
      </x:c>
      <x:c r="P333" t="str">
        <x:v>Falha de movimento</x:v>
      </x:c>
      <x:c r="Q333" t="str">
        <x:v>Inspeção técnica e normalização demonstrativas de Máquina de Tração; resolução sintética, sem confirmação de consumo de peças.</x:v>
      </x:c>
      <x:c r="R333" t="str">
        <x:v>Edifício Corporate</x:v>
      </x:c>
      <x:c r="S333" t="str">
        <x:v>Não</x:v>
      </x:c>
      <x:c r="T333" t="str">
        <x:v>Sim</x:v>
      </x:c>
      <x:c r="U333" t="str">
        <x:v>CT-2026-003</x:v>
      </x:c>
      <x:c r="V333" t="str">
        <x:v>SP-Oeste</x:v>
      </x:c>
      <x:c r="W333" t="str">
        <x:v>Ana Costa</x:v>
      </x:c>
      <x:c r="X333" t="str">
        <x:v>Supervisor A</x:v>
      </x:c>
      <x:c r="Y333" t="str">
        <x:v>Rota Oeste 03</x:v>
      </x:c>
      <x:c r="Z333" t="str">
        <x:v>Av. Faria Lima, 3500 - São Paulo/SP</x:v>
      </x:c>
      <x:c r="AA333" t="str">
        <x:v>São Paulo</x:v>
      </x:c>
      <x:c r="AB333" s="50" t="n">
        <x:v>46273.3694444444</x:v>
      </x:c>
      <x:c r="AC333" s="50" t="n">
        <x:v>46273.3715277778</x:v>
      </x:c>
      <x:c r="AD333" s="50" t="n">
        <x:v>46273.372916666696</x:v>
      </x:c>
      <x:c r="AE333" s="50" t="n">
        <x:v>46273.3888888889</x:v>
      </x:c>
      <x:c r="AF333" s="50" t="n">
        <x:v>46273.44791666668</x:v>
      </x:c>
      <x:c r="AG333" t="n">
        <x:v>28</x:v>
      </x:c>
      <x:c r="AH333" t="n">
        <x:v>80</x:v>
      </x:c>
      <x:c r="AI333" t="str">
        <x:v>Não</x:v>
      </x:c>
      <x:c r="AJ333" t="str">
        <x:v>Sim</x:v>
      </x:c>
      <x:c r="AK333" t="n">
        <x:v>120</x:v>
      </x:c>
      <x:c r="AL333" t="n">
        <x:v>0</x:v>
      </x:c>
      <x:c r="AM333" s="64" t="n">
        <x:v>0.9</x:v>
      </x:c>
      <x:c r="AN333" t="n">
        <x:v>1</x:v>
      </x:c>
      <x:c r="AO333" t="str">
        <x:v>Laranja</x:v>
      </x:c>
      <x:c r="AP333" t="str">
        <x:v>janela de intervenção: tempo acumulado ≥ 80% do SLA</x:v>
      </x:c>
      <x:c r="AQ333" t="str">
        <x:v>Encerramento demonstrativo de Máquina de Tração; verificar fechamento e histórico para aprendizado. Sem despacho automático.</x:v>
      </x:c>
      <x:c r="AR333" s="62" t="n">
        <x:v>1212</x:v>
      </x:c>
      <x:c r="AS333" t="str">
        <x:v>Alto</x:v>
      </x:c>
      <x:c r="AT333" s="50" t="n">
        <x:v>46273.666666666664</x:v>
      </x:c>
      <x:c r="AU333" t="str">
        <x:v>T10</x:v>
      </x:c>
      <x:c r="AV333" t="str">
        <x:v>T2 original + evolução sintética posterior</x:v>
      </x:c>
    </x:row>
    <x:row r="334">
      <x:c r="A334" t="str">
        <x:v>CH-20260908-022</x:v>
      </x:c>
      <x:c r="B334" t="str">
        <x:v>Iluminação de Cabine</x:v>
      </x:c>
      <x:c r="C334" t="str">
        <x:v>Iluminação inoperante</x:v>
      </x:c>
      <x:c r="D334" t="str">
        <x:v>Cabine com iluminação parcial ou total indisponível.</x:v>
      </x:c>
      <x:c r="E334" t="str">
        <x:v>Concluído</x:v>
      </x:c>
      <x:c r="F334" t="str">
        <x:v>IoT</x:v>
      </x:c>
      <x:c r="G334" t="str">
        <x:v>E-122</x:v>
      </x:c>
      <x:c r="H334" t="str">
        <x:v>Elevador Social</x:v>
      </x:c>
      <x:c r="I334" t="str">
        <x:v>Microprocessado</x:v>
      </x:c>
      <x:c r="J334" t="str">
        <x:v>Gearless</x:v>
      </x:c>
      <x:c r="K334" t="str">
        <x:v>OTIS</x:v>
      </x:c>
      <x:c r="L334" t="str">
        <x:v>ROT-052</x:v>
      </x:c>
      <x:c r="M334" t="str">
        <x:v>Elétrica</x:v>
      </x:c>
      <x:c r="N334" t="str">
        <x:v>Fonte</x:v>
      </x:c>
      <x:c r="O334" t="str">
        <x:v>Sem alimentação</x:v>
      </x:c>
      <x:c r="P334" t="str">
        <x:v>Falha elétrica</x:v>
      </x:c>
      <x:c r="Q334" t="str">
        <x:v>Inspeção técnica e normalização demonstrativas de Elétrica; resolução sintética, sem confirmação de consumo de peças.</x:v>
      </x:c>
      <x:c r="R334" t="str">
        <x:v>Condomínio Alameda</x:v>
      </x:c>
      <x:c r="S334" t="str">
        <x:v>Não</x:v>
      </x:c>
      <x:c r="T334" t="str">
        <x:v>Não</x:v>
      </x:c>
      <x:c r="U334" t="str">
        <x:v>CT-2026-004</x:v>
      </x:c>
      <x:c r="V334" t="str">
        <x:v>SP-Sul</x:v>
      </x:c>
      <x:c r="W334" t="str">
        <x:v>Carlos Souza</x:v>
      </x:c>
      <x:c r="X334" t="str">
        <x:v>Supervisor B</x:v>
      </x:c>
      <x:c r="Y334" t="str">
        <x:v>Rota Sul 04</x:v>
      </x:c>
      <x:c r="Z334" t="str">
        <x:v>R. das Acácias, 420 - São Paulo/SP</x:v>
      </x:c>
      <x:c r="AA334" t="str">
        <x:v>São Paulo</x:v>
      </x:c>
      <x:c r="AB334" s="50" t="n">
        <x:v>46273.372916666696</x:v>
      </x:c>
      <x:c r="AC334" s="50" t="n">
        <x:v>46273.3756944445</x:v>
      </x:c>
      <x:c r="AD334" s="50" t="n">
        <x:v>46273.3784722222</x:v>
      </x:c>
      <x:c r="AE334" s="50" t="n">
        <x:v>46273.39930555559</x:v>
      </x:c>
      <x:c r="AF334" s="50" t="n">
        <x:v>46273.486111111146</x:v>
      </x:c>
      <x:c r="AG334" t="n">
        <x:v>38</x:v>
      </x:c>
      <x:c r="AH334" t="n">
        <x:v>120</x:v>
      </x:c>
      <x:c r="AI334" t="str">
        <x:v>Não</x:v>
      </x:c>
      <x:c r="AJ334" t="str">
        <x:v>Não</x:v>
      </x:c>
      <x:c r="AK334" t="n">
        <x:v>180</x:v>
      </x:c>
      <x:c r="AL334" t="n">
        <x:v>0</x:v>
      </x:c>
      <x:c r="AM334" s="64" t="n">
        <x:v>0.8778</x:v>
      </x:c>
      <x:c r="AN334" t="n">
        <x:v>0</x:v>
      </x:c>
      <x:c r="AO334" t="str">
        <x:v>Laranja</x:v>
      </x:c>
      <x:c r="AP334" t="str">
        <x:v>janela de intervenção: tempo acumulado ≥ 80% do SLA</x:v>
      </x:c>
      <x:c r="AQ334" t="str">
        <x:v>Encerramento demonstrativo de Elétrica; verificar fechamento e histórico para aprendizado. Sem despacho automático.</x:v>
      </x:c>
      <x:c r="AR334" s="62" t="n">
        <x:v>897</x:v>
      </x:c>
      <x:c r="AS334" t="str">
        <x:v>Médio</x:v>
      </x:c>
      <x:c r="AT334" s="50" t="n">
        <x:v>46273.666666666664</x:v>
      </x:c>
      <x:c r="AU334" t="str">
        <x:v>T10</x:v>
      </x:c>
      <x:c r="AV334" t="str">
        <x:v>T2 original + evolução sintética posterior</x:v>
      </x:c>
    </x:row>
    <x:row r="335">
      <x:c r="A335" t="str">
        <x:v>CH-20260908-023</x:v>
      </x:c>
      <x:c r="B335" t="str">
        <x:v>Botão de Chamada</x:v>
      </x:c>
      <x:c r="C335" t="str">
        <x:v>Botão não responde</x:v>
      </x:c>
      <x:c r="D335" t="str">
        <x:v>Botão de chamada não registra comando.</x:v>
      </x:c>
      <x:c r="E335" t="str">
        <x:v>Concluído</x:v>
      </x:c>
      <x:c r="F335" t="str">
        <x:v>Aplicativo Cliente</x:v>
      </x:c>
      <x:c r="G335" t="str">
        <x:v>E-123</x:v>
      </x:c>
      <x:c r="H335" t="str">
        <x:v>Elevador Social</x:v>
      </x:c>
      <x:c r="I335" t="str">
        <x:v>Microprocessado</x:v>
      </x:c>
      <x:c r="J335" t="str">
        <x:v>Gearless</x:v>
      </x:c>
      <x:c r="K335" t="str">
        <x:v>OTIS</x:v>
      </x:c>
      <x:c r="L335" t="str">
        <x:v>ROT-063</x:v>
      </x:c>
      <x:c r="M335" t="str">
        <x:v>Botoeira</x:v>
      </x:c>
      <x:c r="N335" t="str">
        <x:v>Contato</x:v>
      </x:c>
      <x:c r="O335" t="str">
        <x:v>Mau contato</x:v>
      </x:c>
      <x:c r="P335" t="str">
        <x:v>Falha de comando</x:v>
      </x:c>
      <x:c r="Q335" t="str">
        <x:v>Inspeção técnica e normalização demonstrativas de Botoeira; resolução sintética, sem confirmação de consumo de peças.</x:v>
      </x:c>
      <x:c r="R335" t="str">
        <x:v>Aeroporto Terminal 3</x:v>
      </x:c>
      <x:c r="S335" t="str">
        <x:v>Sim</x:v>
      </x:c>
      <x:c r="T335" t="str">
        <x:v>Sim</x:v>
      </x:c>
      <x:c r="U335" t="str">
        <x:v>CT-2026-005</x:v>
      </x:c>
      <x:c r="V335" t="str">
        <x:v>GRU</x:v>
      </x:c>
      <x:c r="W335" t="str">
        <x:v>Renata Alves</x:v>
      </x:c>
      <x:c r="X335" t="str">
        <x:v>Supervisor C</x:v>
      </x:c>
      <x:c r="Y335" t="str">
        <x:v>Rota GRU 05</x:v>
      </x:c>
      <x:c r="Z335" t="str">
        <x:v>Rod. Hélio Smidt, s/n - Guarulhos/SP</x:v>
      </x:c>
      <x:c r="AA335" t="str">
        <x:v>São Paulo</x:v>
      </x:c>
      <x:c r="AB335" s="50" t="n">
        <x:v>46273.3784722222</x:v>
      </x:c>
      <x:c r="AC335" s="50" t="n">
        <x:v>46273.3819444444</x:v>
      </x:c>
      <x:c r="AD335" s="50" t="n">
        <x:v>46273.386111111104</x:v>
      </x:c>
      <x:c r="AE335" s="50" t="n">
        <x:v>46273.41249999998</x:v>
      </x:c>
      <x:c r="AF335" s="50" t="n">
        <x:v>46273.48541666664</x:v>
      </x:c>
      <x:c r="AG335" t="n">
        <x:v>49</x:v>
      </x:c>
      <x:c r="AH335" t="n">
        <x:v>100</x:v>
      </x:c>
      <x:c r="AI335" t="str">
        <x:v>Não</x:v>
      </x:c>
      <x:c r="AJ335" t="str">
        <x:v>Não</x:v>
      </x:c>
      <x:c r="AK335" t="n">
        <x:v>45</x:v>
      </x:c>
      <x:c r="AL335" t="n">
        <x:v>0</x:v>
      </x:c>
      <x:c r="AM335" s="64" t="n">
        <x:v>3.3111</x:v>
      </x:c>
      <x:c r="AN335" t="n">
        <x:v>2</x:v>
      </x:c>
      <x:c r="AO335" t="str">
        <x:v>Vermelho</x:v>
      </x:c>
      <x:c r="AP335" t="str">
        <x:v>SLA sintético excedido (tempo acumulado ≥ 100% do SLA)</x:v>
      </x:c>
      <x:c r="AQ335" t="str">
        <x:v>Encerramento demonstrativo de Botoeira; verificar fechamento e histórico para aprendizado. Sem despacho automático.</x:v>
      </x:c>
      <x:c r="AR335" s="62" t="n">
        <x:v>545</x:v>
      </x:c>
      <x:c r="AS335" t="str">
        <x:v>Baixo</x:v>
      </x:c>
      <x:c r="AT335" s="50" t="n">
        <x:v>46273.666666666664</x:v>
      </x:c>
      <x:c r="AU335" t="str">
        <x:v>T10</x:v>
      </x:c>
      <x:c r="AV335" t="str">
        <x:v>T2 original + evolução sintética posterior</x:v>
      </x:c>
    </x:row>
    <x:row r="336">
      <x:c r="A336" t="str">
        <x:v>CH-20260908-024</x:v>
      </x:c>
      <x:c r="B336" t="str">
        <x:v>Parada Intermitente</x:v>
      </x:c>
      <x:c r="C336" t="str">
        <x:v>Paradas aleatórias</x:v>
      </x:c>
      <x:c r="D336" t="str">
        <x:v>Equipamento interrompe operação de forma intermitente.</x:v>
      </x:c>
      <x:c r="E336" t="str">
        <x:v>Concluído</x:v>
      </x:c>
      <x:c r="F336" t="str">
        <x:v>Monitoramento Remoto</x:v>
      </x:c>
      <x:c r="G336" t="str">
        <x:v>E-124</x:v>
      </x:c>
      <x:c r="H336" t="str">
        <x:v>Elevador Social</x:v>
      </x:c>
      <x:c r="I336" t="str">
        <x:v>Microprocessado</x:v>
      </x:c>
      <x:c r="J336" t="str">
        <x:v>Gearless</x:v>
      </x:c>
      <x:c r="K336" t="str">
        <x:v>OTIS</x:v>
      </x:c>
      <x:c r="L336" t="str">
        <x:v>ROT-074</x:v>
      </x:c>
      <x:c r="M336" t="str">
        <x:v>Painel/Comando</x:v>
      </x:c>
      <x:c r="N336" t="str">
        <x:v>Placa</x:v>
      </x:c>
      <x:c r="O336" t="str">
        <x:v>Intermitência</x:v>
      </x:c>
      <x:c r="P336" t="str">
        <x:v>Falha intermitente</x:v>
      </x:c>
      <x:c r="Q336" t="str">
        <x:v>Inspeção técnica e normalização demonstrativas de Painel/Comando; resolução sintética, sem confirmação de consumo de peças.</x:v>
      </x:c>
      <x:c r="R336" t="str">
        <x:v>Universidade Central</x:v>
      </x:c>
      <x:c r="S336" t="str">
        <x:v>Não</x:v>
      </x:c>
      <x:c r="T336" t="str">
        <x:v>Sim</x:v>
      </x:c>
      <x:c r="U336" t="str">
        <x:v>CT-2026-006</x:v>
      </x:c>
      <x:c r="V336" t="str">
        <x:v>SP-Leste</x:v>
      </x:c>
      <x:c r="W336" t="str">
        <x:v>Paulo Mendes</x:v>
      </x:c>
      <x:c r="X336" t="str">
        <x:v>Supervisor D</x:v>
      </x:c>
      <x:c r="Y336" t="str">
        <x:v>Rota Leste 06</x:v>
      </x:c>
      <x:c r="Z336" t="str">
        <x:v>Av. Central, 850 - São Paulo/SP</x:v>
      </x:c>
      <x:c r="AA336" t="str">
        <x:v>São Paulo</x:v>
      </x:c>
      <x:c r="AB336" s="50" t="n">
        <x:v>46273.3854166667</x:v>
      </x:c>
      <x:c r="AC336" s="50" t="n">
        <x:v>46273.3895833333</x:v>
      </x:c>
      <x:c r="AD336" s="50" t="n">
        <x:v>46273.3909722222</x:v>
      </x:c>
      <x:c r="AE336" s="50" t="n">
        <x:v>46273.423611111146</x:v>
      </x:c>
      <x:c r="AF336" s="50" t="n">
        <x:v>46273.538194444474</x:v>
      </x:c>
      <x:c r="AG336" t="n">
        <x:v>55</x:v>
      </x:c>
      <x:c r="AH336" t="n">
        <x:v>160</x:v>
      </x:c>
      <x:c r="AI336" t="str">
        <x:v>Não</x:v>
      </x:c>
      <x:c r="AJ336" t="str">
        <x:v>Sim</x:v>
      </x:c>
      <x:c r="AK336" t="n">
        <x:v>120</x:v>
      </x:c>
      <x:c r="AL336" t="n">
        <x:v>0</x:v>
      </x:c>
      <x:c r="AM336" s="64" t="n">
        <x:v>1.7917</x:v>
      </x:c>
      <x:c r="AN336" t="n">
        <x:v>4</x:v>
      </x:c>
      <x:c r="AO336" t="str">
        <x:v>Vermelho</x:v>
      </x:c>
      <x:c r="AP336" t="str">
        <x:v>SLA sintético excedido (tempo acumulado ≥ 100% do SLA)</x:v>
      </x:c>
      <x:c r="AQ336" t="str">
        <x:v>Encerramento demonstrativo de Painel/Comando; verificar fechamento e histórico para aprendizado. Sem despacho automático.</x:v>
      </x:c>
      <x:c r="AR336" s="62" t="n">
        <x:v>1386</x:v>
      </x:c>
      <x:c r="AS336" t="str">
        <x:v>Alto</x:v>
      </x:c>
      <x:c r="AT336" s="50" t="n">
        <x:v>46273.666666666664</x:v>
      </x:c>
      <x:c r="AU336" t="str">
        <x:v>T10</x:v>
      </x:c>
      <x:c r="AV336" t="str">
        <x:v>T2 original + evolução sintética posterior</x:v>
      </x:c>
    </x:row>
    <x:row r="337">
      <x:c r="A337" t="str">
        <x:v>CH-20260908-025</x:v>
      </x:c>
      <x:c r="B337" t="str">
        <x:v>Falha de Tração</x:v>
      </x:c>
      <x:c r="C337" t="str">
        <x:v>Movimento irregular</x:v>
      </x:c>
      <x:c r="D337" t="str">
        <x:v>Equipamento apresenta perda de tração.</x:v>
      </x:c>
      <x:c r="E337" t="str">
        <x:v>Concluído</x:v>
      </x:c>
      <x:c r="F337" t="str">
        <x:v>Central de Atendimento</x:v>
      </x:c>
      <x:c r="G337" t="str">
        <x:v>E-125</x:v>
      </x:c>
      <x:c r="H337" t="str">
        <x:v>Elevador Social</x:v>
      </x:c>
      <x:c r="I337" t="str">
        <x:v>Microprocessado</x:v>
      </x:c>
      <x:c r="J337" t="str">
        <x:v>Gearless</x:v>
      </x:c>
      <x:c r="K337" t="str">
        <x:v>OTIS</x:v>
      </x:c>
      <x:c r="L337" t="str">
        <x:v>ROT-041</x:v>
      </x:c>
      <x:c r="M337" t="str">
        <x:v>Máquina de Tração</x:v>
      </x:c>
      <x:c r="N337" t="str">
        <x:v>Inversor</x:v>
      </x:c>
      <x:c r="O337" t="str">
        <x:v>Oscilação</x:v>
      </x:c>
      <x:c r="P337" t="str">
        <x:v>Falha de movimento</x:v>
      </x:c>
      <x:c r="Q337" t="str">
        <x:v>Diagnóstico e teste funcional simulados em Máquina de Tração; encerramento demonstrativo, sem movimentação de estoque comprovada.</x:v>
      </x:c>
      <x:c r="R337" t="str">
        <x:v>Aeroporto Terminal 3</x:v>
      </x:c>
      <x:c r="S337" t="str">
        <x:v>Sim</x:v>
      </x:c>
      <x:c r="T337" t="str">
        <x:v>Sim</x:v>
      </x:c>
      <x:c r="U337" t="str">
        <x:v>CT-2026-005</x:v>
      </x:c>
      <x:c r="V337" t="str">
        <x:v>GRU</x:v>
      </x:c>
      <x:c r="W337" t="str">
        <x:v>Renata Alves</x:v>
      </x:c>
      <x:c r="X337" t="str">
        <x:v>Supervisor A</x:v>
      </x:c>
      <x:c r="Y337" t="str">
        <x:v>Rota GRU 05</x:v>
      </x:c>
      <x:c r="Z337" t="str">
        <x:v>Rod. Hélio Smidt, s/n - Guarulhos/SP</x:v>
      </x:c>
      <x:c r="AA337" t="str">
        <x:v>São Paulo</x:v>
      </x:c>
      <x:c r="AB337" s="50" t="n">
        <x:v>46273.4</x:v>
      </x:c>
      <x:c r="AC337" s="50" t="n">
        <x:v>46273.402083333334</x:v>
      </x:c>
      <x:c r="AD337" s="50" t="n">
        <x:v>46273.40555555555</x:v>
      </x:c>
      <x:c r="AE337" s="50" t="n">
        <x:v>46273.427083333336</x:v>
      </x:c>
      <x:c r="AF337" s="50" t="n">
        <x:v>46273.461805555555</x:v>
      </x:c>
      <x:c r="AG337" t="n">
        <x:v>39</x:v>
      </x:c>
      <x:c r="AH337" t="n">
        <x:v>45</x:v>
      </x:c>
      <x:c r="AI337" t="str">
        <x:v>Não</x:v>
      </x:c>
      <x:c r="AJ337" t="str">
        <x:v>Sim</x:v>
      </x:c>
      <x:c r="AK337" t="n">
        <x:v>45</x:v>
      </x:c>
      <x:c r="AL337" t="n">
        <x:v>0</x:v>
      </x:c>
      <x:c r="AM337" s="64" t="n">
        <x:v>1.8667</x:v>
      </x:c>
      <x:c r="AN337" t="n">
        <x:v>1</x:v>
      </x:c>
      <x:c r="AO337" t="str">
        <x:v>Vermelho</x:v>
      </x:c>
      <x:c r="AP337" t="str">
        <x:v>SLA sintético excedido (tempo acumulado ≥ 100% do SLA)</x:v>
      </x:c>
      <x:c r="AQ337" t="str">
        <x:v>Encerramento demonstrativo de Máquina de Tração; verificar fechamento e histórico para aprendizado. Sem despacho automático.</x:v>
      </x:c>
      <x:c r="AR337" s="62" t="n">
        <x:v>1297.5</x:v>
      </x:c>
      <x:c r="AS337" t="str">
        <x:v>Alto</x:v>
      </x:c>
      <x:c r="AT337" s="50" t="n">
        <x:v>46273.666666666664</x:v>
      </x:c>
      <x:c r="AU337" t="str">
        <x:v>T10</x:v>
      </x:c>
      <x:c r="AV337" t="str">
        <x:v>Ocorrência adicional sintética; perfil inspirado em CH-20260908-005</x:v>
      </x:c>
    </x:row>
    <x:row r="338">
      <x:c r="A338" t="str">
        <x:v>CH-20260908-026</x:v>
      </x:c>
      <x:c r="B338" t="str">
        <x:v>Painel sem comunicação</x:v>
      </x:c>
      <x:c r="C338" t="str">
        <x:v>Falha de comunicação</x:v>
      </x:c>
      <x:c r="D338" t="str">
        <x:v>Painel não responde aos comandos.</x:v>
      </x:c>
      <x:c r="E338" t="str">
        <x:v>Concluído</x:v>
      </x:c>
      <x:c r="F338" t="str">
        <x:v>Monitoramento Remoto</x:v>
      </x:c>
      <x:c r="G338" t="str">
        <x:v>E-126</x:v>
      </x:c>
      <x:c r="H338" t="str">
        <x:v>Elevador Social</x:v>
      </x:c>
      <x:c r="I338" t="str">
        <x:v>Microprocessado</x:v>
      </x:c>
      <x:c r="J338" t="str">
        <x:v>Gearless</x:v>
      </x:c>
      <x:c r="K338" t="str">
        <x:v>OTIS</x:v>
      </x:c>
      <x:c r="L338" t="str">
        <x:v>ROT-033</x:v>
      </x:c>
      <x:c r="M338" t="str">
        <x:v>Painel/Comando</x:v>
      </x:c>
      <x:c r="N338" t="str">
        <x:v>Interface</x:v>
      </x:c>
      <x:c r="O338" t="str">
        <x:v>Sem comunicação</x:v>
      </x:c>
      <x:c r="P338" t="str">
        <x:v>Falha lógica</x:v>
      </x:c>
      <x:c r="Q338" t="str">
        <x:v>Diagnóstico e teste funcional simulados em Painel/Comando; encerramento demonstrativo, sem movimentação de estoque comprovada.</x:v>
      </x:c>
      <x:c r="R338" t="str">
        <x:v>Universidade Central</x:v>
      </x:c>
      <x:c r="S338" t="str">
        <x:v>Não</x:v>
      </x:c>
      <x:c r="T338" t="str">
        <x:v>Sim</x:v>
      </x:c>
      <x:c r="U338" t="str">
        <x:v>CT-2026-006</x:v>
      </x:c>
      <x:c r="V338" t="str">
        <x:v>SP-Leste</x:v>
      </x:c>
      <x:c r="W338" t="str">
        <x:v>Paulo Mendes</x:v>
      </x:c>
      <x:c r="X338" t="str">
        <x:v>Supervisor D</x:v>
      </x:c>
      <x:c r="Y338" t="str">
        <x:v>Rota Leste 06</x:v>
      </x:c>
      <x:c r="Z338" t="str">
        <x:v>Av. Central, 850 - São Paulo/SP</x:v>
      </x:c>
      <x:c r="AA338" t="str">
        <x:v>São Paulo</x:v>
      </x:c>
      <x:c r="AB338" s="50" t="n">
        <x:v>46273.40972222222</x:v>
      </x:c>
      <x:c r="AC338" s="50" t="n">
        <x:v>46273.4125</x:v>
      </x:c>
      <x:c r="AD338" s="50" t="n">
        <x:v>46273.416666666664</x:v>
      </x:c>
      <x:c r="AE338" s="50" t="n">
        <x:v>46273.44583333333</x:v>
      </x:c>
      <x:c r="AF338" s="50" t="n">
        <x:v>46273.49236111111</x:v>
      </x:c>
      <x:c r="AG338" t="n">
        <x:v>52</x:v>
      </x:c>
      <x:c r="AH338" t="n">
        <x:v>62</x:v>
      </x:c>
      <x:c r="AI338" t="str">
        <x:v>Não</x:v>
      </x:c>
      <x:c r="AJ338" t="str">
        <x:v>Não</x:v>
      </x:c>
      <x:c r="AK338" t="n">
        <x:v>120</x:v>
      </x:c>
      <x:c r="AL338" t="n">
        <x:v>0</x:v>
      </x:c>
      <x:c r="AM338" s="64" t="n">
        <x:v>0.95</x:v>
      </x:c>
      <x:c r="AN338" t="n">
        <x:v>3</x:v>
      </x:c>
      <x:c r="AO338" t="str">
        <x:v>Laranja</x:v>
      </x:c>
      <x:c r="AP338" t="str">
        <x:v>janela de intervenção: tempo acumulado ≥ 80% do SLA</x:v>
      </x:c>
      <x:c r="AQ338" t="str">
        <x:v>Encerramento demonstrativo de Painel/Comando; verificar fechamento e histórico para aprendizado. Sem despacho automático.</x:v>
      </x:c>
      <x:c r="AR338" s="62" t="n">
        <x:v>1357</x:v>
      </x:c>
      <x:c r="AS338" t="str">
        <x:v>Alto</x:v>
      </x:c>
      <x:c r="AT338" s="50" t="n">
        <x:v>46273.666666666664</x:v>
      </x:c>
      <x:c r="AU338" t="str">
        <x:v>T10</x:v>
      </x:c>
      <x:c r="AV338" t="str">
        <x:v>Ocorrência adicional sintética; perfil inspirado em CH-20260908-012</x:v>
      </x:c>
    </x:row>
    <x:row r="339">
      <x:c r="A339" t="str">
        <x:v>CH-20260908-027</x:v>
      </x:c>
      <x:c r="B339" t="str">
        <x:v>Porta não fecha</x:v>
      </x:c>
      <x:c r="C339" t="str">
        <x:v>Falha no fechamento</x:v>
      </x:c>
      <x:c r="D339" t="str">
        <x:v>Porta permanece aberta e impede partida.</x:v>
      </x:c>
      <x:c r="E339" t="str">
        <x:v>Concluído</x:v>
      </x:c>
      <x:c r="F339" t="str">
        <x:v>Aplicativo Cliente</x:v>
      </x:c>
      <x:c r="G339" t="str">
        <x:v>E-127</x:v>
      </x:c>
      <x:c r="H339" t="str">
        <x:v>Elevador Social</x:v>
      </x:c>
      <x:c r="I339" t="str">
        <x:v>Microprocessado</x:v>
      </x:c>
      <x:c r="J339" t="str">
        <x:v>Gearless</x:v>
      </x:c>
      <x:c r="K339" t="str">
        <x:v>OTIS</x:v>
      </x:c>
      <x:c r="L339" t="str">
        <x:v>ROT-021</x:v>
      </x:c>
      <x:c r="M339" t="str">
        <x:v>Operador de Porta</x:v>
      </x:c>
      <x:c r="N339" t="str">
        <x:v>Sensor de porta</x:v>
      </x:c>
      <x:c r="O339" t="str">
        <x:v>Falha de leitura</x:v>
      </x:c>
      <x:c r="P339" t="str">
        <x:v>Porta aberta</x:v>
      </x:c>
      <x:c r="Q339" t="str">
        <x:v>Diagnóstico e teste funcional simulados em Operador de Porta; encerramento demonstrativo, sem movimentação de estoque comprovada.</x:v>
      </x:c>
      <x:c r="R339" t="str">
        <x:v>Hospital São Paulo</x:v>
      </x:c>
      <x:c r="S339" t="str">
        <x:v>Sim</x:v>
      </x:c>
      <x:c r="T339" t="str">
        <x:v>Sim</x:v>
      </x:c>
      <x:c r="U339" t="str">
        <x:v>CT-2026-001</x:v>
      </x:c>
      <x:c r="V339" t="str">
        <x:v>SP-Centro</x:v>
      </x:c>
      <x:c r="W339" t="str">
        <x:v>João Silva</x:v>
      </x:c>
      <x:c r="X339" t="str">
        <x:v>Supervisor C</x:v>
      </x:c>
      <x:c r="Y339" t="str">
        <x:v>Rota Centro 01</x:v>
      </x:c>
      <x:c r="Z339" t="str">
        <x:v>Av. Paulista, 1000 - São Paulo/SP</x:v>
      </x:c>
      <x:c r="AA339" t="str">
        <x:v>São Paulo</x:v>
      </x:c>
      <x:c r="AB339" s="50" t="n">
        <x:v>46273.419444444444</x:v>
      </x:c>
      <x:c r="AC339" s="50" t="n">
        <x:v>46273.42291666667</x:v>
      </x:c>
      <x:c r="AD339" s="50" t="n">
        <x:v>46273.427777777775</x:v>
      </x:c>
      <x:c r="AE339" s="50" t="n">
        <x:v>46273.464583333334</x:v>
      </x:c>
      <x:c r="AF339" s="50" t="n">
        <x:v>46273.52291666667</x:v>
      </x:c>
      <x:c r="AG339" t="n">
        <x:v>65</x:v>
      </x:c>
      <x:c r="AH339" t="n">
        <x:v>79</x:v>
      </x:c>
      <x:c r="AI339" t="str">
        <x:v>Não</x:v>
      </x:c>
      <x:c r="AJ339" t="str">
        <x:v>Não</x:v>
      </x:c>
      <x:c r="AK339" t="n">
        <x:v>60</x:v>
      </x:c>
      <x:c r="AL339" t="n">
        <x:v>0</x:v>
      </x:c>
      <x:c r="AM339" s="64" t="n">
        <x:v>2.4</x:v>
      </x:c>
      <x:c r="AN339" t="n">
        <x:v>2</x:v>
      </x:c>
      <x:c r="AO339" t="str">
        <x:v>Vermelho</x:v>
      </x:c>
      <x:c r="AP339" t="str">
        <x:v>SLA sintético excedido (tempo acumulado ≥ 100% do SLA)</x:v>
      </x:c>
      <x:c r="AQ339" t="str">
        <x:v>Encerramento demonstrativo de Operador de Porta; verificar fechamento e histórico para aprendizado. Sem despacho automático.</x:v>
      </x:c>
      <x:c r="AR339" s="62" t="n">
        <x:v>833.5</x:v>
      </x:c>
      <x:c r="AS339" t="str">
        <x:v>Baixo</x:v>
      </x:c>
      <x:c r="AT339" s="50" t="n">
        <x:v>46273.666666666664</x:v>
      </x:c>
      <x:c r="AU339" t="str">
        <x:v>T10</x:v>
      </x:c>
      <x:c r="AV339" t="str">
        <x:v>Ocorrência adicional sintética; perfil inspirado em CH-20260908-019</x:v>
      </x:c>
    </x:row>
    <x:row r="340">
      <x:c r="A340" t="str">
        <x:v>CH-20260908-028</x:v>
      </x:c>
      <x:c r="B340" t="str">
        <x:v>Falha de Nivelamento</x:v>
      </x:c>
      <x:c r="C340" t="str">
        <x:v>Cabine desnivelada</x:v>
      </x:c>
      <x:c r="D340" t="str">
        <x:v>Cabine parou fora do nível do pavimento.</x:v>
      </x:c>
      <x:c r="E340" t="str">
        <x:v>Concluído</x:v>
      </x:c>
      <x:c r="F340" t="str">
        <x:v>IoT</x:v>
      </x:c>
      <x:c r="G340" t="str">
        <x:v>E-128</x:v>
      </x:c>
      <x:c r="H340" t="str">
        <x:v>Elevador Social</x:v>
      </x:c>
      <x:c r="I340" t="str">
        <x:v>Microprocessado</x:v>
      </x:c>
      <x:c r="J340" t="str">
        <x:v>Gearless</x:v>
      </x:c>
      <x:c r="K340" t="str">
        <x:v>OTIS</x:v>
      </x:c>
      <x:c r="L340" t="str">
        <x:v>ROT-014</x:v>
      </x:c>
      <x:c r="M340" t="str">
        <x:v>Sensor de Nível</x:v>
      </x:c>
      <x:c r="N340" t="str">
        <x:v>Sensor</x:v>
      </x:c>
      <x:c r="O340" t="str">
        <x:v>Leitura inconsistente</x:v>
      </x:c>
      <x:c r="P340" t="str">
        <x:v>Falha de nivelamento</x:v>
      </x:c>
      <x:c r="Q340" t="str">
        <x:v>Diagnóstico e teste funcional simulados em Sensor de Nível; encerramento demonstrativo, sem movimentação de estoque comprovada.</x:v>
      </x:c>
      <x:c r="R340" t="str">
        <x:v>Shopping Center Norte</x:v>
      </x:c>
      <x:c r="S340" t="str">
        <x:v>Não</x:v>
      </x:c>
      <x:c r="T340" t="str">
        <x:v>Sim</x:v>
      </x:c>
      <x:c r="U340" t="str">
        <x:v>CT-2026-002</x:v>
      </x:c>
      <x:c r="V340" t="str">
        <x:v>SP-Norte</x:v>
      </x:c>
      <x:c r="W340" t="str">
        <x:v>Marcos Lima</x:v>
      </x:c>
      <x:c r="X340" t="str">
        <x:v>Supervisor B</x:v>
      </x:c>
      <x:c r="Y340" t="str">
        <x:v>Rota Norte 02</x:v>
      </x:c>
      <x:c r="Z340" t="str">
        <x:v>Av. Otto Baumgart, 245 - São Paulo/SP</x:v>
      </x:c>
      <x:c r="AA340" t="str">
        <x:v>São Paulo</x:v>
      </x:c>
      <x:c r="AB340" s="50" t="n">
        <x:v>46273.43125</x:v>
      </x:c>
      <x:c r="AC340" s="50" t="n">
        <x:v>46273.43263888889</x:v>
      </x:c>
      <x:c r="AD340" s="50" t="n">
        <x:v>46273.43819444445</x:v>
      </x:c>
      <x:c r="AE340" s="50" t="n">
        <x:v>46273.45</x:v>
      </x:c>
      <x:c r="AF340" s="50" t="n">
        <x:v>46273.606944444444</x:v>
      </x:c>
      <x:c r="AG340" t="n">
        <x:v>27</x:v>
      </x:c>
      <x:c r="AH340" t="n">
        <x:v>221</x:v>
      </x:c>
      <x:c r="AI340" t="str">
        <x:v>Não</x:v>
      </x:c>
      <x:c r="AJ340" t="str">
        <x:v>Não</x:v>
      </x:c>
      <x:c r="AK340" t="n">
        <x:v>90</x:v>
      </x:c>
      <x:c r="AL340" t="n">
        <x:v>0</x:v>
      </x:c>
      <x:c r="AM340" s="64" t="n">
        <x:v>2.7556</x:v>
      </x:c>
      <x:c r="AN340" t="n">
        <x:v>1</x:v>
      </x:c>
      <x:c r="AO340" t="str">
        <x:v>Vermelho</x:v>
      </x:c>
      <x:c r="AP340" t="str">
        <x:v>SLA sintético excedido (tempo acumulado ≥ 100% do SLA)</x:v>
      </x:c>
      <x:c r="AQ340" t="str">
        <x:v>Encerramento demonstrativo de Sensor de Nível; verificar fechamento e histórico para aprendizado. Sem despacho automático.</x:v>
      </x:c>
      <x:c r="AR340" s="62" t="n">
        <x:v>818</x:v>
      </x:c>
      <x:c r="AS340" t="str">
        <x:v>Baixo</x:v>
      </x:c>
      <x:c r="AT340" s="50" t="n">
        <x:v>46273.666666666664</x:v>
      </x:c>
      <x:c r="AU340" t="str">
        <x:v>T10</x:v>
      </x:c>
      <x:c r="AV340" t="str">
        <x:v>Ocorrência adicional sintética; perfil inspirado em CH-20260908-002</x:v>
      </x:c>
    </x:row>
    <x:row r="341">
      <x:c r="A341" t="str">
        <x:v>CH-20260908-029</x:v>
      </x:c>
      <x:c r="B341" t="str">
        <x:v>Passageiro Preso</x:v>
      </x:c>
      <x:c r="C341" t="str">
        <x:v>Elevador parado entre andares</x:v>
      </x:c>
      <x:c r="D341" t="str">
        <x:v>Cabine imobilizada com passageiro no interior.</x:v>
      </x:c>
      <x:c r="E341" t="str">
        <x:v>Concluído</x:v>
      </x:c>
      <x:c r="F341" t="str">
        <x:v>Central de Atendimento</x:v>
      </x:c>
      <x:c r="G341" t="str">
        <x:v>E-108</x:v>
      </x:c>
      <x:c r="H341" t="str">
        <x:v>Elevador Social</x:v>
      </x:c>
      <x:c r="I341" t="str">
        <x:v>Microprocessado</x:v>
      </x:c>
      <x:c r="J341" t="str">
        <x:v>Gearless</x:v>
      </x:c>
      <x:c r="K341" t="str">
        <x:v>OTIS</x:v>
      </x:c>
      <x:c r="L341" t="str">
        <x:v>ROT-001</x:v>
      </x:c>
      <x:c r="M341" t="str">
        <x:v>Tração</x:v>
      </x:c>
      <x:c r="N341" t="str">
        <x:v>Freio</x:v>
      </x:c>
      <x:c r="O341" t="str">
        <x:v>Travamento</x:v>
      </x:c>
      <x:c r="P341" t="str">
        <x:v>Parada total</x:v>
      </x:c>
      <x:c r="Q341" t="str">
        <x:v>Diagnóstico e teste funcional simulados em Tração; encerramento demonstrativo, sem movimentação de estoque comprovada.</x:v>
      </x:c>
      <x:c r="R341" t="str">
        <x:v>Edifício Corporate</x:v>
      </x:c>
      <x:c r="S341" t="str">
        <x:v>Não</x:v>
      </x:c>
      <x:c r="T341" t="str">
        <x:v>Sim</x:v>
      </x:c>
      <x:c r="U341" t="str">
        <x:v>CT-2026-003</x:v>
      </x:c>
      <x:c r="V341" t="str">
        <x:v>SP-Oeste</x:v>
      </x:c>
      <x:c r="W341" t="str">
        <x:v>Ana Costa</x:v>
      </x:c>
      <x:c r="X341" t="str">
        <x:v>Supervisor A</x:v>
      </x:c>
      <x:c r="Y341" t="str">
        <x:v>Rota Oeste 03</x:v>
      </x:c>
      <x:c r="Z341" t="str">
        <x:v>Av. Faria Lima, 3500 - São Paulo/SP</x:v>
      </x:c>
      <x:c r="AA341" t="str">
        <x:v>São Paulo</x:v>
      </x:c>
      <x:c r="AB341" s="50" t="n">
        <x:v>46273.44097222222</x:v>
      </x:c>
      <x:c r="AC341" s="50" t="n">
        <x:v>46273.44305555556</x:v>
      </x:c>
      <x:c r="AD341" s="50" t="n">
        <x:v>46273.44930555556</x:v>
      </x:c>
      <x:c r="AE341" s="50" t="n">
        <x:v>46273.46875</x:v>
      </x:c>
      <x:c r="AF341" s="50" t="n">
        <x:v>46273.55069444444</x:v>
      </x:c>
      <x:c r="AG341" t="n">
        <x:v>40</x:v>
      </x:c>
      <x:c r="AH341" t="n">
        <x:v>113</x:v>
      </x:c>
      <x:c r="AI341" t="str">
        <x:v>Sim</x:v>
      </x:c>
      <x:c r="AJ341" t="str">
        <x:v>Sim</x:v>
      </x:c>
      <x:c r="AK341" t="n">
        <x:v>120</x:v>
      </x:c>
      <x:c r="AL341" t="n">
        <x:v>0</x:v>
      </x:c>
      <x:c r="AM341" s="64" t="n">
        <x:v>1.275</x:v>
      </x:c>
      <x:c r="AN341" t="n">
        <x:v>2</x:v>
      </x:c>
      <x:c r="AO341" t="str">
        <x:v>Vermelho</x:v>
      </x:c>
      <x:c r="AP341" t="str">
        <x:v>SLA sintético excedido (tempo acumulado ≥ 100% do SLA)</x:v>
      </x:c>
      <x:c r="AQ341" t="str">
        <x:v>Encerramento demonstrativo de Tração; verificar fechamento e histórico para aprendizado. Sem despacho automático.</x:v>
      </x:c>
      <x:c r="AR341" s="62" t="n">
        <x:v>1162.5</x:v>
      </x:c>
      <x:c r="AS341" t="str">
        <x:v>Médio</x:v>
      </x:c>
      <x:c r="AT341" s="50" t="n">
        <x:v>46273.666666666664</x:v>
      </x:c>
      <x:c r="AU341" t="str">
        <x:v>T10</x:v>
      </x:c>
      <x:c r="AV341" t="str">
        <x:v>Ocorrência adicional sintética; perfil inspirado em CH-20260908-009</x:v>
      </x:c>
    </x:row>
    <x:row r="342">
      <x:c r="A342" t="str">
        <x:v>CH-20260908-030</x:v>
      </x:c>
      <x:c r="B342" t="str">
        <x:v>Parada Intermitente</x:v>
      </x:c>
      <x:c r="C342" t="str">
        <x:v>Paradas aleatórias</x:v>
      </x:c>
      <x:c r="D342" t="str">
        <x:v>Equipamento interrompe operação de forma intermitente.</x:v>
      </x:c>
      <x:c r="E342" t="str">
        <x:v>Concluído</x:v>
      </x:c>
      <x:c r="F342" t="str">
        <x:v>Monitoramento Remoto</x:v>
      </x:c>
      <x:c r="G342" t="str">
        <x:v>E-130</x:v>
      </x:c>
      <x:c r="H342" t="str">
        <x:v>Elevador Social</x:v>
      </x:c>
      <x:c r="I342" t="str">
        <x:v>Microprocessado</x:v>
      </x:c>
      <x:c r="J342" t="str">
        <x:v>Gearless</x:v>
      </x:c>
      <x:c r="K342" t="str">
        <x:v>OTIS</x:v>
      </x:c>
      <x:c r="L342" t="str">
        <x:v>ROT-074</x:v>
      </x:c>
      <x:c r="M342" t="str">
        <x:v>Painel/Comando</x:v>
      </x:c>
      <x:c r="N342" t="str">
        <x:v>Placa</x:v>
      </x:c>
      <x:c r="O342" t="str">
        <x:v>Intermitência</x:v>
      </x:c>
      <x:c r="P342" t="str">
        <x:v>Falha intermitente</x:v>
      </x:c>
      <x:c r="Q342" t="str">
        <x:v>Diagnóstico e teste funcional simulados em Painel/Comando; encerramento demonstrativo, sem movimentação de estoque comprovada.</x:v>
      </x:c>
      <x:c r="R342" t="str">
        <x:v>Condomínio Alameda</x:v>
      </x:c>
      <x:c r="S342" t="str">
        <x:v>Não</x:v>
      </x:c>
      <x:c r="T342" t="str">
        <x:v>Não</x:v>
      </x:c>
      <x:c r="U342" t="str">
        <x:v>CT-2026-004</x:v>
      </x:c>
      <x:c r="V342" t="str">
        <x:v>SP-Sul</x:v>
      </x:c>
      <x:c r="W342" t="str">
        <x:v>Carlos Souza</x:v>
      </x:c>
      <x:c r="X342" t="str">
        <x:v>Supervisor D</x:v>
      </x:c>
      <x:c r="Y342" t="str">
        <x:v>Rota Sul 04</x:v>
      </x:c>
      <x:c r="Z342" t="str">
        <x:v>R. das Acácias, 420 - São Paulo/SP</x:v>
      </x:c>
      <x:c r="AA342" t="str">
        <x:v>São Paulo</x:v>
      </x:c>
      <x:c r="AB342" s="50" t="n">
        <x:v>46273.450694444444</x:v>
      </x:c>
      <x:c r="AC342" s="50" t="n">
        <x:v>46273.45347222222</x:v>
      </x:c>
      <x:c r="AD342" s="50" t="n">
        <x:v>46273.45625</x:v>
      </x:c>
      <x:c r="AE342" s="50" t="n">
        <x:v>46273.4875</x:v>
      </x:c>
      <x:c r="AF342" s="50" t="n">
        <x:v>46273.52361111111</x:v>
      </x:c>
      <x:c r="AG342" t="n">
        <x:v>53</x:v>
      </x:c>
      <x:c r="AH342" t="n">
        <x:v>47</x:v>
      </x:c>
      <x:c r="AI342" t="str">
        <x:v>Não</x:v>
      </x:c>
      <x:c r="AJ342" t="str">
        <x:v>Sim</x:v>
      </x:c>
      <x:c r="AK342" t="n">
        <x:v>180</x:v>
      </x:c>
      <x:c r="AL342" t="n">
        <x:v>0</x:v>
      </x:c>
      <x:c r="AM342" s="64" t="n">
        <x:v>0.5556</x:v>
      </x:c>
      <x:c r="AN342" t="n">
        <x:v>4</x:v>
      </x:c>
      <x:c r="AO342" t="str">
        <x:v>Laranja</x:v>
      </x:c>
      <x:c r="AP342" t="str">
        <x:v>janela de intervenção: recorrência ≥ 4/30d e equipamento parado</x:v>
      </x:c>
      <x:c r="AQ342" t="str">
        <x:v>Encerramento demonstrativo de Painel/Comando; verificar fechamento e histórico para aprendizado. Sem despacho automático.</x:v>
      </x:c>
      <x:c r="AR342" s="62" t="n">
        <x:v>1795</x:v>
      </x:c>
      <x:c r="AS342" t="str">
        <x:v>Alto</x:v>
      </x:c>
      <x:c r="AT342" s="50" t="n">
        <x:v>46273.666666666664</x:v>
      </x:c>
      <x:c r="AU342" t="str">
        <x:v>T10</x:v>
      </x:c>
      <x:c r="AV342" t="str">
        <x:v>Ocorrência adicional sintética; perfil inspirado em CH-20260908-016</x:v>
      </x:c>
    </x:row>
    <x:row r="343">
      <x:c r="A343" t="str">
        <x:v>CH-20260908-031</x:v>
      </x:c>
      <x:c r="B343" t="str">
        <x:v>Botão de Chamada</x:v>
      </x:c>
      <x:c r="C343" t="str">
        <x:v>Botão não responde</x:v>
      </x:c>
      <x:c r="D343" t="str">
        <x:v>Botão de chamada não registra comando.</x:v>
      </x:c>
      <x:c r="E343" t="str">
        <x:v>Concluído</x:v>
      </x:c>
      <x:c r="F343" t="str">
        <x:v>Aplicativo Cliente</x:v>
      </x:c>
      <x:c r="G343" t="str">
        <x:v>E-131</x:v>
      </x:c>
      <x:c r="H343" t="str">
        <x:v>Elevador Social</x:v>
      </x:c>
      <x:c r="I343" t="str">
        <x:v>Microprocessado</x:v>
      </x:c>
      <x:c r="J343" t="str">
        <x:v>Gearless</x:v>
      </x:c>
      <x:c r="K343" t="str">
        <x:v>OTIS</x:v>
      </x:c>
      <x:c r="L343" t="str">
        <x:v>ROT-063</x:v>
      </x:c>
      <x:c r="M343" t="str">
        <x:v>Botoeira</x:v>
      </x:c>
      <x:c r="N343" t="str">
        <x:v>Contato</x:v>
      </x:c>
      <x:c r="O343" t="str">
        <x:v>Mau contato</x:v>
      </x:c>
      <x:c r="P343" t="str">
        <x:v>Falha de comando</x:v>
      </x:c>
      <x:c r="Q343" t="str">
        <x:v>Diagnóstico e teste funcional simulados em Botoeira; encerramento demonstrativo, sem movimentação de estoque comprovada.</x:v>
      </x:c>
      <x:c r="R343" t="str">
        <x:v>Aeroporto Terminal 3</x:v>
      </x:c>
      <x:c r="S343" t="str">
        <x:v>Sim</x:v>
      </x:c>
      <x:c r="T343" t="str">
        <x:v>Sim</x:v>
      </x:c>
      <x:c r="U343" t="str">
        <x:v>CT-2026-005</x:v>
      </x:c>
      <x:c r="V343" t="str">
        <x:v>GRU</x:v>
      </x:c>
      <x:c r="W343" t="str">
        <x:v>Renata Alves</x:v>
      </x:c>
      <x:c r="X343" t="str">
        <x:v>Supervisor C</x:v>
      </x:c>
      <x:c r="Y343" t="str">
        <x:v>Rota GRU 05</x:v>
      </x:c>
      <x:c r="Z343" t="str">
        <x:v>Rod. Hélio Smidt, s/n - Guarulhos/SP</x:v>
      </x:c>
      <x:c r="AA343" t="str">
        <x:v>São Paulo</x:v>
      </x:c>
      <x:c r="AB343" s="50" t="n">
        <x:v>46273.461805555555</x:v>
      </x:c>
      <x:c r="AC343" s="50" t="n">
        <x:v>46273.46527777778</x:v>
      </x:c>
      <x:c r="AD343" s="50" t="n">
        <x:v>46273.46875</x:v>
      </x:c>
      <x:c r="AE343" s="50" t="n">
        <x:v>46273.50763888889</x:v>
      </x:c>
      <x:c r="AF343" s="50" t="n">
        <x:v>46273.555555555555</x:v>
      </x:c>
      <x:c r="AG343" t="n">
        <x:v>66</x:v>
      </x:c>
      <x:c r="AH343" t="n">
        <x:v>64</x:v>
      </x:c>
      <x:c r="AI343" t="str">
        <x:v>Não</x:v>
      </x:c>
      <x:c r="AJ343" t="str">
        <x:v>Não</x:v>
      </x:c>
      <x:c r="AK343" t="n">
        <x:v>45</x:v>
      </x:c>
      <x:c r="AL343" t="n">
        <x:v>0</x:v>
      </x:c>
      <x:c r="AM343" s="64" t="n">
        <x:v>2.8889</x:v>
      </x:c>
      <x:c r="AN343" t="n">
        <x:v>2</x:v>
      </x:c>
      <x:c r="AO343" t="str">
        <x:v>Vermelho</x:v>
      </x:c>
      <x:c r="AP343" t="str">
        <x:v>SLA sintético excedido (tempo acumulado ≥ 100% do SLA)</x:v>
      </x:c>
      <x:c r="AQ343" t="str">
        <x:v>Encerramento demonstrativo de Botoeira; verificar fechamento e histórico para aprendizado. Sem despacho automático.</x:v>
      </x:c>
      <x:c r="AR343" s="62" t="n">
        <x:v>814.5</x:v>
      </x:c>
      <x:c r="AS343" t="str">
        <x:v>Baixo</x:v>
      </x:c>
      <x:c r="AT343" s="50" t="n">
        <x:v>46273.666666666664</x:v>
      </x:c>
      <x:c r="AU343" t="str">
        <x:v>T10</x:v>
      </x:c>
      <x:c r="AV343" t="str">
        <x:v>Ocorrência adicional sintética; perfil inspirado em CH-20260908-023</x:v>
      </x:c>
    </x:row>
    <x:row r="344">
      <x:c r="A344" t="str">
        <x:v>CH-20260908-032</x:v>
      </x:c>
      <x:c r="B344" t="str">
        <x:v>Iluminação de Cabine</x:v>
      </x:c>
      <x:c r="C344" t="str">
        <x:v>Iluminação inoperante</x:v>
      </x:c>
      <x:c r="D344" t="str">
        <x:v>Cabine com iluminação parcial ou total indisponível.</x:v>
      </x:c>
      <x:c r="E344" t="str">
        <x:v>Concluído</x:v>
      </x:c>
      <x:c r="F344" t="str">
        <x:v>IoT</x:v>
      </x:c>
      <x:c r="G344" t="str">
        <x:v>E-132</x:v>
      </x:c>
      <x:c r="H344" t="str">
        <x:v>Elevador Social</x:v>
      </x:c>
      <x:c r="I344" t="str">
        <x:v>Microprocessado</x:v>
      </x:c>
      <x:c r="J344" t="str">
        <x:v>Gearless</x:v>
      </x:c>
      <x:c r="K344" t="str">
        <x:v>OTIS</x:v>
      </x:c>
      <x:c r="L344" t="str">
        <x:v>ROT-052</x:v>
      </x:c>
      <x:c r="M344" t="str">
        <x:v>Elétrica</x:v>
      </x:c>
      <x:c r="N344" t="str">
        <x:v>Fonte</x:v>
      </x:c>
      <x:c r="O344" t="str">
        <x:v>Sem alimentação</x:v>
      </x:c>
      <x:c r="P344" t="str">
        <x:v>Falha elétrica</x:v>
      </x:c>
      <x:c r="Q344" t="str">
        <x:v>Diagnóstico e teste funcional simulados em Elétrica; encerramento demonstrativo, sem movimentação de estoque comprovada.</x:v>
      </x:c>
      <x:c r="R344" t="str">
        <x:v>Universidade Central</x:v>
      </x:c>
      <x:c r="S344" t="str">
        <x:v>Não</x:v>
      </x:c>
      <x:c r="T344" t="str">
        <x:v>Sim</x:v>
      </x:c>
      <x:c r="U344" t="str">
        <x:v>CT-2026-006</x:v>
      </x:c>
      <x:c r="V344" t="str">
        <x:v>SP-Leste</x:v>
      </x:c>
      <x:c r="W344" t="str">
        <x:v>Paulo Mendes</x:v>
      </x:c>
      <x:c r="X344" t="str">
        <x:v>Supervisor B</x:v>
      </x:c>
      <x:c r="Y344" t="str">
        <x:v>Rota Leste 06</x:v>
      </x:c>
      <x:c r="Z344" t="str">
        <x:v>Av. Central, 850 - São Paulo/SP</x:v>
      </x:c>
      <x:c r="AA344" t="str">
        <x:v>São Paulo</x:v>
      </x:c>
      <x:c r="AB344" s="50" t="n">
        <x:v>46273.46875</x:v>
      </x:c>
      <x:c r="AC344" s="50" t="n">
        <x:v>46273.470138888886</x:v>
      </x:c>
      <x:c r="AD344" s="50" t="n">
        <x:v>46273.47430555556</x:v>
      </x:c>
      <x:c r="AE344" s="50" t="n">
        <x:v>46273.48819444444</x:v>
      </x:c>
      <x:c r="AF344" s="50" t="n">
        <x:v>46273.54791666667</x:v>
      </x:c>
      <x:c r="AG344" t="n">
        <x:v>28</x:v>
      </x:c>
      <x:c r="AH344" t="n">
        <x:v>81</x:v>
      </x:c>
      <x:c r="AI344" t="str">
        <x:v>Não</x:v>
      </x:c>
      <x:c r="AJ344" t="str">
        <x:v>Não</x:v>
      </x:c>
      <x:c r="AK344" t="n">
        <x:v>120</x:v>
      </x:c>
      <x:c r="AL344" t="n">
        <x:v>0</x:v>
      </x:c>
      <x:c r="AM344" s="64" t="n">
        <x:v>0.9083</x:v>
      </x:c>
      <x:c r="AN344" t="n">
        <x:v>0</x:v>
      </x:c>
      <x:c r="AO344" t="str">
        <x:v>Laranja</x:v>
      </x:c>
      <x:c r="AP344" t="str">
        <x:v>janela de intervenção: tempo acumulado ≥ 80% do SLA</x:v>
      </x:c>
      <x:c r="AQ344" t="str">
        <x:v>Encerramento demonstrativo de Elétrica; verificar fechamento e histórico para aprendizado. Sem despacho automático.</x:v>
      </x:c>
      <x:c r="AR344" s="62" t="n">
        <x:v>507</x:v>
      </x:c>
      <x:c r="AS344" t="str">
        <x:v>Baixo</x:v>
      </x:c>
      <x:c r="AT344" s="50" t="n">
        <x:v>46273.666666666664</x:v>
      </x:c>
      <x:c r="AU344" t="str">
        <x:v>T10</x:v>
      </x:c>
      <x:c r="AV344" t="str">
        <x:v>Ocorrência adicional sintética; perfil inspirado em CH-20260908-006</x:v>
      </x:c>
    </x:row>
    <x:row r="345">
      <x:c r="A345" t="str">
        <x:v>CH-20260908-033</x:v>
      </x:c>
      <x:c r="B345" t="str">
        <x:v>Falha de Tração</x:v>
      </x:c>
      <x:c r="C345" t="str">
        <x:v>Movimento irregular</x:v>
      </x:c>
      <x:c r="D345" t="str">
        <x:v>Equipamento apresenta perda de tração.</x:v>
      </x:c>
      <x:c r="E345" t="str">
        <x:v>Concluído</x:v>
      </x:c>
      <x:c r="F345" t="str">
        <x:v>Central de Atendimento</x:v>
      </x:c>
      <x:c r="G345" t="str">
        <x:v>E-133</x:v>
      </x:c>
      <x:c r="H345" t="str">
        <x:v>Elevador Social</x:v>
      </x:c>
      <x:c r="I345" t="str">
        <x:v>Microprocessado</x:v>
      </x:c>
      <x:c r="J345" t="str">
        <x:v>Gearless</x:v>
      </x:c>
      <x:c r="K345" t="str">
        <x:v>OTIS</x:v>
      </x:c>
      <x:c r="L345" t="str">
        <x:v>ROT-041</x:v>
      </x:c>
      <x:c r="M345" t="str">
        <x:v>Máquina de Tração</x:v>
      </x:c>
      <x:c r="N345" t="str">
        <x:v>Inversor</x:v>
      </x:c>
      <x:c r="O345" t="str">
        <x:v>Oscilação</x:v>
      </x:c>
      <x:c r="P345" t="str">
        <x:v>Falha de movimento</x:v>
      </x:c>
      <x:c r="Q345" t="str">
        <x:v>Diagnóstico e teste funcional simulados em Máquina de Tração; encerramento demonstrativo, sem movimentação de estoque comprovada.</x:v>
      </x:c>
      <x:c r="R345" t="str">
        <x:v>Hospital São Paulo</x:v>
      </x:c>
      <x:c r="S345" t="str">
        <x:v>Sim</x:v>
      </x:c>
      <x:c r="T345" t="str">
        <x:v>Sim</x:v>
      </x:c>
      <x:c r="U345" t="str">
        <x:v>CT-2026-001</x:v>
      </x:c>
      <x:c r="V345" t="str">
        <x:v>SP-Centro</x:v>
      </x:c>
      <x:c r="W345" t="str">
        <x:v>João Silva</x:v>
      </x:c>
      <x:c r="X345" t="str">
        <x:v>Supervisor A</x:v>
      </x:c>
      <x:c r="Y345" t="str">
        <x:v>Rota Centro 01</x:v>
      </x:c>
      <x:c r="Z345" t="str">
        <x:v>Av. Paulista, 1000 - São Paulo/SP</x:v>
      </x:c>
      <x:c r="AA345" t="str">
        <x:v>São Paulo</x:v>
      </x:c>
      <x:c r="AB345" s="50" t="n">
        <x:v>46273.47638888889</x:v>
      </x:c>
      <x:c r="AC345" s="50" t="n">
        <x:v>46273.478472222225</x:v>
      </x:c>
      <x:c r="AD345" s="50" t="n">
        <x:v>46273.48333333333</x:v>
      </x:c>
      <x:c r="AE345" s="50" t="n">
        <x:v>46273.50486111111</x:v>
      </x:c>
      <x:c r="AF345" s="50" t="n">
        <x:v>46273.64236111111</x:v>
      </x:c>
      <x:c r="AG345" t="n">
        <x:v>41</x:v>
      </x:c>
      <x:c r="AH345" t="n">
        <x:v>193</x:v>
      </x:c>
      <x:c r="AI345" t="str">
        <x:v>Não</x:v>
      </x:c>
      <x:c r="AJ345" t="str">
        <x:v>Sim</x:v>
      </x:c>
      <x:c r="AK345" t="n">
        <x:v>60</x:v>
      </x:c>
      <x:c r="AL345" t="n">
        <x:v>0</x:v>
      </x:c>
      <x:c r="AM345" s="64" t="n">
        <x:v>3.9</x:v>
      </x:c>
      <x:c r="AN345" t="n">
        <x:v>1</x:v>
      </x:c>
      <x:c r="AO345" t="str">
        <x:v>Vermelho</x:v>
      </x:c>
      <x:c r="AP345" t="str">
        <x:v>SLA sintético excedido (tempo acumulado ≥ 100% do SLA)</x:v>
      </x:c>
      <x:c r="AQ345" t="str">
        <x:v>Encerramento demonstrativo de Máquina de Tração; verificar fechamento e histórico para aprendizado. Sem despacho automático.</x:v>
      </x:c>
      <x:c r="AR345" s="62" t="n">
        <x:v>1123.5</x:v>
      </x:c>
      <x:c r="AS345" t="str">
        <x:v>Médio</x:v>
      </x:c>
      <x:c r="AT345" s="50" t="n">
        <x:v>46273.666666666664</x:v>
      </x:c>
      <x:c r="AU345" t="str">
        <x:v>T10</x:v>
      </x:c>
      <x:c r="AV345" t="str">
        <x:v>Ocorrência adicional sintética; perfil inspirado em CH-20260908-013</x:v>
      </x:c>
    </x:row>
    <x:row r="346">
      <x:c r="A346" t="str">
        <x:v>CH-20260908-034</x:v>
      </x:c>
      <x:c r="B346" t="str">
        <x:v>Painel sem comunicação</x:v>
      </x:c>
      <x:c r="C346" t="str">
        <x:v>Falha de comunicação</x:v>
      </x:c>
      <x:c r="D346" t="str">
        <x:v>Painel não responde aos comandos.</x:v>
      </x:c>
      <x:c r="E346" t="str">
        <x:v>Concluído</x:v>
      </x:c>
      <x:c r="F346" t="str">
        <x:v>Monitoramento Remoto</x:v>
      </x:c>
      <x:c r="G346" t="str">
        <x:v>E-134</x:v>
      </x:c>
      <x:c r="H346" t="str">
        <x:v>Elevador Social</x:v>
      </x:c>
      <x:c r="I346" t="str">
        <x:v>Microprocessado</x:v>
      </x:c>
      <x:c r="J346" t="str">
        <x:v>Gearless</x:v>
      </x:c>
      <x:c r="K346" t="str">
        <x:v>OTIS</x:v>
      </x:c>
      <x:c r="L346" t="str">
        <x:v>ROT-033</x:v>
      </x:c>
      <x:c r="M346" t="str">
        <x:v>Painel/Comando</x:v>
      </x:c>
      <x:c r="N346" t="str">
        <x:v>Interface</x:v>
      </x:c>
      <x:c r="O346" t="str">
        <x:v>Sem comunicação</x:v>
      </x:c>
      <x:c r="P346" t="str">
        <x:v>Falha lógica</x:v>
      </x:c>
      <x:c r="Q346" t="str">
        <x:v>Diagnóstico e teste funcional simulados em Painel/Comando; encerramento demonstrativo, sem movimentação de estoque comprovada.</x:v>
      </x:c>
      <x:c r="R346" t="str">
        <x:v>Shopping Center Norte</x:v>
      </x:c>
      <x:c r="S346" t="str">
        <x:v>Não</x:v>
      </x:c>
      <x:c r="T346" t="str">
        <x:v>Sim</x:v>
      </x:c>
      <x:c r="U346" t="str">
        <x:v>CT-2026-002</x:v>
      </x:c>
      <x:c r="V346" t="str">
        <x:v>SP-Norte</x:v>
      </x:c>
      <x:c r="W346" t="str">
        <x:v>Marcos Lima</x:v>
      </x:c>
      <x:c r="X346" t="str">
        <x:v>Supervisor D</x:v>
      </x:c>
      <x:c r="Y346" t="str">
        <x:v>Rota Norte 02</x:v>
      </x:c>
      <x:c r="Z346" t="str">
        <x:v>Av. Otto Baumgart, 245 - São Paulo/SP</x:v>
      </x:c>
      <x:c r="AA346" t="str">
        <x:v>São Paulo</x:v>
      </x:c>
      <x:c r="AB346" s="50" t="n">
        <x:v>46273.48402777778</x:v>
      </x:c>
      <x:c r="AC346" s="50" t="n">
        <x:v>46273.486805555556</x:v>
      </x:c>
      <x:c r="AD346" s="50" t="n">
        <x:v>46273.49236111111</x:v>
      </x:c>
      <x:c r="AE346" s="50" t="n">
        <x:v>46273.521527777775</x:v>
      </x:c>
      <x:c r="AF346" s="50" t="n">
        <x:v>46273.60486111111</x:v>
      </x:c>
      <x:c r="AG346" t="n">
        <x:v>54</x:v>
      </x:c>
      <x:c r="AH346" t="n">
        <x:v>115</x:v>
      </x:c>
      <x:c r="AI346" t="str">
        <x:v>Não</x:v>
      </x:c>
      <x:c r="AJ346" t="str">
        <x:v>Não</x:v>
      </x:c>
      <x:c r="AK346" t="n">
        <x:v>90</x:v>
      </x:c>
      <x:c r="AL346" t="n">
        <x:v>0</x:v>
      </x:c>
      <x:c r="AM346" s="64" t="n">
        <x:v>1.8778</x:v>
      </x:c>
      <x:c r="AN346" t="n">
        <x:v>3</x:v>
      </x:c>
      <x:c r="AO346" t="str">
        <x:v>Vermelho</x:v>
      </x:c>
      <x:c r="AP346" t="str">
        <x:v>SLA sintético excedido (tempo acumulado ≥ 100% do SLA)</x:v>
      </x:c>
      <x:c r="AQ346" t="str">
        <x:v>Encerramento demonstrativo de Painel/Comando; verificar fechamento e histórico para aprendizado. Sem despacho automático.</x:v>
      </x:c>
      <x:c r="AR346" s="62" t="n">
        <x:v>1484</x:v>
      </x:c>
      <x:c r="AS346" t="str">
        <x:v>Alto</x:v>
      </x:c>
      <x:c r="AT346" s="50" t="n">
        <x:v>46273.666666666664</x:v>
      </x:c>
      <x:c r="AU346" t="str">
        <x:v>T10</x:v>
      </x:c>
      <x:c r="AV346" t="str">
        <x:v>Ocorrência adicional sintética; perfil inspirado em CH-20260908-020</x:v>
      </x:c>
    </x:row>
    <x:row r="347">
      <x:c r="A347" t="str">
        <x:v>CH-20260908-035</x:v>
      </x:c>
      <x:c r="B347" t="str">
        <x:v>Porta não fecha</x:v>
      </x:c>
      <x:c r="C347" t="str">
        <x:v>Falha no fechamento</x:v>
      </x:c>
      <x:c r="D347" t="str">
        <x:v>Porta permanece aberta e impede partida.</x:v>
      </x:c>
      <x:c r="E347" t="str">
        <x:v>Concluído</x:v>
      </x:c>
      <x:c r="F347" t="str">
        <x:v>Aplicativo Cliente</x:v>
      </x:c>
      <x:c r="G347" t="str">
        <x:v>E-135</x:v>
      </x:c>
      <x:c r="H347" t="str">
        <x:v>Elevador Social</x:v>
      </x:c>
      <x:c r="I347" t="str">
        <x:v>Microprocessado</x:v>
      </x:c>
      <x:c r="J347" t="str">
        <x:v>Gearless</x:v>
      </x:c>
      <x:c r="K347" t="str">
        <x:v>OTIS</x:v>
      </x:c>
      <x:c r="L347" t="str">
        <x:v>ROT-021</x:v>
      </x:c>
      <x:c r="M347" t="str">
        <x:v>Operador de Porta</x:v>
      </x:c>
      <x:c r="N347" t="str">
        <x:v>Sensor de porta</x:v>
      </x:c>
      <x:c r="O347" t="str">
        <x:v>Falha de leitura</x:v>
      </x:c>
      <x:c r="P347" t="str">
        <x:v>Porta aberta</x:v>
      </x:c>
      <x:c r="Q347" t="str">
        <x:v>Diagnóstico e teste funcional simulados em Operador de Porta; encerramento demonstrativo, sem movimentação de estoque comprovada.</x:v>
      </x:c>
      <x:c r="R347" t="str">
        <x:v>Edifício Corporate</x:v>
      </x:c>
      <x:c r="S347" t="str">
        <x:v>Não</x:v>
      </x:c>
      <x:c r="T347" t="str">
        <x:v>Sim</x:v>
      </x:c>
      <x:c r="U347" t="str">
        <x:v>CT-2026-003</x:v>
      </x:c>
      <x:c r="V347" t="str">
        <x:v>SP-Oeste</x:v>
      </x:c>
      <x:c r="W347" t="str">
        <x:v>Ana Costa</x:v>
      </x:c>
      <x:c r="X347" t="str">
        <x:v>Supervisor C</x:v>
      </x:c>
      <x:c r="Y347" t="str">
        <x:v>Rota Oeste 03</x:v>
      </x:c>
      <x:c r="Z347" t="str">
        <x:v>Av. Faria Lima, 3500 - São Paulo/SP</x:v>
      </x:c>
      <x:c r="AA347" t="str">
        <x:v>São Paulo</x:v>
      </x:c>
      <x:c r="AB347" s="50" t="n">
        <x:v>46273.49375</x:v>
      </x:c>
      <x:c r="AC347" s="50" t="n">
        <x:v>46273.49722222222</x:v>
      </x:c>
      <x:c r="AD347" s="50" t="n">
        <x:v>46273.50347222222</x:v>
      </x:c>
      <x:c r="AE347" s="50" t="n">
        <x:v>46273.54027777778</x:v>
      </x:c>
      <x:c r="AF347" s="50" t="n">
        <x:v>46273.66458333333</x:v>
      </x:c>
      <x:c r="AG347" t="n">
        <x:v>67</x:v>
      </x:c>
      <x:c r="AH347" t="n">
        <x:v>174</x:v>
      </x:c>
      <x:c r="AI347" t="str">
        <x:v>Não</x:v>
      </x:c>
      <x:c r="AJ347" t="str">
        <x:v>Não</x:v>
      </x:c>
      <x:c r="AK347" t="n">
        <x:v>120</x:v>
      </x:c>
      <x:c r="AL347" t="n">
        <x:v>0</x:v>
      </x:c>
      <x:c r="AM347" s="64" t="n">
        <x:v>2.0083</x:v>
      </x:c>
      <x:c r="AN347" t="n">
        <x:v>2</x:v>
      </x:c>
      <x:c r="AO347" t="str">
        <x:v>Vermelho</x:v>
      </x:c>
      <x:c r="AP347" t="str">
        <x:v>SLA sintético excedido (tempo acumulado ≥ 100% do SLA)</x:v>
      </x:c>
      <x:c r="AQ347" t="str">
        <x:v>Encerramento demonstrativo de Operador de Porta; verificar fechamento e histórico para aprendizado. Sem despacho automático.</x:v>
      </x:c>
      <x:c r="AR347" s="62" t="n">
        <x:v>884.5</x:v>
      </x:c>
      <x:c r="AS347" t="str">
        <x:v>Médio</x:v>
      </x:c>
      <x:c r="AT347" s="50" t="n">
        <x:v>46273.666666666664</x:v>
      </x:c>
      <x:c r="AU347" t="str">
        <x:v>T10</x:v>
      </x:c>
      <x:c r="AV347" t="str">
        <x:v>Ocorrência adicional sintética; perfil inspirado em CH-20260908-003</x:v>
      </x:c>
    </x:row>
    <x:row r="348">
      <x:c r="A348" t="str">
        <x:v>CH-20260908-036</x:v>
      </x:c>
      <x:c r="B348" t="str">
        <x:v>Falha de Nivelamento</x:v>
      </x:c>
      <x:c r="C348" t="str">
        <x:v>Cabine desnivelada</x:v>
      </x:c>
      <x:c r="D348" t="str">
        <x:v>Cabine parou fora do nível do pavimento.</x:v>
      </x:c>
      <x:c r="E348" t="str">
        <x:v>Concluído</x:v>
      </x:c>
      <x:c r="F348" t="str">
        <x:v>IoT</x:v>
      </x:c>
      <x:c r="G348" t="str">
        <x:v>E-113</x:v>
      </x:c>
      <x:c r="H348" t="str">
        <x:v>Elevador Social</x:v>
      </x:c>
      <x:c r="I348" t="str">
        <x:v>Microprocessado</x:v>
      </x:c>
      <x:c r="J348" t="str">
        <x:v>Gearless</x:v>
      </x:c>
      <x:c r="K348" t="str">
        <x:v>OTIS</x:v>
      </x:c>
      <x:c r="L348" t="str">
        <x:v>ROT-014</x:v>
      </x:c>
      <x:c r="M348" t="str">
        <x:v>Sensor de Nível</x:v>
      </x:c>
      <x:c r="N348" t="str">
        <x:v>Sensor</x:v>
      </x:c>
      <x:c r="O348" t="str">
        <x:v>Leitura inconsistente</x:v>
      </x:c>
      <x:c r="P348" t="str">
        <x:v>Falha de nivelamento</x:v>
      </x:c>
      <x:c r="Q348" t="str">
        <x:v>Diagnóstico e teste funcional simulados em Sensor de Nível; encerramento demonstrativo, sem movimentação de estoque comprovada.</x:v>
      </x:c>
      <x:c r="R348" t="str">
        <x:v>Condomínio Alameda</x:v>
      </x:c>
      <x:c r="S348" t="str">
        <x:v>Não</x:v>
      </x:c>
      <x:c r="T348" t="str">
        <x:v>Não</x:v>
      </x:c>
      <x:c r="U348" t="str">
        <x:v>CT-2026-004</x:v>
      </x:c>
      <x:c r="V348" t="str">
        <x:v>SP-Sul</x:v>
      </x:c>
      <x:c r="W348" t="str">
        <x:v>Carlos Souza</x:v>
      </x:c>
      <x:c r="X348" t="str">
        <x:v>Supervisor B</x:v>
      </x:c>
      <x:c r="Y348" t="str">
        <x:v>Rota Sul 04</x:v>
      </x:c>
      <x:c r="Z348" t="str">
        <x:v>R. das Acácias, 420 - São Paulo/SP</x:v>
      </x:c>
      <x:c r="AA348" t="str">
        <x:v>São Paulo</x:v>
      </x:c>
      <x:c r="AB348" s="50" t="n">
        <x:v>46273.50347222222</x:v>
      </x:c>
      <x:c r="AC348" s="50" t="n">
        <x:v>46273.50486111111</x:v>
      </x:c>
      <x:c r="AD348" s="50" t="n">
        <x:v>46273.50763888889</x:v>
      </x:c>
      <x:c r="AE348" s="50" t="n">
        <x:v>46273.52361111111</x:v>
      </x:c>
      <x:c r="AF348" s="50" t="n">
        <x:v>46273.572916666664</x:v>
      </x:c>
      <x:c r="AG348" t="n">
        <x:v>29</x:v>
      </x:c>
      <x:c r="AH348" t="n">
        <x:v>66</x:v>
      </x:c>
      <x:c r="AI348" t="str">
        <x:v>Não</x:v>
      </x:c>
      <x:c r="AJ348" t="str">
        <x:v>Não</x:v>
      </x:c>
      <x:c r="AK348" t="n">
        <x:v>180</x:v>
      </x:c>
      <x:c r="AL348" t="n">
        <x:v>0</x:v>
      </x:c>
      <x:c r="AM348" s="64" t="n">
        <x:v>0.5278</x:v>
      </x:c>
      <x:c r="AN348" t="n">
        <x:v>2</x:v>
      </x:c>
      <x:c r="AO348" t="str">
        <x:v>Amarelo</x:v>
      </x:c>
      <x:c r="AP348" t="str">
        <x:v>atenção: recorrências em 30 dias</x:v>
      </x:c>
      <x:c r="AQ348" t="str">
        <x:v>Encerramento demonstrativo de Sensor de Nível; verificar fechamento e histórico para aprendizado. Sem despacho automático.</x:v>
      </x:c>
      <x:c r="AR348" s="62" t="n">
        <x:v>945</x:v>
      </x:c>
      <x:c r="AS348" t="str">
        <x:v>Médio</x:v>
      </x:c>
      <x:c r="AT348" s="50" t="n">
        <x:v>46273.666666666664</x:v>
      </x:c>
      <x:c r="AU348" t="str">
        <x:v>T10</x:v>
      </x:c>
      <x:c r="AV348" t="str">
        <x:v>Ocorrência adicional sintética; perfil inspirado em CH-20260908-010</x:v>
      </x:c>
    </x:row>
    <x:row r="349">
      <x:c r="A349" t="str">
        <x:v>CH-20260908-037</x:v>
      </x:c>
      <x:c r="B349" t="str">
        <x:v>Passageiro Preso</x:v>
      </x:c>
      <x:c r="C349" t="str">
        <x:v>Elevador parado entre andares</x:v>
      </x:c>
      <x:c r="D349" t="str">
        <x:v>Cabine imobilizada com passageiro no interior.</x:v>
      </x:c>
      <x:c r="E349" t="str">
        <x:v>Concluído</x:v>
      </x:c>
      <x:c r="F349" t="str">
        <x:v>Central de Atendimento</x:v>
      </x:c>
      <x:c r="G349" t="str">
        <x:v>E-137</x:v>
      </x:c>
      <x:c r="H349" t="str">
        <x:v>Elevador Social</x:v>
      </x:c>
      <x:c r="I349" t="str">
        <x:v>Microprocessado</x:v>
      </x:c>
      <x:c r="J349" t="str">
        <x:v>Gearless</x:v>
      </x:c>
      <x:c r="K349" t="str">
        <x:v>OTIS</x:v>
      </x:c>
      <x:c r="L349" t="str">
        <x:v>ROT-001</x:v>
      </x:c>
      <x:c r="M349" t="str">
        <x:v>Tração</x:v>
      </x:c>
      <x:c r="N349" t="str">
        <x:v>Freio</x:v>
      </x:c>
      <x:c r="O349" t="str">
        <x:v>Travamento</x:v>
      </x:c>
      <x:c r="P349" t="str">
        <x:v>Parada total</x:v>
      </x:c>
      <x:c r="Q349" t="str">
        <x:v>Diagnóstico e teste funcional simulados em Tração; encerramento demonstrativo, sem movimentação de estoque comprovada.</x:v>
      </x:c>
      <x:c r="R349" t="str">
        <x:v>Aeroporto Terminal 3</x:v>
      </x:c>
      <x:c r="S349" t="str">
        <x:v>Sim</x:v>
      </x:c>
      <x:c r="T349" t="str">
        <x:v>Sim</x:v>
      </x:c>
      <x:c r="U349" t="str">
        <x:v>CT-2026-005</x:v>
      </x:c>
      <x:c r="V349" t="str">
        <x:v>GRU</x:v>
      </x:c>
      <x:c r="W349" t="str">
        <x:v>Renata Alves</x:v>
      </x:c>
      <x:c r="X349" t="str">
        <x:v>Supervisor A</x:v>
      </x:c>
      <x:c r="Y349" t="str">
        <x:v>Rota GRU 05</x:v>
      </x:c>
      <x:c r="Z349" t="str">
        <x:v>Rod. Hélio Smidt, s/n - Guarulhos/SP</x:v>
      </x:c>
      <x:c r="AA349" t="str">
        <x:v>São Paulo</x:v>
      </x:c>
      <x:c r="AB349" s="50" t="n">
        <x:v>46273.513194444444</x:v>
      </x:c>
      <x:c r="AC349" s="50" t="n">
        <x:v>46273.51527777778</x:v>
      </x:c>
      <x:c r="AD349" s="50" t="n">
        <x:v>46273.51875</x:v>
      </x:c>
      <x:c r="AE349" s="50" t="n">
        <x:v>46273.54236111111</x:v>
      </x:c>
      <x:c r="AF349" s="50" t="n">
        <x:v>46273.603472222225</x:v>
      </x:c>
      <x:c r="AG349" t="n">
        <x:v>42</x:v>
      </x:c>
      <x:c r="AH349" t="n">
        <x:v>83</x:v>
      </x:c>
      <x:c r="AI349" t="str">
        <x:v>Sim</x:v>
      </x:c>
      <x:c r="AJ349" t="str">
        <x:v>Sim</x:v>
      </x:c>
      <x:c r="AK349" t="n">
        <x:v>45</x:v>
      </x:c>
      <x:c r="AL349" t="n">
        <x:v>0</x:v>
      </x:c>
      <x:c r="AM349" s="64" t="n">
        <x:v>2.7778</x:v>
      </x:c>
      <x:c r="AN349" t="n">
        <x:v>0</x:v>
      </x:c>
      <x:c r="AO349" t="str">
        <x:v>Vermelho</x:v>
      </x:c>
      <x:c r="AP349" t="str">
        <x:v>SLA sintético excedido (tempo acumulado ≥ 100% do SLA)</x:v>
      </x:c>
      <x:c r="AQ349" t="str">
        <x:v>Encerramento demonstrativo de Tração; verificar fechamento e histórico para aprendizado. Sem despacho automático.</x:v>
      </x:c>
      <x:c r="AR349" s="62" t="n">
        <x:v>1098.5</x:v>
      </x:c>
      <x:c r="AS349" t="str">
        <x:v>Médio</x:v>
      </x:c>
      <x:c r="AT349" s="50" t="n">
        <x:v>46273.666666666664</x:v>
      </x:c>
      <x:c r="AU349" t="str">
        <x:v>T10</x:v>
      </x:c>
      <x:c r="AV349" t="str">
        <x:v>Ocorrência adicional sintética; perfil inspirado em CH-20260908-017</x:v>
      </x:c>
    </x:row>
    <x:row r="350">
      <x:c r="A350" t="str">
        <x:v>CH-20260908-038</x:v>
      </x:c>
      <x:c r="B350" t="str">
        <x:v>Parada Intermitente</x:v>
      </x:c>
      <x:c r="C350" t="str">
        <x:v>Paradas aleatórias</x:v>
      </x:c>
      <x:c r="D350" t="str">
        <x:v>Equipamento interrompe operação de forma intermitente.</x:v>
      </x:c>
      <x:c r="E350" t="str">
        <x:v>Concluído</x:v>
      </x:c>
      <x:c r="F350" t="str">
        <x:v>Monitoramento Remoto</x:v>
      </x:c>
      <x:c r="G350" t="str">
        <x:v>E-138</x:v>
      </x:c>
      <x:c r="H350" t="str">
        <x:v>Elevador Social</x:v>
      </x:c>
      <x:c r="I350" t="str">
        <x:v>Microprocessado</x:v>
      </x:c>
      <x:c r="J350" t="str">
        <x:v>Gearless</x:v>
      </x:c>
      <x:c r="K350" t="str">
        <x:v>OTIS</x:v>
      </x:c>
      <x:c r="L350" t="str">
        <x:v>ROT-074</x:v>
      </x:c>
      <x:c r="M350" t="str">
        <x:v>Painel/Comando</x:v>
      </x:c>
      <x:c r="N350" t="str">
        <x:v>Placa</x:v>
      </x:c>
      <x:c r="O350" t="str">
        <x:v>Intermitência</x:v>
      </x:c>
      <x:c r="P350" t="str">
        <x:v>Falha intermitente</x:v>
      </x:c>
      <x:c r="Q350" t="str">
        <x:v>Diagnóstico e teste funcional simulados em Painel/Comando; encerramento demonstrativo, sem movimentação de estoque comprovada.</x:v>
      </x:c>
      <x:c r="R350" t="str">
        <x:v>Universidade Central</x:v>
      </x:c>
      <x:c r="S350" t="str">
        <x:v>Não</x:v>
      </x:c>
      <x:c r="T350" t="str">
        <x:v>Sim</x:v>
      </x:c>
      <x:c r="U350" t="str">
        <x:v>CT-2026-006</x:v>
      </x:c>
      <x:c r="V350" t="str">
        <x:v>SP-Leste</x:v>
      </x:c>
      <x:c r="W350" t="str">
        <x:v>Paulo Mendes</x:v>
      </x:c>
      <x:c r="X350" t="str">
        <x:v>Supervisor D</x:v>
      </x:c>
      <x:c r="Y350" t="str">
        <x:v>Rota Leste 06</x:v>
      </x:c>
      <x:c r="Z350" t="str">
        <x:v>Av. Central, 850 - São Paulo/SP</x:v>
      </x:c>
      <x:c r="AA350" t="str">
        <x:v>São Paulo</x:v>
      </x:c>
      <x:c r="AB350" s="50" t="n">
        <x:v>46273.524305555555</x:v>
      </x:c>
      <x:c r="AC350" s="50" t="n">
        <x:v>46273.527083333334</x:v>
      </x:c>
      <x:c r="AD350" s="50" t="n">
        <x:v>46273.53125</x:v>
      </x:c>
      <x:c r="AE350" s="50" t="n">
        <x:v>46273.5625</x:v>
      </x:c>
      <x:c r="AF350" s="50" t="n">
        <x:v>46273.635416666664</x:v>
      </x:c>
      <x:c r="AG350" t="n">
        <x:v>55</x:v>
      </x:c>
      <x:c r="AH350" t="n">
        <x:v>100</x:v>
      </x:c>
      <x:c r="AI350" t="str">
        <x:v>Não</x:v>
      </x:c>
      <x:c r="AJ350" t="str">
        <x:v>Sim</x:v>
      </x:c>
      <x:c r="AK350" t="n">
        <x:v>120</x:v>
      </x:c>
      <x:c r="AL350" t="n">
        <x:v>0</x:v>
      </x:c>
      <x:c r="AM350" s="64" t="n">
        <x:v>1.2917</x:v>
      </x:c>
      <x:c r="AN350" t="n">
        <x:v>4</x:v>
      </x:c>
      <x:c r="AO350" t="str">
        <x:v>Vermelho</x:v>
      </x:c>
      <x:c r="AP350" t="str">
        <x:v>SLA sintético excedido (tempo acumulado ≥ 100% do SLA)</x:v>
      </x:c>
      <x:c r="AQ350" t="str">
        <x:v>Encerramento demonstrativo de Painel/Comando; verificar fechamento e histórico para aprendizado. Sem despacho automático.</x:v>
      </x:c>
      <x:c r="AR350" s="62" t="n">
        <x:v>1617</x:v>
      </x:c>
      <x:c r="AS350" t="str">
        <x:v>Alto</x:v>
      </x:c>
      <x:c r="AT350" s="50" t="n">
        <x:v>46273.666666666664</x:v>
      </x:c>
      <x:c r="AU350" t="str">
        <x:v>T10</x:v>
      </x:c>
      <x:c r="AV350" t="str">
        <x:v>Ocorrência adicional sintética; perfil inspirado em CH-20260908-024</x:v>
      </x:c>
    </x:row>
    <x:row r="351">
      <x:c r="A351" t="str">
        <x:v>CH-20260908-039</x:v>
      </x:c>
      <x:c r="B351" t="str">
        <x:v>Botão de Chamada</x:v>
      </x:c>
      <x:c r="C351" t="str">
        <x:v>Botão não responde</x:v>
      </x:c>
      <x:c r="D351" t="str">
        <x:v>Botão de chamada não registra comando.</x:v>
      </x:c>
      <x:c r="E351" t="str">
        <x:v>Concluído</x:v>
      </x:c>
      <x:c r="F351" t="str">
        <x:v>Aplicativo Cliente</x:v>
      </x:c>
      <x:c r="G351" t="str">
        <x:v>E-139</x:v>
      </x:c>
      <x:c r="H351" t="str">
        <x:v>Elevador Social</x:v>
      </x:c>
      <x:c r="I351" t="str">
        <x:v>Microprocessado</x:v>
      </x:c>
      <x:c r="J351" t="str">
        <x:v>Gearless</x:v>
      </x:c>
      <x:c r="K351" t="str">
        <x:v>OTIS</x:v>
      </x:c>
      <x:c r="L351" t="str">
        <x:v>ROT-063</x:v>
      </x:c>
      <x:c r="M351" t="str">
        <x:v>Botoeira</x:v>
      </x:c>
      <x:c r="N351" t="str">
        <x:v>Contato</x:v>
      </x:c>
      <x:c r="O351" t="str">
        <x:v>Mau contato</x:v>
      </x:c>
      <x:c r="P351" t="str">
        <x:v>Falha de comando</x:v>
      </x:c>
      <x:c r="Q351" t="str">
        <x:v>Diagnóstico e teste funcional simulados em Botoeira; encerramento demonstrativo, sem movimentação de estoque comprovada.</x:v>
      </x:c>
      <x:c r="R351" t="str">
        <x:v>Hospital São Paulo</x:v>
      </x:c>
      <x:c r="S351" t="str">
        <x:v>Sim</x:v>
      </x:c>
      <x:c r="T351" t="str">
        <x:v>Sim</x:v>
      </x:c>
      <x:c r="U351" t="str">
        <x:v>CT-2026-001</x:v>
      </x:c>
      <x:c r="V351" t="str">
        <x:v>SP-Centro</x:v>
      </x:c>
      <x:c r="W351" t="str">
        <x:v>João Silva</x:v>
      </x:c>
      <x:c r="X351" t="str">
        <x:v>Supervisor C</x:v>
      </x:c>
      <x:c r="Y351" t="str">
        <x:v>Rota Centro 01</x:v>
      </x:c>
      <x:c r="Z351" t="str">
        <x:v>Av. Paulista, 1000 - São Paulo/SP</x:v>
      </x:c>
      <x:c r="AA351" t="str">
        <x:v>São Paulo</x:v>
      </x:c>
      <x:c r="AB351" s="50" t="n">
        <x:v>46273.53125</x:v>
      </x:c>
      <x:c r="AC351" s="50" t="n">
        <x:v>46273.53472222222</x:v>
      </x:c>
      <x:c r="AD351" s="50" t="n">
        <x:v>46273.53958333333</x:v>
      </x:c>
      <x:c r="AE351" s="50" t="n">
        <x:v>46273.57847222222</x:v>
      </x:c>
      <x:c r="AF351" s="50" t="n">
        <x:v>46273.663194444445</x:v>
      </x:c>
      <x:c r="AG351" t="n">
        <x:v>68</x:v>
      </x:c>
      <x:c r="AH351" t="n">
        <x:v>117</x:v>
      </x:c>
      <x:c r="AI351" t="str">
        <x:v>Não</x:v>
      </x:c>
      <x:c r="AJ351" t="str">
        <x:v>Não</x:v>
      </x:c>
      <x:c r="AK351" t="n">
        <x:v>60</x:v>
      </x:c>
      <x:c r="AL351" t="n">
        <x:v>0</x:v>
      </x:c>
      <x:c r="AM351" s="64" t="n">
        <x:v>3.0833</x:v>
      </x:c>
      <x:c r="AN351" t="n">
        <x:v>2</x:v>
      </x:c>
      <x:c r="AO351" t="str">
        <x:v>Vermelho</x:v>
      </x:c>
      <x:c r="AP351" t="str">
        <x:v>SLA sintético excedido (tempo acumulado ≥ 100% do SLA)</x:v>
      </x:c>
      <x:c r="AQ351" t="str">
        <x:v>Encerramento demonstrativo de Botoeira; verificar fechamento e histórico para aprendizado. Sem despacho automático.</x:v>
      </x:c>
      <x:c r="AR351" s="62" t="n">
        <x:v>881.5</x:v>
      </x:c>
      <x:c r="AS351" t="str">
        <x:v>Baixo</x:v>
      </x:c>
      <x:c r="AT351" s="50" t="n">
        <x:v>46273.666666666664</x:v>
      </x:c>
      <x:c r="AU351" t="str">
        <x:v>T10</x:v>
      </x:c>
      <x:c r="AV351" t="str">
        <x:v>Ocorrência adicional sintética; perfil inspirado em CH-20260908-007</x:v>
      </x:c>
    </x:row>
    <x:row r="352">
      <x:c r="A352" t="str">
        <x:v>CH-20260908-040</x:v>
      </x:c>
      <x:c r="B352" t="str">
        <x:v>Iluminação de Cabine</x:v>
      </x:c>
      <x:c r="C352" t="str">
        <x:v>Iluminação inoperante</x:v>
      </x:c>
      <x:c r="D352" t="str">
        <x:v>Cabine com iluminação parcial ou total indisponível.</x:v>
      </x:c>
      <x:c r="E352" t="str">
        <x:v>Concluído</x:v>
      </x:c>
      <x:c r="F352" t="str">
        <x:v>IoT</x:v>
      </x:c>
      <x:c r="G352" t="str">
        <x:v>E-140</x:v>
      </x:c>
      <x:c r="H352" t="str">
        <x:v>Elevador Social</x:v>
      </x:c>
      <x:c r="I352" t="str">
        <x:v>Microprocessado</x:v>
      </x:c>
      <x:c r="J352" t="str">
        <x:v>Gearless</x:v>
      </x:c>
      <x:c r="K352" t="str">
        <x:v>OTIS</x:v>
      </x:c>
      <x:c r="L352" t="str">
        <x:v>ROT-052</x:v>
      </x:c>
      <x:c r="M352" t="str">
        <x:v>Elétrica</x:v>
      </x:c>
      <x:c r="N352" t="str">
        <x:v>Fonte</x:v>
      </x:c>
      <x:c r="O352" t="str">
        <x:v>Sem alimentação</x:v>
      </x:c>
      <x:c r="P352" t="str">
        <x:v>Falha elétrica</x:v>
      </x:c>
      <x:c r="Q352" t="str">
        <x:v>Diagnóstico e teste funcional simulados em Elétrica; encerramento demonstrativo, sem movimentação de estoque comprovada.</x:v>
      </x:c>
      <x:c r="R352" t="str">
        <x:v>Shopping Center Norte</x:v>
      </x:c>
      <x:c r="S352" t="str">
        <x:v>Não</x:v>
      </x:c>
      <x:c r="T352" t="str">
        <x:v>Sim</x:v>
      </x:c>
      <x:c r="U352" t="str">
        <x:v>CT-2026-002</x:v>
      </x:c>
      <x:c r="V352" t="str">
        <x:v>SP-Norte</x:v>
      </x:c>
      <x:c r="W352" t="str">
        <x:v>Marcos Lima</x:v>
      </x:c>
      <x:c r="X352" t="str">
        <x:v>Supervisor B</x:v>
      </x:c>
      <x:c r="Y352" t="str">
        <x:v>Rota Norte 02</x:v>
      </x:c>
      <x:c r="Z352" t="str">
        <x:v>Av. Otto Baumgart, 245 - São Paulo/SP</x:v>
      </x:c>
      <x:c r="AA352" t="str">
        <x:v>São Paulo</x:v>
      </x:c>
      <x:c r="AB352" s="50" t="n">
        <x:v>46273.53888888889</x:v>
      </x:c>
      <x:c r="AC352" s="50" t="n">
        <x:v>46273.54027777778</x:v>
      </x:c>
      <x:c r="AD352" s="50" t="n">
        <x:v>46273.54583333333</x:v>
      </x:c>
      <x:c r="AE352" s="50" t="n">
        <x:v>46273.55972222222</x:v>
      </x:c>
      <x:c r="AF352" s="50" t="n">
        <x:v>46273.59861111111</x:v>
      </x:c>
      <x:c r="AG352" t="n">
        <x:v>30</x:v>
      </x:c>
      <x:c r="AH352" t="n">
        <x:v>51</x:v>
      </x:c>
      <x:c r="AI352" t="str">
        <x:v>Não</x:v>
      </x:c>
      <x:c r="AJ352" t="str">
        <x:v>Não</x:v>
      </x:c>
      <x:c r="AK352" t="n">
        <x:v>90</x:v>
      </x:c>
      <x:c r="AL352" t="n">
        <x:v>0</x:v>
      </x:c>
      <x:c r="AM352" s="64" t="n">
        <x:v>0.9</x:v>
      </x:c>
      <x:c r="AN352" t="n">
        <x:v>0</x:v>
      </x:c>
      <x:c r="AO352" t="str">
        <x:v>Laranja</x:v>
      </x:c>
      <x:c r="AP352" t="str">
        <x:v>janela de intervenção: tempo acumulado ≥ 80% do SLA</x:v>
      </x:c>
      <x:c r="AQ352" t="str">
        <x:v>Encerramento demonstrativo de Elétrica; verificar fechamento e histórico para aprendizado. Sem despacho automático.</x:v>
      </x:c>
      <x:c r="AR352" s="62" t="n">
        <x:v>770</x:v>
      </x:c>
      <x:c r="AS352" t="str">
        <x:v>Médio</x:v>
      </x:c>
      <x:c r="AT352" s="50" t="n">
        <x:v>46273.666666666664</x:v>
      </x:c>
      <x:c r="AU352" t="str">
        <x:v>T10</x:v>
      </x:c>
      <x:c r="AV352" t="str">
        <x:v>Ocorrência adicional sintética; perfil inspirado em CH-20260908-014</x:v>
      </x:c>
    </x:row>
    <x:row r="353">
      <x:c r="A353" t="str">
        <x:v>CH-20260908-041</x:v>
      </x:c>
      <x:c r="B353" t="str">
        <x:v>Falha de Tração</x:v>
      </x:c>
      <x:c r="C353" t="str">
        <x:v>Movimento irregular</x:v>
      </x:c>
      <x:c r="D353" t="str">
        <x:v>Equipamento apresenta perda de tração.</x:v>
      </x:c>
      <x:c r="E353" t="str">
        <x:v>Concluído</x:v>
      </x:c>
      <x:c r="F353" t="str">
        <x:v>Central de Atendimento</x:v>
      </x:c>
      <x:c r="G353" t="str">
        <x:v>E-141</x:v>
      </x:c>
      <x:c r="H353" t="str">
        <x:v>Elevador Social</x:v>
      </x:c>
      <x:c r="I353" t="str">
        <x:v>Microprocessado</x:v>
      </x:c>
      <x:c r="J353" t="str">
        <x:v>Gearless</x:v>
      </x:c>
      <x:c r="K353" t="str">
        <x:v>OTIS</x:v>
      </x:c>
      <x:c r="L353" t="str">
        <x:v>ROT-041</x:v>
      </x:c>
      <x:c r="M353" t="str">
        <x:v>Máquina de Tração</x:v>
      </x:c>
      <x:c r="N353" t="str">
        <x:v>Inversor</x:v>
      </x:c>
      <x:c r="O353" t="str">
        <x:v>Oscilação</x:v>
      </x:c>
      <x:c r="P353" t="str">
        <x:v>Falha de movimento</x:v>
      </x:c>
      <x:c r="Q353" t="str">
        <x:v>Diagnóstico e teste funcional simulados em Máquina de Tração; encerramento demonstrativo, sem movimentação de estoque comprovada.</x:v>
      </x:c>
      <x:c r="R353" t="str">
        <x:v>Edifício Corporate</x:v>
      </x:c>
      <x:c r="S353" t="str">
        <x:v>Não</x:v>
      </x:c>
      <x:c r="T353" t="str">
        <x:v>Sim</x:v>
      </x:c>
      <x:c r="U353" t="str">
        <x:v>CT-2026-003</x:v>
      </x:c>
      <x:c r="V353" t="str">
        <x:v>SP-Oeste</x:v>
      </x:c>
      <x:c r="W353" t="str">
        <x:v>Ana Costa</x:v>
      </x:c>
      <x:c r="X353" t="str">
        <x:v>Supervisor A</x:v>
      </x:c>
      <x:c r="Y353" t="str">
        <x:v>Rota Oeste 03</x:v>
      </x:c>
      <x:c r="Z353" t="str">
        <x:v>Av. Faria Lima, 3500 - São Paulo/SP</x:v>
      </x:c>
      <x:c r="AA353" t="str">
        <x:v>São Paulo</x:v>
      </x:c>
      <x:c r="AB353" s="50" t="n">
        <x:v>46273.54652777778</x:v>
      </x:c>
      <x:c r="AC353" s="50" t="n">
        <x:v>46273.54861111111</x:v>
      </x:c>
      <x:c r="AD353" s="50" t="n">
        <x:v>46273.55486111111</x:v>
      </x:c>
      <x:c r="AE353" s="50" t="n">
        <x:v>46273.57638888889</x:v>
      </x:c>
      <x:c r="AF353" s="50" t="n">
        <x:v>46273.62708333333</x:v>
      </x:c>
      <x:c r="AG353" t="n">
        <x:v>43</x:v>
      </x:c>
      <x:c r="AH353" t="n">
        <x:v>68</x:v>
      </x:c>
      <x:c r="AI353" t="str">
        <x:v>Não</x:v>
      </x:c>
      <x:c r="AJ353" t="str">
        <x:v>Sim</x:v>
      </x:c>
      <x:c r="AK353" t="n">
        <x:v>120</x:v>
      </x:c>
      <x:c r="AL353" t="n">
        <x:v>0</x:v>
      </x:c>
      <x:c r="AM353" s="64" t="n">
        <x:v>0.925</x:v>
      </x:c>
      <x:c r="AN353" t="n">
        <x:v>1</x:v>
      </x:c>
      <x:c r="AO353" t="str">
        <x:v>Laranja</x:v>
      </x:c>
      <x:c r="AP353" t="str">
        <x:v>janela de intervenção: tempo acumulado ≥ 80% do SLA</x:v>
      </x:c>
      <x:c r="AQ353" t="str">
        <x:v>Encerramento demonstrativo de Máquina de Tração; verificar fechamento e histórico para aprendizado. Sem despacho automático.</x:v>
      </x:c>
      <x:c r="AR353" s="62" t="n">
        <x:v>1250.5</x:v>
      </x:c>
      <x:c r="AS353" t="str">
        <x:v>Alto</x:v>
      </x:c>
      <x:c r="AT353" s="50" t="n">
        <x:v>46273.666666666664</x:v>
      </x:c>
      <x:c r="AU353" t="str">
        <x:v>T10</x:v>
      </x:c>
      <x:c r="AV353" t="str">
        <x:v>Ocorrência adicional sintética; perfil inspirado em CH-20260908-021</x:v>
      </x:c>
    </x:row>
    <x:row r="354">
      <x:c r="A354" t="str">
        <x:v>CH-20260908-042</x:v>
      </x:c>
      <x:c r="B354" t="str">
        <x:v>Painel sem comunicação</x:v>
      </x:c>
      <x:c r="C354" t="str">
        <x:v>Falha de comunicação</x:v>
      </x:c>
      <x:c r="D354" t="str">
        <x:v>Painel não responde aos comandos.</x:v>
      </x:c>
      <x:c r="E354" t="str">
        <x:v>Em atendimento</x:v>
      </x:c>
      <x:c r="F354" t="str">
        <x:v>Monitoramento Remoto</x:v>
      </x:c>
      <x:c r="G354" t="str">
        <x:v>E-142</x:v>
      </x:c>
      <x:c r="H354" t="str">
        <x:v>Elevador Social</x:v>
      </x:c>
      <x:c r="I354" t="str">
        <x:v>Microprocessado</x:v>
      </x:c>
      <x:c r="J354" t="str">
        <x:v>Gearless</x:v>
      </x:c>
      <x:c r="K354" t="str">
        <x:v>OTIS</x:v>
      </x:c>
      <x:c r="L354" t="str">
        <x:v>ROT-033</x:v>
      </x:c>
      <x:c r="M354" t="str">
        <x:v>Painel/Comando</x:v>
      </x:c>
      <x:c r="N354" t="str">
        <x:v>Interface</x:v>
      </x:c>
      <x:c r="O354" t="str">
        <x:v>Sem comunicação</x:v>
      </x:c>
      <x:c r="P354" t="str">
        <x:v>Falha lógica</x:v>
      </x:c>
      <x:c r="Q354"/>
      <x:c r="R354" t="str">
        <x:v>Condomínio Alameda</x:v>
      </x:c>
      <x:c r="S354" t="str">
        <x:v>Não</x:v>
      </x:c>
      <x:c r="T354" t="str">
        <x:v>Não</x:v>
      </x:c>
      <x:c r="U354" t="str">
        <x:v>CT-2026-004</x:v>
      </x:c>
      <x:c r="V354" t="str">
        <x:v>SP-Sul</x:v>
      </x:c>
      <x:c r="W354" t="str">
        <x:v>Carlos Souza</x:v>
      </x:c>
      <x:c r="X354" t="str">
        <x:v>Supervisor D</x:v>
      </x:c>
      <x:c r="Y354" t="str">
        <x:v>Rota Sul 04</x:v>
      </x:c>
      <x:c r="Z354" t="str">
        <x:v>R. das Acácias, 420 - São Paulo/SP</x:v>
      </x:c>
      <x:c r="AA354" t="str">
        <x:v>São Paulo</x:v>
      </x:c>
      <x:c r="AB354" s="50" t="n">
        <x:v>46273.55625</x:v>
      </x:c>
      <x:c r="AC354" s="50" t="n">
        <x:v>46273.55902777778</x:v>
      </x:c>
      <x:c r="AD354" s="50" t="n">
        <x:v>46273.56180555555</x:v>
      </x:c>
      <x:c r="AE354" s="50" t="n">
        <x:v>46273.595138888886</x:v>
      </x:c>
      <x:c r="AF354" s="50"/>
      <x:c r="AG354" t="n">
        <x:v>56</x:v>
      </x:c>
      <x:c r="AH354"/>
      <x:c r="AI354" t="str">
        <x:v>Não</x:v>
      </x:c>
      <x:c r="AJ354" t="str">
        <x:v>Não</x:v>
      </x:c>
      <x:c r="AK354" t="n">
        <x:v>180</x:v>
      </x:c>
      <x:c r="AL354" t="n">
        <x:v>0</x:v>
      </x:c>
      <x:c r="AM354" s="64" t="n">
        <x:v>0.8833</x:v>
      </x:c>
      <x:c r="AN354" t="n">
        <x:v>3</x:v>
      </x:c>
      <x:c r="AO354" t="str">
        <x:v>Laranja</x:v>
      </x:c>
      <x:c r="AP354" t="str">
        <x:v>janela de intervenção: tempo acumulado ≥ 80% do SLA</x:v>
      </x:c>
      <x:c r="AQ354" t="str">
        <x:v>Janela de intervenção em Painel/Comando; revisar recorrências (3/30d) e contexto antes de escalar.</x:v>
      </x:c>
      <x:c r="AR354" s="62" t="n">
        <x:v>1671</x:v>
      </x:c>
      <x:c r="AS354" t="str">
        <x:v>Alto</x:v>
      </x:c>
      <x:c r="AT354" s="50" t="n">
        <x:v>46273.666666666664</x:v>
      </x:c>
      <x:c r="AU354" t="str">
        <x:v>T10</x:v>
      </x:c>
      <x:c r="AV354" t="str">
        <x:v>Ocorrência adicional sintética; perfil inspirado em CH-20260908-004</x:v>
      </x:c>
    </x:row>
    <x:row r="355">
      <x:c r="A355" t="str">
        <x:v>CH-20260908-043</x:v>
      </x:c>
      <x:c r="B355" t="str">
        <x:v>Porta não fecha</x:v>
      </x:c>
      <x:c r="C355" t="str">
        <x:v>Falha no fechamento</x:v>
      </x:c>
      <x:c r="D355" t="str">
        <x:v>Porta permanece aberta e impede partida.</x:v>
      </x:c>
      <x:c r="E355" t="str">
        <x:v>Em atendimento</x:v>
      </x:c>
      <x:c r="F355" t="str">
        <x:v>Aplicativo Cliente</x:v>
      </x:c>
      <x:c r="G355" t="str">
        <x:v>E-121</x:v>
      </x:c>
      <x:c r="H355" t="str">
        <x:v>Elevador Social</x:v>
      </x:c>
      <x:c r="I355" t="str">
        <x:v>Microprocessado</x:v>
      </x:c>
      <x:c r="J355" t="str">
        <x:v>Gearless</x:v>
      </x:c>
      <x:c r="K355" t="str">
        <x:v>OTIS</x:v>
      </x:c>
      <x:c r="L355" t="str">
        <x:v>ROT-021</x:v>
      </x:c>
      <x:c r="M355" t="str">
        <x:v>Operador de Porta</x:v>
      </x:c>
      <x:c r="N355" t="str">
        <x:v>Sensor de porta</x:v>
      </x:c>
      <x:c r="O355" t="str">
        <x:v>Falha de leitura</x:v>
      </x:c>
      <x:c r="P355" t="str">
        <x:v>Porta aberta</x:v>
      </x:c>
      <x:c r="Q355"/>
      <x:c r="R355" t="str">
        <x:v>Aeroporto Terminal 3</x:v>
      </x:c>
      <x:c r="S355" t="str">
        <x:v>Sim</x:v>
      </x:c>
      <x:c r="T355" t="str">
        <x:v>Sim</x:v>
      </x:c>
      <x:c r="U355" t="str">
        <x:v>CT-2026-005</x:v>
      </x:c>
      <x:c r="V355" t="str">
        <x:v>GRU</x:v>
      </x:c>
      <x:c r="W355" t="str">
        <x:v>Renata Alves</x:v>
      </x:c>
      <x:c r="X355" t="str">
        <x:v>Supervisor C</x:v>
      </x:c>
      <x:c r="Y355" t="str">
        <x:v>Rota GRU 05</x:v>
      </x:c>
      <x:c r="Z355" t="str">
        <x:v>Rod. Hélio Smidt, s/n - Guarulhos/SP</x:v>
      </x:c>
      <x:c r="AA355" t="str">
        <x:v>São Paulo</x:v>
      </x:c>
      <x:c r="AB355" s="50" t="n">
        <x:v>46273.56597222222</x:v>
      </x:c>
      <x:c r="AC355" s="50" t="n">
        <x:v>46273.569444444445</x:v>
      </x:c>
      <x:c r="AD355" s="50" t="n">
        <x:v>46273.572916666664</x:v>
      </x:c>
      <x:c r="AE355" s="50" t="n">
        <x:v>46273.61388888889</x:v>
      </x:c>
      <x:c r="AF355" s="50"/>
      <x:c r="AG355" t="n">
        <x:v>69</x:v>
      </x:c>
      <x:c r="AH355"/>
      <x:c r="AI355" t="str">
        <x:v>Não</x:v>
      </x:c>
      <x:c r="AJ355" t="str">
        <x:v>Não</x:v>
      </x:c>
      <x:c r="AK355" t="n">
        <x:v>45</x:v>
      </x:c>
      <x:c r="AL355" t="n">
        <x:v>0</x:v>
      </x:c>
      <x:c r="AM355" s="64" t="n">
        <x:v>3.2222</x:v>
      </x:c>
      <x:c r="AN355" t="n">
        <x:v>3</x:v>
      </x:c>
      <x:c r="AO355" t="str">
        <x:v>Vermelho</x:v>
      </x:c>
      <x:c r="AP355" t="str">
        <x:v>SLA sintético excedido (tempo acumulado ≥ 100% do SLA)</x:v>
      </x:c>
      <x:c r="AQ355" t="str">
        <x:v>Priorizar avaliação do chamado em Operador de Porta; SLA demonstrativo comprometido. Supervisor decide o encaminhamento.</x:v>
      </x:c>
      <x:c r="AR355" s="62" t="n">
        <x:v>995.5</x:v>
      </x:c>
      <x:c r="AS355" t="str">
        <x:v>Médio</x:v>
      </x:c>
      <x:c r="AT355" s="50" t="n">
        <x:v>46273.666666666664</x:v>
      </x:c>
      <x:c r="AU355" t="str">
        <x:v>T10</x:v>
      </x:c>
      <x:c r="AV355" t="str">
        <x:v>Ocorrência adicional sintética; perfil inspirado em CH-20260908-011</x:v>
      </x:c>
    </x:row>
    <x:row r="356">
      <x:c r="A356" t="str">
        <x:v>CH-20260908-044</x:v>
      </x:c>
      <x:c r="B356" t="str">
        <x:v>Falha de Nivelamento</x:v>
      </x:c>
      <x:c r="C356" t="str">
        <x:v>Cabine desnivelada</x:v>
      </x:c>
      <x:c r="D356" t="str">
        <x:v>Cabine parou fora do nível do pavimento.</x:v>
      </x:c>
      <x:c r="E356" t="str">
        <x:v>Em atendimento</x:v>
      </x:c>
      <x:c r="F356" t="str">
        <x:v>IoT</x:v>
      </x:c>
      <x:c r="G356" t="str">
        <x:v>E-144</x:v>
      </x:c>
      <x:c r="H356" t="str">
        <x:v>Elevador Social</x:v>
      </x:c>
      <x:c r="I356" t="str">
        <x:v>Microprocessado</x:v>
      </x:c>
      <x:c r="J356" t="str">
        <x:v>Gearless</x:v>
      </x:c>
      <x:c r="K356" t="str">
        <x:v>OTIS</x:v>
      </x:c>
      <x:c r="L356" t="str">
        <x:v>ROT-014</x:v>
      </x:c>
      <x:c r="M356" t="str">
        <x:v>Sensor de Nível</x:v>
      </x:c>
      <x:c r="N356" t="str">
        <x:v>Sensor</x:v>
      </x:c>
      <x:c r="O356" t="str">
        <x:v>Leitura inconsistente</x:v>
      </x:c>
      <x:c r="P356" t="str">
        <x:v>Falha de nivelamento</x:v>
      </x:c>
      <x:c r="Q356"/>
      <x:c r="R356" t="str">
        <x:v>Universidade Central</x:v>
      </x:c>
      <x:c r="S356" t="str">
        <x:v>Não</x:v>
      </x:c>
      <x:c r="T356" t="str">
        <x:v>Sim</x:v>
      </x:c>
      <x:c r="U356" t="str">
        <x:v>CT-2026-006</x:v>
      </x:c>
      <x:c r="V356" t="str">
        <x:v>SP-Leste</x:v>
      </x:c>
      <x:c r="W356" t="str">
        <x:v>Paulo Mendes</x:v>
      </x:c>
      <x:c r="X356" t="str">
        <x:v>Supervisor B</x:v>
      </x:c>
      <x:c r="Y356" t="str">
        <x:v>Rota Leste 06</x:v>
      </x:c>
      <x:c r="Z356" t="str">
        <x:v>Av. Central, 850 - São Paulo/SP</x:v>
      </x:c>
      <x:c r="AA356" t="str">
        <x:v>São Paulo</x:v>
      </x:c>
      <x:c r="AB356" s="50" t="n">
        <x:v>46273.575694444444</x:v>
      </x:c>
      <x:c r="AC356" s="50" t="n">
        <x:v>46273.57708333333</x:v>
      </x:c>
      <x:c r="AD356" s="50" t="n">
        <x:v>46273.58125</x:v>
      </x:c>
      <x:c r="AE356" s="50" t="n">
        <x:v>46273.59722222222</x:v>
      </x:c>
      <x:c r="AF356" s="50"/>
      <x:c r="AG356" t="n">
        <x:v>31</x:v>
      </x:c>
      <x:c r="AH356"/>
      <x:c r="AI356" t="str">
        <x:v>Não</x:v>
      </x:c>
      <x:c r="AJ356" t="str">
        <x:v>Não</x:v>
      </x:c>
      <x:c r="AK356" t="n">
        <x:v>120</x:v>
      </x:c>
      <x:c r="AL356" t="n">
        <x:v>0</x:v>
      </x:c>
      <x:c r="AM356" s="64" t="n">
        <x:v>1.0917</x:v>
      </x:c>
      <x:c r="AN356" t="n">
        <x:v>1</x:v>
      </x:c>
      <x:c r="AO356" t="str">
        <x:v>Vermelho</x:v>
      </x:c>
      <x:c r="AP356" t="str">
        <x:v>SLA sintético excedido (tempo acumulado ≥ 100% do SLA)</x:v>
      </x:c>
      <x:c r="AQ356" t="str">
        <x:v>Priorizar avaliação do chamado em Sensor de Nível; SLA demonstrativo comprometido. Supervisor decide o encaminhamento.</x:v>
      </x:c>
      <x:c r="AR356" s="62" t="n">
        <x:v>767</x:v>
      </x:c>
      <x:c r="AS356" t="str">
        <x:v>Baixo</x:v>
      </x:c>
      <x:c r="AT356" s="50" t="n">
        <x:v>46273.666666666664</x:v>
      </x:c>
      <x:c r="AU356" t="str">
        <x:v>T10</x:v>
      </x:c>
      <x:c r="AV356" t="str">
        <x:v>Ocorrência adicional sintética; perfil inspirado em CH-20260908-018</x:v>
      </x:c>
    </x:row>
    <x:row r="357">
      <x:c r="A357" t="str">
        <x:v>CH-20260908-045</x:v>
      </x:c>
      <x:c r="B357" t="str">
        <x:v>Passageiro Preso</x:v>
      </x:c>
      <x:c r="C357" t="str">
        <x:v>Elevador parado entre andares</x:v>
      </x:c>
      <x:c r="D357" t="str">
        <x:v>Cabine imobilizada com passageiro no interior.</x:v>
      </x:c>
      <x:c r="E357" t="str">
        <x:v>Concluído</x:v>
      </x:c>
      <x:c r="F357" t="str">
        <x:v>Central de Atendimento</x:v>
      </x:c>
      <x:c r="G357" t="str">
        <x:v>E-145</x:v>
      </x:c>
      <x:c r="H357" t="str">
        <x:v>Elevador Social</x:v>
      </x:c>
      <x:c r="I357" t="str">
        <x:v>Microprocessado</x:v>
      </x:c>
      <x:c r="J357" t="str">
        <x:v>Gearless</x:v>
      </x:c>
      <x:c r="K357" t="str">
        <x:v>OTIS</x:v>
      </x:c>
      <x:c r="L357" t="str">
        <x:v>ROT-001</x:v>
      </x:c>
      <x:c r="M357" t="str">
        <x:v>Tração</x:v>
      </x:c>
      <x:c r="N357" t="str">
        <x:v>Freio</x:v>
      </x:c>
      <x:c r="O357" t="str">
        <x:v>Travamento</x:v>
      </x:c>
      <x:c r="P357" t="str">
        <x:v>Parada total</x:v>
      </x:c>
      <x:c r="Q357" t="str">
        <x:v>Diagnóstico e teste funcional simulados em Tração; encerramento demonstrativo, sem movimentação de estoque comprovada.</x:v>
      </x:c>
      <x:c r="R357" t="str">
        <x:v>Hospital São Paulo</x:v>
      </x:c>
      <x:c r="S357" t="str">
        <x:v>Sim</x:v>
      </x:c>
      <x:c r="T357" t="str">
        <x:v>Sim</x:v>
      </x:c>
      <x:c r="U357" t="str">
        <x:v>CT-2026-001</x:v>
      </x:c>
      <x:c r="V357" t="str">
        <x:v>SP-Centro</x:v>
      </x:c>
      <x:c r="W357" t="str">
        <x:v>João Silva</x:v>
      </x:c>
      <x:c r="X357" t="str">
        <x:v>Supervisor A</x:v>
      </x:c>
      <x:c r="Y357" t="str">
        <x:v>Rota Centro 01</x:v>
      </x:c>
      <x:c r="Z357" t="str">
        <x:v>Av. Paulista, 1000 - São Paulo/SP</x:v>
      </x:c>
      <x:c r="AA357" t="str">
        <x:v>São Paulo</x:v>
      </x:c>
      <x:c r="AB357" s="50" t="n">
        <x:v>46273.58819444444</x:v>
      </x:c>
      <x:c r="AC357" s="50" t="n">
        <x:v>46273.59027777778</x:v>
      </x:c>
      <x:c r="AD357" s="50" t="n">
        <x:v>46273.595138888886</x:v>
      </x:c>
      <x:c r="AE357" s="50" t="n">
        <x:v>46273.61875</x:v>
      </x:c>
      <x:c r="AF357" s="50" t="n">
        <x:v>46273.65902777778</x:v>
      </x:c>
      <x:c r="AG357" t="n">
        <x:v>44</x:v>
      </x:c>
      <x:c r="AH357" t="n">
        <x:v>53</x:v>
      </x:c>
      <x:c r="AI357" t="str">
        <x:v>Sim</x:v>
      </x:c>
      <x:c r="AJ357" t="str">
        <x:v>Sim</x:v>
      </x:c>
      <x:c r="AK357" t="n">
        <x:v>60</x:v>
      </x:c>
      <x:c r="AL357" t="n">
        <x:v>0</x:v>
      </x:c>
      <x:c r="AM357" s="64" t="n">
        <x:v>1.6167</x:v>
      </x:c>
      <x:c r="AN357" t="n">
        <x:v>0</x:v>
      </x:c>
      <x:c r="AO357" t="str">
        <x:v>Vermelho</x:v>
      </x:c>
      <x:c r="AP357" t="str">
        <x:v>SLA sintético excedido (tempo acumulado ≥ 100% do SLA)</x:v>
      </x:c>
      <x:c r="AQ357" t="str">
        <x:v>Encerramento demonstrativo de Tração; verificar fechamento e histórico para aprendizado. Sem despacho automático.</x:v>
      </x:c>
      <x:c r="AR357" s="62" t="n">
        <x:v>1074.5</x:v>
      </x:c>
      <x:c r="AS357" t="str">
        <x:v>Médio</x:v>
      </x:c>
      <x:c r="AT357" s="50" t="n">
        <x:v>46273.666666666664</x:v>
      </x:c>
      <x:c r="AU357" t="str">
        <x:v>T10</x:v>
      </x:c>
      <x:c r="AV357" t="str">
        <x:v>Ocorrência adicional sintética; perfil inspirado em CH-20260908-001</x:v>
      </x:c>
    </x:row>
    <x:row r="358">
      <x:c r="A358" t="str">
        <x:v>CH-20260908-046</x:v>
      </x:c>
      <x:c r="B358" t="str">
        <x:v>Parada Intermitente</x:v>
      </x:c>
      <x:c r="C358" t="str">
        <x:v>Paradas aleatórias</x:v>
      </x:c>
      <x:c r="D358" t="str">
        <x:v>Equipamento interrompe operação de forma intermitente.</x:v>
      </x:c>
      <x:c r="E358" t="str">
        <x:v>Em atendimento</x:v>
      </x:c>
      <x:c r="F358" t="str">
        <x:v>Monitoramento Remoto</x:v>
      </x:c>
      <x:c r="G358" t="str">
        <x:v>E-146</x:v>
      </x:c>
      <x:c r="H358" t="str">
        <x:v>Elevador Social</x:v>
      </x:c>
      <x:c r="I358" t="str">
        <x:v>Microprocessado</x:v>
      </x:c>
      <x:c r="J358" t="str">
        <x:v>Gearless</x:v>
      </x:c>
      <x:c r="K358" t="str">
        <x:v>OTIS</x:v>
      </x:c>
      <x:c r="L358" t="str">
        <x:v>ROT-074</x:v>
      </x:c>
      <x:c r="M358" t="str">
        <x:v>Painel/Comando</x:v>
      </x:c>
      <x:c r="N358" t="str">
        <x:v>Placa</x:v>
      </x:c>
      <x:c r="O358" t="str">
        <x:v>Intermitência</x:v>
      </x:c>
      <x:c r="P358" t="str">
        <x:v>Falha intermitente</x:v>
      </x:c>
      <x:c r="Q358"/>
      <x:c r="R358" t="str">
        <x:v>Shopping Center Norte</x:v>
      </x:c>
      <x:c r="S358" t="str">
        <x:v>Não</x:v>
      </x:c>
      <x:c r="T358" t="str">
        <x:v>Sim</x:v>
      </x:c>
      <x:c r="U358" t="str">
        <x:v>CT-2026-002</x:v>
      </x:c>
      <x:c r="V358" t="str">
        <x:v>SP-Norte</x:v>
      </x:c>
      <x:c r="W358" t="str">
        <x:v>Marcos Lima</x:v>
      </x:c>
      <x:c r="X358" t="str">
        <x:v>Supervisor D</x:v>
      </x:c>
      <x:c r="Y358" t="str">
        <x:v>Rota Norte 02</x:v>
      </x:c>
      <x:c r="Z358" t="str">
        <x:v>Av. Otto Baumgart, 245 - São Paulo/SP</x:v>
      </x:c>
      <x:c r="AA358" t="str">
        <x:v>São Paulo</x:v>
      </x:c>
      <x:c r="AB358" s="50" t="n">
        <x:v>46273.597916666666</x:v>
      </x:c>
      <x:c r="AC358" s="50" t="n">
        <x:v>46273.600694444445</x:v>
      </x:c>
      <x:c r="AD358" s="50" t="n">
        <x:v>46273.60625</x:v>
      </x:c>
      <x:c r="AE358" s="50" t="n">
        <x:v>46273.6375</x:v>
      </x:c>
      <x:c r="AF358" s="50"/>
      <x:c r="AG358" t="n">
        <x:v>57</x:v>
      </x:c>
      <x:c r="AH358"/>
      <x:c r="AI358" t="str">
        <x:v>Não</x:v>
      </x:c>
      <x:c r="AJ358" t="str">
        <x:v>Sim</x:v>
      </x:c>
      <x:c r="AK358" t="n">
        <x:v>90</x:v>
      </x:c>
      <x:c r="AL358" t="n">
        <x:v>0</x:v>
      </x:c>
      <x:c r="AM358" s="64" t="n">
        <x:v>1.1</x:v>
      </x:c>
      <x:c r="AN358" t="n">
        <x:v>4</x:v>
      </x:c>
      <x:c r="AO358" t="str">
        <x:v>Vermelho</x:v>
      </x:c>
      <x:c r="AP358" t="str">
        <x:v>SLA sintético excedido (tempo acumulado ≥ 100% do SLA)</x:v>
      </x:c>
      <x:c r="AQ358" t="str">
        <x:v>Priorizar avaliação do chamado em Painel/Comando; SLA demonstrativo comprometido. Supervisor decide o encaminhamento.</x:v>
      </x:c>
      <x:c r="AR358" s="62" t="n">
        <x:v>1668</x:v>
      </x:c>
      <x:c r="AS358" t="str">
        <x:v>Alto</x:v>
      </x:c>
      <x:c r="AT358" s="50" t="n">
        <x:v>46273.666666666664</x:v>
      </x:c>
      <x:c r="AU358" t="str">
        <x:v>T10</x:v>
      </x:c>
      <x:c r="AV358" t="str">
        <x:v>Ocorrência adicional sintética; perfil inspirado em CH-20260908-008</x:v>
      </x:c>
    </x:row>
    <x:row r="359">
      <x:c r="A359" t="str">
        <x:v>CH-20260908-047</x:v>
      </x:c>
      <x:c r="B359" t="str">
        <x:v>Botão de Chamada</x:v>
      </x:c>
      <x:c r="C359" t="str">
        <x:v>Botão não responde</x:v>
      </x:c>
      <x:c r="D359" t="str">
        <x:v>Botão de chamada não registra comando.</x:v>
      </x:c>
      <x:c r="E359" t="str">
        <x:v>Em atendimento</x:v>
      </x:c>
      <x:c r="F359" t="str">
        <x:v>Aplicativo Cliente</x:v>
      </x:c>
      <x:c r="G359" t="str">
        <x:v>E-147</x:v>
      </x:c>
      <x:c r="H359" t="str">
        <x:v>Elevador Social</x:v>
      </x:c>
      <x:c r="I359" t="str">
        <x:v>Microprocessado</x:v>
      </x:c>
      <x:c r="J359" t="str">
        <x:v>Gearless</x:v>
      </x:c>
      <x:c r="K359" t="str">
        <x:v>OTIS</x:v>
      </x:c>
      <x:c r="L359" t="str">
        <x:v>ROT-063</x:v>
      </x:c>
      <x:c r="M359" t="str">
        <x:v>Botoeira</x:v>
      </x:c>
      <x:c r="N359" t="str">
        <x:v>Contato</x:v>
      </x:c>
      <x:c r="O359" t="str">
        <x:v>Mau contato</x:v>
      </x:c>
      <x:c r="P359" t="str">
        <x:v>Falha de comando</x:v>
      </x:c>
      <x:c r="Q359"/>
      <x:c r="R359" t="str">
        <x:v>Edifício Corporate</x:v>
      </x:c>
      <x:c r="S359" t="str">
        <x:v>Não</x:v>
      </x:c>
      <x:c r="T359" t="str">
        <x:v>Sim</x:v>
      </x:c>
      <x:c r="U359" t="str">
        <x:v>CT-2026-003</x:v>
      </x:c>
      <x:c r="V359" t="str">
        <x:v>SP-Oeste</x:v>
      </x:c>
      <x:c r="W359" t="str">
        <x:v>Ana Costa</x:v>
      </x:c>
      <x:c r="X359" t="str">
        <x:v>Supervisor C</x:v>
      </x:c>
      <x:c r="Y359" t="str">
        <x:v>Rota Oeste 03</x:v>
      </x:c>
      <x:c r="Z359" t="str">
        <x:v>Av. Faria Lima, 3500 - São Paulo/SP</x:v>
      </x:c>
      <x:c r="AA359" t="str">
        <x:v>São Paulo</x:v>
      </x:c>
      <x:c r="AB359" s="50" t="n">
        <x:v>46273.60763888889</x:v>
      </x:c>
      <x:c r="AC359" s="50" t="n">
        <x:v>46273.61111111111</x:v>
      </x:c>
      <x:c r="AD359" s="50" t="n">
        <x:v>46273.61736111111</x:v>
      </x:c>
      <x:c r="AE359" s="50" t="n">
        <x:v>46273.65625</x:v>
      </x:c>
      <x:c r="AF359" s="50"/>
      <x:c r="AG359" t="n">
        <x:v>70</x:v>
      </x:c>
      <x:c r="AH359"/>
      <x:c r="AI359" t="str">
        <x:v>Não</x:v>
      </x:c>
      <x:c r="AJ359" t="str">
        <x:v>Não</x:v>
      </x:c>
      <x:c r="AK359" t="n">
        <x:v>120</x:v>
      </x:c>
      <x:c r="AL359" t="n">
        <x:v>0</x:v>
      </x:c>
      <x:c r="AM359" s="64" t="n">
        <x:v>0.7083</x:v>
      </x:c>
      <x:c r="AN359" t="n">
        <x:v>2</x:v>
      </x:c>
      <x:c r="AO359" t="str">
        <x:v>Amarelo</x:v>
      </x:c>
      <x:c r="AP359" t="str">
        <x:v>atenção: tempo acumulado ≥ 55% do SLA</x:v>
      </x:c>
      <x:c r="AQ359" t="str">
        <x:v>Acompanhar sinais em Botoeira; correlacionar histórico e SLA antes de recomendar intervenção.</x:v>
      </x:c>
      <x:c r="AR359" s="62" t="n">
        <x:v>1008.5</x:v>
      </x:c>
      <x:c r="AS359" t="str">
        <x:v>Baixo</x:v>
      </x:c>
      <x:c r="AT359" s="50" t="n">
        <x:v>46273.666666666664</x:v>
      </x:c>
      <x:c r="AU359" t="str">
        <x:v>T10</x:v>
      </x:c>
      <x:c r="AV359" t="str">
        <x:v>Ocorrência adicional sintética; perfil inspirado em CH-20260908-015</x:v>
      </x:c>
    </x:row>
    <x:row r="360">
      <x:c r="A360" t="str">
        <x:v>CH-20260908-048</x:v>
      </x:c>
      <x:c r="B360" t="str">
        <x:v>Iluminação de Cabine</x:v>
      </x:c>
      <x:c r="C360" t="str">
        <x:v>Iluminação inoperante</x:v>
      </x:c>
      <x:c r="D360" t="str">
        <x:v>Cabine com iluminação parcial ou total indisponível.</x:v>
      </x:c>
      <x:c r="E360" t="str">
        <x:v>Em atendimento</x:v>
      </x:c>
      <x:c r="F360" t="str">
        <x:v>IoT</x:v>
      </x:c>
      <x:c r="G360" t="str">
        <x:v>E-148</x:v>
      </x:c>
      <x:c r="H360" t="str">
        <x:v>Elevador Social</x:v>
      </x:c>
      <x:c r="I360" t="str">
        <x:v>Microprocessado</x:v>
      </x:c>
      <x:c r="J360" t="str">
        <x:v>Gearless</x:v>
      </x:c>
      <x:c r="K360" t="str">
        <x:v>OTIS</x:v>
      </x:c>
      <x:c r="L360" t="str">
        <x:v>ROT-052</x:v>
      </x:c>
      <x:c r="M360" t="str">
        <x:v>Elétrica</x:v>
      </x:c>
      <x:c r="N360" t="str">
        <x:v>Fonte</x:v>
      </x:c>
      <x:c r="O360" t="str">
        <x:v>Sem alimentação</x:v>
      </x:c>
      <x:c r="P360" t="str">
        <x:v>Falha elétrica</x:v>
      </x:c>
      <x:c r="Q360"/>
      <x:c r="R360" t="str">
        <x:v>Condomínio Alameda</x:v>
      </x:c>
      <x:c r="S360" t="str">
        <x:v>Não</x:v>
      </x:c>
      <x:c r="T360" t="str">
        <x:v>Não</x:v>
      </x:c>
      <x:c r="U360" t="str">
        <x:v>CT-2026-004</x:v>
      </x:c>
      <x:c r="V360" t="str">
        <x:v>SP-Sul</x:v>
      </x:c>
      <x:c r="W360" t="str">
        <x:v>Carlos Souza</x:v>
      </x:c>
      <x:c r="X360" t="str">
        <x:v>Supervisor B</x:v>
      </x:c>
      <x:c r="Y360" t="str">
        <x:v>Rota Sul 04</x:v>
      </x:c>
      <x:c r="Z360" t="str">
        <x:v>R. das Acácias, 420 - São Paulo/SP</x:v>
      </x:c>
      <x:c r="AA360" t="str">
        <x:v>São Paulo</x:v>
      </x:c>
      <x:c r="AB360" s="50" t="n">
        <x:v>46273.61736111111</x:v>
      </x:c>
      <x:c r="AC360" s="50" t="n">
        <x:v>46273.61875</x:v>
      </x:c>
      <x:c r="AD360" s="50" t="n">
        <x:v>46273.62152777778</x:v>
      </x:c>
      <x:c r="AE360" s="50" t="n">
        <x:v>46273.63958333333</x:v>
      </x:c>
      <x:c r="AF360" s="50"/>
      <x:c r="AG360" t="n">
        <x:v>32</x:v>
      </x:c>
      <x:c r="AH360"/>
      <x:c r="AI360" t="str">
        <x:v>Não</x:v>
      </x:c>
      <x:c r="AJ360" t="str">
        <x:v>Não</x:v>
      </x:c>
      <x:c r="AK360" t="n">
        <x:v>180</x:v>
      </x:c>
      <x:c r="AL360" t="n">
        <x:v>0</x:v>
      </x:c>
      <x:c r="AM360" s="64" t="n">
        <x:v>0.3944</x:v>
      </x:c>
      <x:c r="AN360" t="n">
        <x:v>0</x:v>
      </x:c>
      <x:c r="AO360" t="str">
        <x:v>Verde</x:v>
      </x:c>
      <x:c r="AP360" t="str">
        <x:v>operação dentro dos limiares sintéticos da demonstração</x:v>
      </x:c>
      <x:c r="AQ360" t="str">
        <x:v>Manter acompanhamento do componente Elétrica e dos indicadores operacionais.</x:v>
      </x:c>
      <x:c r="AR360" s="62" t="n">
        <x:v>897</x:v>
      </x:c>
      <x:c r="AS360" t="str">
        <x:v>Médio</x:v>
      </x:c>
      <x:c r="AT360" s="50" t="n">
        <x:v>46273.666666666664</x:v>
      </x:c>
      <x:c r="AU360" t="str">
        <x:v>T10</x:v>
      </x:c>
      <x:c r="AV360" t="str">
        <x:v>Ocorrência adicional sintética; perfil inspirado em CH-20260908-022</x:v>
      </x:c>
    </x:row>
    <x:row r="361">
      <x:c r="A361" t="str">
        <x:v>CH-20260908-049</x:v>
      </x:c>
      <x:c r="B361" t="str">
        <x:v>Falha de Tração</x:v>
      </x:c>
      <x:c r="C361" t="str">
        <x:v>Movimento irregular</x:v>
      </x:c>
      <x:c r="D361" t="str">
        <x:v>Equipamento apresenta perda de tração.</x:v>
      </x:c>
      <x:c r="E361" t="str">
        <x:v>Em atendimento</x:v>
      </x:c>
      <x:c r="F361" t="str">
        <x:v>Central de Atendimento</x:v>
      </x:c>
      <x:c r="G361" t="str">
        <x:v>E-149</x:v>
      </x:c>
      <x:c r="H361" t="str">
        <x:v>Elevador Social</x:v>
      </x:c>
      <x:c r="I361" t="str">
        <x:v>Microprocessado</x:v>
      </x:c>
      <x:c r="J361" t="str">
        <x:v>Gearless</x:v>
      </x:c>
      <x:c r="K361" t="str">
        <x:v>OTIS</x:v>
      </x:c>
      <x:c r="L361" t="str">
        <x:v>ROT-041</x:v>
      </x:c>
      <x:c r="M361" t="str">
        <x:v>Máquina de Tração</x:v>
      </x:c>
      <x:c r="N361" t="str">
        <x:v>Inversor</x:v>
      </x:c>
      <x:c r="O361" t="str">
        <x:v>Oscilação</x:v>
      </x:c>
      <x:c r="P361" t="str">
        <x:v>Falha de movimento</x:v>
      </x:c>
      <x:c r="Q361"/>
      <x:c r="R361" t="str">
        <x:v>Aeroporto Terminal 3</x:v>
      </x:c>
      <x:c r="S361" t="str">
        <x:v>Sim</x:v>
      </x:c>
      <x:c r="T361" t="str">
        <x:v>Sim</x:v>
      </x:c>
      <x:c r="U361" t="str">
        <x:v>CT-2026-005</x:v>
      </x:c>
      <x:c r="V361" t="str">
        <x:v>GRU</x:v>
      </x:c>
      <x:c r="W361" t="str">
        <x:v>Renata Alves</x:v>
      </x:c>
      <x:c r="X361" t="str">
        <x:v>Supervisor A</x:v>
      </x:c>
      <x:c r="Y361" t="str">
        <x:v>Rota GRU 05</x:v>
      </x:c>
      <x:c r="Z361" t="str">
        <x:v>Rod. Hélio Smidt, s/n - Guarulhos/SP</x:v>
      </x:c>
      <x:c r="AA361" t="str">
        <x:v>São Paulo</x:v>
      </x:c>
      <x:c r="AB361" s="50" t="n">
        <x:v>46273.63125</x:v>
      </x:c>
      <x:c r="AC361" s="50" t="n">
        <x:v>46273.63333333333</x:v>
      </x:c>
      <x:c r="AD361" s="50" t="n">
        <x:v>46273.63680555556</x:v>
      </x:c>
      <x:c r="AE361" s="50" t="n">
        <x:v>46273.6625</x:v>
      </x:c>
      <x:c r="AF361" s="50"/>
      <x:c r="AG361" t="n">
        <x:v>45</x:v>
      </x:c>
      <x:c r="AH361"/>
      <x:c r="AI361" t="str">
        <x:v>Não</x:v>
      </x:c>
      <x:c r="AJ361" t="str">
        <x:v>Sim</x:v>
      </x:c>
      <x:c r="AK361" t="n">
        <x:v>45</x:v>
      </x:c>
      <x:c r="AL361" t="n">
        <x:v>0</x:v>
      </x:c>
      <x:c r="AM361" s="64" t="n">
        <x:v>1.1333</x:v>
      </x:c>
      <x:c r="AN361" t="n">
        <x:v>1</x:v>
      </x:c>
      <x:c r="AO361" t="str">
        <x:v>Vermelho</x:v>
      </x:c>
      <x:c r="AP361" t="str">
        <x:v>SLA sintético excedido (tempo acumulado ≥ 100% do SLA)</x:v>
      </x:c>
      <x:c r="AQ361" t="str">
        <x:v>Priorizar avaliação do chamado em Máquina de Tração; SLA demonstrativo comprometido. Supervisor decide o encaminhamento.</x:v>
      </x:c>
      <x:c r="AR361" s="62" t="n">
        <x:v>1297.5</x:v>
      </x:c>
      <x:c r="AS361" t="str">
        <x:v>Alto</x:v>
      </x:c>
      <x:c r="AT361" s="50" t="n">
        <x:v>46273.666666666664</x:v>
      </x:c>
      <x:c r="AU361" t="str">
        <x:v>T10</x:v>
      </x:c>
      <x:c r="AV361" t="str">
        <x:v>Ocorrência adicional sintética; perfil inspirado em CH-20260908-005</x:v>
      </x:c>
    </x:row>
    <x:row r="362">
      <x:c r="A362" t="str">
        <x:v>CH-20260908-050</x:v>
      </x:c>
      <x:c r="B362" t="str">
        <x:v>Painel sem comunicação</x:v>
      </x:c>
      <x:c r="C362" t="str">
        <x:v>Falha de comunicação</x:v>
      </x:c>
      <x:c r="D362" t="str">
        <x:v>Painel não responde aos comandos.</x:v>
      </x:c>
      <x:c r="E362" t="str">
        <x:v>Técnico a caminho</x:v>
      </x:c>
      <x:c r="F362" t="str">
        <x:v>Monitoramento Remoto</x:v>
      </x:c>
      <x:c r="G362" t="str">
        <x:v>E-132</x:v>
      </x:c>
      <x:c r="H362" t="str">
        <x:v>Elevador Social</x:v>
      </x:c>
      <x:c r="I362" t="str">
        <x:v>Microprocessado</x:v>
      </x:c>
      <x:c r="J362" t="str">
        <x:v>Gearless</x:v>
      </x:c>
      <x:c r="K362" t="str">
        <x:v>OTIS</x:v>
      </x:c>
      <x:c r="L362" t="str">
        <x:v>ROT-033</x:v>
      </x:c>
      <x:c r="M362" t="str">
        <x:v>Painel/Comando</x:v>
      </x:c>
      <x:c r="N362" t="str">
        <x:v>Interface</x:v>
      </x:c>
      <x:c r="O362" t="str">
        <x:v>Sem comunicação</x:v>
      </x:c>
      <x:c r="P362" t="str">
        <x:v>Falha lógica</x:v>
      </x:c>
      <x:c r="Q362"/>
      <x:c r="R362" t="str">
        <x:v>Universidade Central</x:v>
      </x:c>
      <x:c r="S362" t="str">
        <x:v>Não</x:v>
      </x:c>
      <x:c r="T362" t="str">
        <x:v>Sim</x:v>
      </x:c>
      <x:c r="U362" t="str">
        <x:v>CT-2026-006</x:v>
      </x:c>
      <x:c r="V362" t="str">
        <x:v>SP-Leste</x:v>
      </x:c>
      <x:c r="W362" t="str">
        <x:v>Paulo Mendes</x:v>
      </x:c>
      <x:c r="X362" t="str">
        <x:v>Supervisor D</x:v>
      </x:c>
      <x:c r="Y362" t="str">
        <x:v>Rota Leste 06</x:v>
      </x:c>
      <x:c r="Z362" t="str">
        <x:v>Av. Central, 850 - São Paulo/SP</x:v>
      </x:c>
      <x:c r="AA362" t="str">
        <x:v>São Paulo</x:v>
      </x:c>
      <x:c r="AB362" s="50" t="n">
        <x:v>46273.64375</x:v>
      </x:c>
      <x:c r="AC362" s="50" t="n">
        <x:v>46273.646527777775</x:v>
      </x:c>
      <x:c r="AD362" s="50" t="n">
        <x:v>46273.65069444444</x:v>
      </x:c>
      <x:c r="AE362" s="50"/>
      <x:c r="AF362" s="50"/>
      <x:c r="AG362"/>
      <x:c r="AH362"/>
      <x:c r="AI362" t="str">
        <x:v>Não</x:v>
      </x:c>
      <x:c r="AJ362" t="str">
        <x:v>Não</x:v>
      </x:c>
      <x:c r="AK362" t="n">
        <x:v>120</x:v>
      </x:c>
      <x:c r="AL362" t="n">
        <x:v>25</x:v>
      </x:c>
      <x:c r="AM362" s="64" t="n">
        <x:v>0.275</x:v>
      </x:c>
      <x:c r="AN362" t="n">
        <x:v>4</x:v>
      </x:c>
      <x:c r="AO362" t="str">
        <x:v>Amarelo</x:v>
      </x:c>
      <x:c r="AP362" t="str">
        <x:v>atenção: recorrências em 30 dias</x:v>
      </x:c>
      <x:c r="AQ362" t="str">
        <x:v>Acompanhar sinais em Painel/Comando; correlacionar histórico e SLA antes de recomendar intervenção.</x:v>
      </x:c>
      <x:c r="AR362" s="62" t="n">
        <x:v>1357</x:v>
      </x:c>
      <x:c r="AS362" t="str">
        <x:v>Alto</x:v>
      </x:c>
      <x:c r="AT362" s="50" t="n">
        <x:v>46273.666666666664</x:v>
      </x:c>
      <x:c r="AU362" t="str">
        <x:v>T10</x:v>
      </x:c>
      <x:c r="AV362" t="str">
        <x:v>Ocorrência adicional sintética; perfil inspirado em CH-20260908-012</x:v>
      </x:c>
    </x:row>
    <x:row r="363">
      <x:c r="A363" t="str">
        <x:v>CH-20260908-051</x:v>
      </x:c>
      <x:c r="B363" t="str">
        <x:v>Porta não fecha</x:v>
      </x:c>
      <x:c r="C363" t="str">
        <x:v>Falha no fechamento</x:v>
      </x:c>
      <x:c r="D363" t="str">
        <x:v>Porta permanece aberta e impede partida.</x:v>
      </x:c>
      <x:c r="E363" t="str">
        <x:v>Técnico a caminho</x:v>
      </x:c>
      <x:c r="F363" t="str">
        <x:v>Aplicativo Cliente</x:v>
      </x:c>
      <x:c r="G363" t="str">
        <x:v>E-151</x:v>
      </x:c>
      <x:c r="H363" t="str">
        <x:v>Elevador Social</x:v>
      </x:c>
      <x:c r="I363" t="str">
        <x:v>Microprocessado</x:v>
      </x:c>
      <x:c r="J363" t="str">
        <x:v>Gearless</x:v>
      </x:c>
      <x:c r="K363" t="str">
        <x:v>OTIS</x:v>
      </x:c>
      <x:c r="L363" t="str">
        <x:v>ROT-021</x:v>
      </x:c>
      <x:c r="M363" t="str">
        <x:v>Operador de Porta</x:v>
      </x:c>
      <x:c r="N363" t="str">
        <x:v>Sensor de porta</x:v>
      </x:c>
      <x:c r="O363" t="str">
        <x:v>Falha de leitura</x:v>
      </x:c>
      <x:c r="P363" t="str">
        <x:v>Porta aberta</x:v>
      </x:c>
      <x:c r="Q363"/>
      <x:c r="R363" t="str">
        <x:v>Hospital São Paulo</x:v>
      </x:c>
      <x:c r="S363" t="str">
        <x:v>Sim</x:v>
      </x:c>
      <x:c r="T363" t="str">
        <x:v>Sim</x:v>
      </x:c>
      <x:c r="U363" t="str">
        <x:v>CT-2026-001</x:v>
      </x:c>
      <x:c r="V363" t="str">
        <x:v>SP-Centro</x:v>
      </x:c>
      <x:c r="W363" t="str">
        <x:v>João Silva</x:v>
      </x:c>
      <x:c r="X363" t="str">
        <x:v>Supervisor C</x:v>
      </x:c>
      <x:c r="Y363" t="str">
        <x:v>Rota Centro 01</x:v>
      </x:c>
      <x:c r="Z363" t="str">
        <x:v>Av. Paulista, 1000 - São Paulo/SP</x:v>
      </x:c>
      <x:c r="AA363" t="str">
        <x:v>São Paulo</x:v>
      </x:c>
      <x:c r="AB363" s="50" t="n">
        <x:v>46273.65694444445</x:v>
      </x:c>
      <x:c r="AC363" s="50" t="n">
        <x:v>46273.660416666666</x:v>
      </x:c>
      <x:c r="AD363" s="50" t="n">
        <x:v>46273.66527777778</x:v>
      </x:c>
      <x:c r="AE363" s="50"/>
      <x:c r="AF363" s="50"/>
      <x:c r="AG363"/>
      <x:c r="AH363"/>
      <x:c r="AI363" t="str">
        <x:v>Não</x:v>
      </x:c>
      <x:c r="AJ363" t="str">
        <x:v>Não</x:v>
      </x:c>
      <x:c r="AK363" t="n">
        <x:v>60</x:v>
      </x:c>
      <x:c r="AL363" t="n">
        <x:v>6</x:v>
      </x:c>
      <x:c r="AM363" s="64" t="n">
        <x:v>0.2333</x:v>
      </x:c>
      <x:c r="AN363" t="n">
        <x:v>2</x:v>
      </x:c>
      <x:c r="AO363" t="str">
        <x:v>Amarelo</x:v>
      </x:c>
      <x:c r="AP363" t="str">
        <x:v>atenção: recorrências em 30 dias</x:v>
      </x:c>
      <x:c r="AQ363" t="str">
        <x:v>Acompanhar sinais em Operador de Porta; correlacionar histórico e SLA antes de recomendar intervenção.</x:v>
      </x:c>
      <x:c r="AR363" s="62" t="n">
        <x:v>833.5</x:v>
      </x:c>
      <x:c r="AS363" t="str">
        <x:v>Baixo</x:v>
      </x:c>
      <x:c r="AT363" s="50" t="n">
        <x:v>46273.666666666664</x:v>
      </x:c>
      <x:c r="AU363" t="str">
        <x:v>T10</x:v>
      </x:c>
      <x:c r="AV363" t="str">
        <x:v>Ocorrência adicional sintética; perfil inspirado em CH-20260908-019</x:v>
      </x:c>
    </x:row>
    <x:row r="364">
      <x:c r="A364" t="str">
        <x:v>CH-20260908-001</x:v>
      </x:c>
      <x:c r="B364" t="str">
        <x:v>Passageiro Preso</x:v>
      </x:c>
      <x:c r="C364" t="str">
        <x:v>Elevador parado entre andares</x:v>
      </x:c>
      <x:c r="D364" t="str">
        <x:v>Cabine imobilizada com passageiro no interior.</x:v>
      </x:c>
      <x:c r="E364" t="str">
        <x:v>Concluído</x:v>
      </x:c>
      <x:c r="F364" t="str">
        <x:v>Central de Atendimento</x:v>
      </x:c>
      <x:c r="G364" t="str">
        <x:v>E-101</x:v>
      </x:c>
      <x:c r="H364" t="str">
        <x:v>Elevador Social</x:v>
      </x:c>
      <x:c r="I364" t="str">
        <x:v>Microprocessado</x:v>
      </x:c>
      <x:c r="J364" t="str">
        <x:v>Gearless</x:v>
      </x:c>
      <x:c r="K364" t="str">
        <x:v>OTIS</x:v>
      </x:c>
      <x:c r="L364" t="str">
        <x:v>ROT-001</x:v>
      </x:c>
      <x:c r="M364" t="str">
        <x:v>Tração</x:v>
      </x:c>
      <x:c r="N364" t="str">
        <x:v>Freio</x:v>
      </x:c>
      <x:c r="O364" t="str">
        <x:v>Travamento</x:v>
      </x:c>
      <x:c r="P364" t="str">
        <x:v>Parada total</x:v>
      </x:c>
      <x:c r="Q364" t="str">
        <x:v>Resgate concluído e equipamento normalizado</x:v>
      </x:c>
      <x:c r="R364" t="str">
        <x:v>Hospital São Paulo</x:v>
      </x:c>
      <x:c r="S364" t="str">
        <x:v>Sim</x:v>
      </x:c>
      <x:c r="T364" t="str">
        <x:v>Sim</x:v>
      </x:c>
      <x:c r="U364" t="str">
        <x:v>CT-2026-001</x:v>
      </x:c>
      <x:c r="V364" t="str">
        <x:v>SP-Centro</x:v>
      </x:c>
      <x:c r="W364" t="str">
        <x:v>João Silva</x:v>
      </x:c>
      <x:c r="X364" t="str">
        <x:v>Supervisor A</x:v>
      </x:c>
      <x:c r="Y364" t="str">
        <x:v>Rota Centro 01</x:v>
      </x:c>
      <x:c r="Z364" t="str">
        <x:v>Av. Paulista, 1000 - São Paulo/SP</x:v>
      </x:c>
      <x:c r="AA364" t="str">
        <x:v>São Paulo</x:v>
      </x:c>
      <x:c r="AB364" s="50" t="n">
        <x:v>46273.3055555556</x:v>
      </x:c>
      <x:c r="AC364" s="50" t="n">
        <x:v>46273.3076388889</x:v>
      </x:c>
      <x:c r="AD364" s="50" t="n">
        <x:v>46273.3104166667</x:v>
      </x:c>
      <x:c r="AE364" s="50" t="n">
        <x:v>46273.3201388889</x:v>
      </x:c>
      <x:c r="AF364" s="50" t="n">
        <x:v>46273.3430555556</x:v>
      </x:c>
      <x:c r="AG364" t="n">
        <x:v>21</x:v>
      </x:c>
      <x:c r="AH364" t="n">
        <x:v>28</x:v>
      </x:c>
      <x:c r="AI364" t="str">
        <x:v>Sim</x:v>
      </x:c>
      <x:c r="AJ364" t="str">
        <x:v>Sim</x:v>
      </x:c>
      <x:c r="AK364" t="n">
        <x:v>60</x:v>
      </x:c>
      <x:c r="AL364" t="n">
        <x:v>0</x:v>
      </x:c>
      <x:c r="AM364" s="64" t="n">
        <x:v>0.8167</x:v>
      </x:c>
      <x:c r="AN364" t="n">
        <x:v>0</x:v>
      </x:c>
      <x:c r="AO364" t="str">
        <x:v>Amarelo</x:v>
      </x:c>
      <x:c r="AP364" t="str">
        <x:v>passageiro preso; SLA acima de 80%; carro parado</x:v>
      </x:c>
      <x:c r="AQ364" t="str">
        <x:v>Sem recorrência relevante; acompanhar evolução de Tração.</x:v>
      </x:c>
      <x:c r="AR364" s="62" t="n">
        <x:v>882</x:v>
      </x:c>
      <x:c r="AS364" t="str">
        <x:v>Médio</x:v>
      </x:c>
      <x:c r="AT364" s="50" t="n">
        <x:v>46273.708333333336</x:v>
      </x:c>
      <x:c r="AU364" t="str">
        <x:v>T11</x:v>
      </x:c>
      <x:c r="AV364" t="str">
        <x:v>T2 original + evolução sintética posterior</x:v>
      </x:c>
    </x:row>
    <x:row r="365">
      <x:c r="A365" t="str">
        <x:v>CH-20260908-002</x:v>
      </x:c>
      <x:c r="B365" t="str">
        <x:v>Falha de Nivelamento</x:v>
      </x:c>
      <x:c r="C365" t="str">
        <x:v>Cabine desnivelada</x:v>
      </x:c>
      <x:c r="D365" t="str">
        <x:v>Cabine parou fora do nível do pavimento.</x:v>
      </x:c>
      <x:c r="E365" t="str">
        <x:v>Concluído</x:v>
      </x:c>
      <x:c r="F365" t="str">
        <x:v>IoT</x:v>
      </x:c>
      <x:c r="G365" t="str">
        <x:v>E-102</x:v>
      </x:c>
      <x:c r="H365" t="str">
        <x:v>Elevador Social</x:v>
      </x:c>
      <x:c r="I365" t="str">
        <x:v>Microprocessado</x:v>
      </x:c>
      <x:c r="J365" t="str">
        <x:v>Gearless</x:v>
      </x:c>
      <x:c r="K365" t="str">
        <x:v>OTIS</x:v>
      </x:c>
      <x:c r="L365" t="str">
        <x:v>ROT-014</x:v>
      </x:c>
      <x:c r="M365" t="str">
        <x:v>Sensor de Nível</x:v>
      </x:c>
      <x:c r="N365" t="str">
        <x:v>Sensor</x:v>
      </x:c>
      <x:c r="O365" t="str">
        <x:v>Leitura inconsistente</x:v>
      </x:c>
      <x:c r="P365" t="str">
        <x:v>Falha de nivelamento</x:v>
      </x:c>
      <x:c r="Q365" t="str">
        <x:v>Sensor ajustado/substituído</x:v>
      </x:c>
      <x:c r="R365" t="str">
        <x:v>Shopping Center Norte</x:v>
      </x:c>
      <x:c r="S365" t="str">
        <x:v>Não</x:v>
      </x:c>
      <x:c r="T365" t="str">
        <x:v>Sim</x:v>
      </x:c>
      <x:c r="U365" t="str">
        <x:v>CT-2026-002</x:v>
      </x:c>
      <x:c r="V365" t="str">
        <x:v>SP-Norte</x:v>
      </x:c>
      <x:c r="W365" t="str">
        <x:v>Marcos Lima</x:v>
      </x:c>
      <x:c r="X365" t="str">
        <x:v>Supervisor B</x:v>
      </x:c>
      <x:c r="Y365" t="str">
        <x:v>Rota Norte 02</x:v>
      </x:c>
      <x:c r="Z365" t="str">
        <x:v>Av. Otto Baumgart, 245 - São Paulo/SP</x:v>
      </x:c>
      <x:c r="AA365" t="str">
        <x:v>São Paulo</x:v>
      </x:c>
      <x:c r="AB365" s="50" t="n">
        <x:v>46273.3090277778</x:v>
      </x:c>
      <x:c r="AC365" s="50" t="n">
        <x:v>46273.3118055556</x:v>
      </x:c>
      <x:c r="AD365" s="50" t="n">
        <x:v>46273.3159722222</x:v>
      </x:c>
      <x:c r="AE365" s="50" t="n">
        <x:v>46273.3340277778</x:v>
      </x:c>
      <x:c r="AF365" s="50" t="n">
        <x:v>46273.3652777778</x:v>
      </x:c>
      <x:c r="AG365" t="n">
        <x:v>36</x:v>
      </x:c>
      <x:c r="AH365" t="n">
        <x:v>40</x:v>
      </x:c>
      <x:c r="AI365" t="str">
        <x:v>Não</x:v>
      </x:c>
      <x:c r="AJ365" t="str">
        <x:v>Não</x:v>
      </x:c>
      <x:c r="AK365" t="n">
        <x:v>90</x:v>
      </x:c>
      <x:c r="AL365" t="n">
        <x:v>0</x:v>
      </x:c>
      <x:c r="AM365" s="64" t="n">
        <x:v>0.8444</x:v>
      </x:c>
      <x:c r="AN365" t="n">
        <x:v>1</x:v>
      </x:c>
      <x:c r="AO365" t="str">
        <x:v>Amarelo</x:v>
      </x:c>
      <x:c r="AP365" t="str">
        <x:v>SLA acima de 80%</x:v>
      </x:c>
      <x:c r="AQ365" t="str">
        <x:v>Há ocorrência recente semelhante; comparar solução anterior de Sensor de Nível.</x:v>
      </x:c>
      <x:c r="AR365" s="62" t="n">
        <x:v>664</x:v>
      </x:c>
      <x:c r="AS365" t="str">
        <x:v>Baixo</x:v>
      </x:c>
      <x:c r="AT365" s="50" t="n">
        <x:v>46273.708333333336</x:v>
      </x:c>
      <x:c r="AU365" t="str">
        <x:v>T11</x:v>
      </x:c>
      <x:c r="AV365" t="str">
        <x:v>T2 original + evolução sintética posterior</x:v>
      </x:c>
    </x:row>
    <x:row r="366">
      <x:c r="A366" t="str">
        <x:v>CH-20260908-003</x:v>
      </x:c>
      <x:c r="B366" t="str">
        <x:v>Porta não fecha</x:v>
      </x:c>
      <x:c r="C366" t="str">
        <x:v>Falha no fechamento</x:v>
      </x:c>
      <x:c r="D366" t="str">
        <x:v>Porta permanece aberta e impede partida.</x:v>
      </x:c>
      <x:c r="E366" t="str">
        <x:v>Concluído</x:v>
      </x:c>
      <x:c r="F366" t="str">
        <x:v>Aplicativo Cliente</x:v>
      </x:c>
      <x:c r="G366" t="str">
        <x:v>E-103</x:v>
      </x:c>
      <x:c r="H366" t="str">
        <x:v>Elevador Social</x:v>
      </x:c>
      <x:c r="I366" t="str">
        <x:v>Microprocessado</x:v>
      </x:c>
      <x:c r="J366" t="str">
        <x:v>Gearless</x:v>
      </x:c>
      <x:c r="K366" t="str">
        <x:v>OTIS</x:v>
      </x:c>
      <x:c r="L366" t="str">
        <x:v>ROT-021</x:v>
      </x:c>
      <x:c r="M366" t="str">
        <x:v>Operador de Porta</x:v>
      </x:c>
      <x:c r="N366" t="str">
        <x:v>Sensor de porta</x:v>
      </x:c>
      <x:c r="O366" t="str">
        <x:v>Falha de leitura</x:v>
      </x:c>
      <x:c r="P366" t="str">
        <x:v>Porta aberta</x:v>
      </x:c>
      <x:c r="Q366" t="str">
        <x:v>Sensor de porta ajustado</x:v>
      </x:c>
      <x:c r="R366" t="str">
        <x:v>Edifício Corporate</x:v>
      </x:c>
      <x:c r="S366" t="str">
        <x:v>Não</x:v>
      </x:c>
      <x:c r="T366" t="str">
        <x:v>Sim</x:v>
      </x:c>
      <x:c r="U366" t="str">
        <x:v>CT-2026-003</x:v>
      </x:c>
      <x:c r="V366" t="str">
        <x:v>SP-Oeste</x:v>
      </x:c>
      <x:c r="W366" t="str">
        <x:v>Ana Costa</x:v>
      </x:c>
      <x:c r="X366" t="str">
        <x:v>Supervisor C</x:v>
      </x:c>
      <x:c r="Y366" t="str">
        <x:v>Rota Oeste 03</x:v>
      </x:c>
      <x:c r="Z366" t="str">
        <x:v>Av. Faria Lima, 3500 - São Paulo/SP</x:v>
      </x:c>
      <x:c r="AA366" t="str">
        <x:v>São Paulo</x:v>
      </x:c>
      <x:c r="AB366" s="50" t="n">
        <x:v>46273.3118055556</x:v>
      </x:c>
      <x:c r="AC366" s="50" t="n">
        <x:v>46273.3152777778</x:v>
      </x:c>
      <x:c r="AD366" s="50" t="n">
        <x:v>46273.3166666667</x:v>
      </x:c>
      <x:c r="AE366" s="50" t="n">
        <x:v>46273.3395833333</x:v>
      </x:c>
      <x:c r="AF366" s="50" t="n">
        <x:v>46273.3784722222</x:v>
      </x:c>
      <x:c r="AG366" t="n">
        <x:v>40</x:v>
      </x:c>
      <x:c r="AH366" t="n">
        <x:v>51</x:v>
      </x:c>
      <x:c r="AI366" t="str">
        <x:v>Não</x:v>
      </x:c>
      <x:c r="AJ366" t="str">
        <x:v>Não</x:v>
      </x:c>
      <x:c r="AK366" t="n">
        <x:v>120</x:v>
      </x:c>
      <x:c r="AL366" t="n">
        <x:v>0</x:v>
      </x:c>
      <x:c r="AM366" s="64" t="n">
        <x:v>0.7583</x:v>
      </x:c>
      <x:c r="AN366" t="n">
        <x:v>2</x:v>
      </x:c>
      <x:c r="AO366" t="str">
        <x:v>Amarelo</x:v>
      </x:c>
      <x:c r="AP366" t="str">
        <x:v>2 recorrências/30d; SLA acima de 55%</x:v>
      </x:c>
      <x:c r="AQ366" t="str">
        <x:v>Há ocorrência recente semelhante; comparar solução anterior de Operador de Porta.</x:v>
      </x:c>
      <x:c r="AR366" s="62" t="n">
        <x:v>769</x:v>
      </x:c>
      <x:c r="AS366" t="str">
        <x:v>Médio</x:v>
      </x:c>
      <x:c r="AT366" s="50" t="n">
        <x:v>46273.708333333336</x:v>
      </x:c>
      <x:c r="AU366" t="str">
        <x:v>T11</x:v>
      </x:c>
      <x:c r="AV366" t="str">
        <x:v>T2 original + evolução sintética posterior</x:v>
      </x:c>
    </x:row>
    <x:row r="367">
      <x:c r="A367" t="str">
        <x:v>CH-20260908-004</x:v>
      </x:c>
      <x:c r="B367" t="str">
        <x:v>Painel sem comunicação</x:v>
      </x:c>
      <x:c r="C367" t="str">
        <x:v>Falha de comunicação</x:v>
      </x:c>
      <x:c r="D367" t="str">
        <x:v>Painel não responde aos comandos.</x:v>
      </x:c>
      <x:c r="E367" t="str">
        <x:v>Concluído</x:v>
      </x:c>
      <x:c r="F367" t="str">
        <x:v>Monitoramento Remoto</x:v>
      </x:c>
      <x:c r="G367" t="str">
        <x:v>E-104</x:v>
      </x:c>
      <x:c r="H367" t="str">
        <x:v>Elevador Social</x:v>
      </x:c>
      <x:c r="I367" t="str">
        <x:v>Microprocessado</x:v>
      </x:c>
      <x:c r="J367" t="str">
        <x:v>Gearless</x:v>
      </x:c>
      <x:c r="K367" t="str">
        <x:v>OTIS</x:v>
      </x:c>
      <x:c r="L367" t="str">
        <x:v>ROT-033</x:v>
      </x:c>
      <x:c r="M367" t="str">
        <x:v>Painel/Comando</x:v>
      </x:c>
      <x:c r="N367" t="str">
        <x:v>Interface</x:v>
      </x:c>
      <x:c r="O367" t="str">
        <x:v>Sem comunicação</x:v>
      </x:c>
      <x:c r="P367" t="str">
        <x:v>Falha lógica</x:v>
      </x:c>
      <x:c r="Q367" t="str">
        <x:v>Interface reinicializada/substituída</x:v>
      </x:c>
      <x:c r="R367" t="str">
        <x:v>Condomínio Alameda</x:v>
      </x:c>
      <x:c r="S367" t="str">
        <x:v>Não</x:v>
      </x:c>
      <x:c r="T367" t="str">
        <x:v>Não</x:v>
      </x:c>
      <x:c r="U367" t="str">
        <x:v>CT-2026-004</x:v>
      </x:c>
      <x:c r="V367" t="str">
        <x:v>SP-Sul</x:v>
      </x:c>
      <x:c r="W367" t="str">
        <x:v>Carlos Souza</x:v>
      </x:c>
      <x:c r="X367" t="str">
        <x:v>Supervisor D</x:v>
      </x:c>
      <x:c r="Y367" t="str">
        <x:v>Rota Sul 04</x:v>
      </x:c>
      <x:c r="Z367" t="str">
        <x:v>R. das Acácias, 420 - São Paulo/SP</x:v>
      </x:c>
      <x:c r="AA367" t="str">
        <x:v>São Paulo</x:v>
      </x:c>
      <x:c r="AB367" s="50" t="n">
        <x:v>46273.3145833333</x:v>
      </x:c>
      <x:c r="AC367" s="50" t="n">
        <x:v>46273.31875</x:v>
      </x:c>
      <x:c r="AD367" s="50" t="n">
        <x:v>46273.3215277778</x:v>
      </x:c>
      <x:c r="AE367" s="50" t="n">
        <x:v>46273.3493055556</x:v>
      </x:c>
      <x:c r="AF367" s="50" t="n">
        <x:v>46273.3958333333</x:v>
      </x:c>
      <x:c r="AG367" t="n">
        <x:v>50</x:v>
      </x:c>
      <x:c r="AH367" t="n">
        <x:v>62</x:v>
      </x:c>
      <x:c r="AI367" t="str">
        <x:v>Não</x:v>
      </x:c>
      <x:c r="AJ367" t="str">
        <x:v>Não</x:v>
      </x:c>
      <x:c r="AK367" t="n">
        <x:v>180</x:v>
      </x:c>
      <x:c r="AL367" t="n">
        <x:v>0</x:v>
      </x:c>
      <x:c r="AM367" s="64" t="n">
        <x:v>0.6222</x:v>
      </x:c>
      <x:c r="AN367" t="n">
        <x:v>3</x:v>
      </x:c>
      <x:c r="AO367" t="str">
        <x:v>Verde</x:v>
      </x:c>
      <x:c r="AP367" t="str">
        <x:v>3 recorrências/30d; SLA acima de 55%</x:v>
      </x:c>
      <x:c r="AQ367" t="str">
        <x:v>Recorrência elevada: verificar padrão histórico em Painel/Comando/Interface.</x:v>
      </x:c>
      <x:c r="AR367" s="62" t="n">
        <x:v>1594</x:v>
      </x:c>
      <x:c r="AS367" t="str">
        <x:v>Alto</x:v>
      </x:c>
      <x:c r="AT367" s="50" t="n">
        <x:v>46273.708333333336</x:v>
      </x:c>
      <x:c r="AU367" t="str">
        <x:v>T11</x:v>
      </x:c>
      <x:c r="AV367" t="str">
        <x:v>T2 original + evolução sintética posterior</x:v>
      </x:c>
    </x:row>
    <x:row r="368">
      <x:c r="A368" t="str">
        <x:v>CH-20260908-005</x:v>
      </x:c>
      <x:c r="B368" t="str">
        <x:v>Falha de Tração</x:v>
      </x:c>
      <x:c r="C368" t="str">
        <x:v>Movimento irregular</x:v>
      </x:c>
      <x:c r="D368" t="str">
        <x:v>Equipamento apresenta perda de tração.</x:v>
      </x:c>
      <x:c r="E368" t="str">
        <x:v>Concluído</x:v>
      </x:c>
      <x:c r="F368" t="str">
        <x:v>Central de Atendimento</x:v>
      </x:c>
      <x:c r="G368" t="str">
        <x:v>E-105</x:v>
      </x:c>
      <x:c r="H368" t="str">
        <x:v>Elevador Social</x:v>
      </x:c>
      <x:c r="I368" t="str">
        <x:v>Microprocessado</x:v>
      </x:c>
      <x:c r="J368" t="str">
        <x:v>Gearless</x:v>
      </x:c>
      <x:c r="K368" t="str">
        <x:v>OTIS</x:v>
      </x:c>
      <x:c r="L368" t="str">
        <x:v>ROT-041</x:v>
      </x:c>
      <x:c r="M368" t="str">
        <x:v>Máquina de Tração</x:v>
      </x:c>
      <x:c r="N368" t="str">
        <x:v>Inversor</x:v>
      </x:c>
      <x:c r="O368" t="str">
        <x:v>Oscilação</x:v>
      </x:c>
      <x:c r="P368" t="str">
        <x:v>Falha de movimento</x:v>
      </x:c>
      <x:c r="Q368" t="str">
        <x:v>Parâmetros do inversor corrigidos</x:v>
      </x:c>
      <x:c r="R368" t="str">
        <x:v>Aeroporto Terminal 3</x:v>
      </x:c>
      <x:c r="S368" t="str">
        <x:v>Sim</x:v>
      </x:c>
      <x:c r="T368" t="str">
        <x:v>Sim</x:v>
      </x:c>
      <x:c r="U368" t="str">
        <x:v>CT-2026-005</x:v>
      </x:c>
      <x:c r="V368" t="str">
        <x:v>GRU</x:v>
      </x:c>
      <x:c r="W368" t="str">
        <x:v>Renata Alves</x:v>
      </x:c>
      <x:c r="X368" t="str">
        <x:v>Supervisor A</x:v>
      </x:c>
      <x:c r="Y368" t="str">
        <x:v>Rota GRU 05</x:v>
      </x:c>
      <x:c r="Z368" t="str">
        <x:v>Rod. Hélio Smidt, s/n - Guarulhos/SP</x:v>
      </x:c>
      <x:c r="AA368" t="str">
        <x:v>São Paulo</x:v>
      </x:c>
      <x:c r="AB368" s="50" t="n">
        <x:v>46273.3180555556</x:v>
      </x:c>
      <x:c r="AC368" s="50" t="n">
        <x:v>46273.3194444444</x:v>
      </x:c>
      <x:c r="AD368" s="50" t="n">
        <x:v>46273.3236111111</x:v>
      </x:c>
      <x:c r="AE368" s="50" t="n">
        <x:v>46273.3319444444</x:v>
      </x:c>
      <x:c r="AF368" s="50" t="n">
        <x:v>46273.3861111111</x:v>
      </x:c>
      <x:c r="AG368" t="n">
        <x:v>20</x:v>
      </x:c>
      <x:c r="AH368" t="n">
        <x:v>73</x:v>
      </x:c>
      <x:c r="AI368" t="str">
        <x:v>Não</x:v>
      </x:c>
      <x:c r="AJ368" t="str">
        <x:v>Sim</x:v>
      </x:c>
      <x:c r="AK368" t="n">
        <x:v>45</x:v>
      </x:c>
      <x:c r="AL368" t="n">
        <x:v>0</x:v>
      </x:c>
      <x:c r="AM368" s="64" t="n">
        <x:v>2.0667</x:v>
      </x:c>
      <x:c r="AN368" t="n">
        <x:v>1</x:v>
      </x:c>
      <x:c r="AO368" t="str">
        <x:v>Vermelho</x:v>
      </x:c>
      <x:c r="AP368" t="str">
        <x:v>SLA estourado; carro parado</x:v>
      </x:c>
      <x:c r="AQ368" t="str">
        <x:v>Há ocorrência recente semelhante; comparar solução anterior de Máquina de Tração.</x:v>
      </x:c>
      <x:c r="AR368" s="62" t="n">
        <x:v>1259</x:v>
      </x:c>
      <x:c r="AS368" t="str">
        <x:v>Alto</x:v>
      </x:c>
      <x:c r="AT368" s="50" t="n">
        <x:v>46273.708333333336</x:v>
      </x:c>
      <x:c r="AU368" t="str">
        <x:v>T11</x:v>
      </x:c>
      <x:c r="AV368" t="str">
        <x:v>T2 original + evolução sintética posterior</x:v>
      </x:c>
    </x:row>
    <x:row r="369">
      <x:c r="A369" t="str">
        <x:v>CH-20260908-006</x:v>
      </x:c>
      <x:c r="B369" t="str">
        <x:v>Iluminação de Cabine</x:v>
      </x:c>
      <x:c r="C369" t="str">
        <x:v>Iluminação inoperante</x:v>
      </x:c>
      <x:c r="D369" t="str">
        <x:v>Cabine com iluminação parcial ou total indisponível.</x:v>
      </x:c>
      <x:c r="E369" t="str">
        <x:v>Concluído</x:v>
      </x:c>
      <x:c r="F369" t="str">
        <x:v>IoT</x:v>
      </x:c>
      <x:c r="G369" t="str">
        <x:v>E-106</x:v>
      </x:c>
      <x:c r="H369" t="str">
        <x:v>Elevador Social</x:v>
      </x:c>
      <x:c r="I369" t="str">
        <x:v>Microprocessado</x:v>
      </x:c>
      <x:c r="J369" t="str">
        <x:v>Gearless</x:v>
      </x:c>
      <x:c r="K369" t="str">
        <x:v>OTIS</x:v>
      </x:c>
      <x:c r="L369" t="str">
        <x:v>ROT-052</x:v>
      </x:c>
      <x:c r="M369" t="str">
        <x:v>Elétrica</x:v>
      </x:c>
      <x:c r="N369" t="str">
        <x:v>Fonte</x:v>
      </x:c>
      <x:c r="O369" t="str">
        <x:v>Sem alimentação</x:v>
      </x:c>
      <x:c r="P369" t="str">
        <x:v>Falha elétrica</x:v>
      </x:c>
      <x:c r="Q369" t="str">
        <x:v>Fonte substituída</x:v>
      </x:c>
      <x:c r="R369" t="str">
        <x:v>Universidade Central</x:v>
      </x:c>
      <x:c r="S369" t="str">
        <x:v>Não</x:v>
      </x:c>
      <x:c r="T369" t="str">
        <x:v>Sim</x:v>
      </x:c>
      <x:c r="U369" t="str">
        <x:v>CT-2026-006</x:v>
      </x:c>
      <x:c r="V369" t="str">
        <x:v>SP-Leste</x:v>
      </x:c>
      <x:c r="W369" t="str">
        <x:v>Paulo Mendes</x:v>
      </x:c>
      <x:c r="X369" t="str">
        <x:v>Supervisor B</x:v>
      </x:c>
      <x:c r="Y369" t="str">
        <x:v>Rota Leste 06</x:v>
      </x:c>
      <x:c r="Z369" t="str">
        <x:v>Av. Central, 850 - São Paulo/SP</x:v>
      </x:c>
      <x:c r="AA369" t="str">
        <x:v>São Paulo</x:v>
      </x:c>
      <x:c r="AB369" s="50" t="n">
        <x:v>46273.3215277778</x:v>
      </x:c>
      <x:c r="AC369" s="50" t="n">
        <x:v>46273.3236111111</x:v>
      </x:c>
      <x:c r="AD369" s="50" t="n">
        <x:v>46273.325</x:v>
      </x:c>
      <x:c r="AE369" s="50" t="n">
        <x:v>46273.3388888889</x:v>
      </x:c>
      <x:c r="AF369" s="50" t="n">
        <x:v>46273.3569444444</x:v>
      </x:c>
      <x:c r="AG369" t="n">
        <x:v>25</x:v>
      </x:c>
      <x:c r="AH369" t="n">
        <x:v>21</x:v>
      </x:c>
      <x:c r="AI369" t="str">
        <x:v>Não</x:v>
      </x:c>
      <x:c r="AJ369" t="str">
        <x:v>Não</x:v>
      </x:c>
      <x:c r="AK369" t="n">
        <x:v>120</x:v>
      </x:c>
      <x:c r="AL369" t="n">
        <x:v>0</x:v>
      </x:c>
      <x:c r="AM369" s="64" t="n">
        <x:v>0.3833</x:v>
      </x:c>
      <x:c r="AN369" t="n">
        <x:v>0</x:v>
      </x:c>
      <x:c r="AO369" t="str">
        <x:v>Verde</x:v>
      </x:c>
      <x:c r="AP369" t="str">
        <x:v>operação dentro do esperado</x:v>
      </x:c>
      <x:c r="AQ369" t="str">
        <x:v>Sem recorrência relevante; acompanhar evolução de Elétrica.</x:v>
      </x:c>
      <x:c r="AR369" s="62" t="n">
        <x:v>507</x:v>
      </x:c>
      <x:c r="AS369" t="str">
        <x:v>Baixo</x:v>
      </x:c>
      <x:c r="AT369" s="50" t="n">
        <x:v>46273.708333333336</x:v>
      </x:c>
      <x:c r="AU369" t="str">
        <x:v>T11</x:v>
      </x:c>
      <x:c r="AV369" t="str">
        <x:v>T2 original + evolução sintética posterior</x:v>
      </x:c>
    </x:row>
    <x:row r="370">
      <x:c r="A370" t="str">
        <x:v>CH-20260908-007</x:v>
      </x:c>
      <x:c r="B370" t="str">
        <x:v>Botão de Chamada</x:v>
      </x:c>
      <x:c r="C370" t="str">
        <x:v>Botão não responde</x:v>
      </x:c>
      <x:c r="D370" t="str">
        <x:v>Botão de chamada não registra comando.</x:v>
      </x:c>
      <x:c r="E370" t="str">
        <x:v>Concluído</x:v>
      </x:c>
      <x:c r="F370" t="str">
        <x:v>Aplicativo Cliente</x:v>
      </x:c>
      <x:c r="G370" t="str">
        <x:v>E-107</x:v>
      </x:c>
      <x:c r="H370" t="str">
        <x:v>Elevador Social</x:v>
      </x:c>
      <x:c r="I370" t="str">
        <x:v>Microprocessado</x:v>
      </x:c>
      <x:c r="J370" t="str">
        <x:v>Gearless</x:v>
      </x:c>
      <x:c r="K370" t="str">
        <x:v>OTIS</x:v>
      </x:c>
      <x:c r="L370" t="str">
        <x:v>ROT-063</x:v>
      </x:c>
      <x:c r="M370" t="str">
        <x:v>Botoeira</x:v>
      </x:c>
      <x:c r="N370" t="str">
        <x:v>Contato</x:v>
      </x:c>
      <x:c r="O370" t="str">
        <x:v>Mau contato</x:v>
      </x:c>
      <x:c r="P370" t="str">
        <x:v>Falha de comando</x:v>
      </x:c>
      <x:c r="Q370" t="str">
        <x:v>Contato reparado</x:v>
      </x:c>
      <x:c r="R370" t="str">
        <x:v>Hospital São Paulo</x:v>
      </x:c>
      <x:c r="S370" t="str">
        <x:v>Sim</x:v>
      </x:c>
      <x:c r="T370" t="str">
        <x:v>Sim</x:v>
      </x:c>
      <x:c r="U370" t="str">
        <x:v>CT-2026-001</x:v>
      </x:c>
      <x:c r="V370" t="str">
        <x:v>SP-Centro</x:v>
      </x:c>
      <x:c r="W370" t="str">
        <x:v>João Silva</x:v>
      </x:c>
      <x:c r="X370" t="str">
        <x:v>Supervisor C</x:v>
      </x:c>
      <x:c r="Y370" t="str">
        <x:v>Rota Centro 01</x:v>
      </x:c>
      <x:c r="Z370" t="str">
        <x:v>Av. Paulista, 1000 - São Paulo/SP</x:v>
      </x:c>
      <x:c r="AA370" t="str">
        <x:v>São Paulo</x:v>
      </x:c>
      <x:c r="AB370" s="50" t="n">
        <x:v>46273.3243055556</x:v>
      </x:c>
      <x:c r="AC370" s="50" t="n">
        <x:v>46273.3270833333</x:v>
      </x:c>
      <x:c r="AD370" s="50" t="n">
        <x:v>46273.3298611111</x:v>
      </x:c>
      <x:c r="AE370" s="50" t="n">
        <x:v>46273.3486111111</x:v>
      </x:c>
      <x:c r="AF370" s="50" t="n">
        <x:v>46273.3743055556</x:v>
      </x:c>
      <x:c r="AG370" t="n">
        <x:v>35</x:v>
      </x:c>
      <x:c r="AH370" t="n">
        <x:v>32</x:v>
      </x:c>
      <x:c r="AI370" t="str">
        <x:v>Não</x:v>
      </x:c>
      <x:c r="AJ370" t="str">
        <x:v>Não</x:v>
      </x:c>
      <x:c r="AK370" t="n">
        <x:v>60</x:v>
      </x:c>
      <x:c r="AL370" t="n">
        <x:v>0</x:v>
      </x:c>
      <x:c r="AM370" s="64" t="n">
        <x:v>1.1167</x:v>
      </x:c>
      <x:c r="AN370" t="n">
        <x:v>2</x:v>
      </x:c>
      <x:c r="AO370" t="str">
        <x:v>Vermelho</x:v>
      </x:c>
      <x:c r="AP370" t="str">
        <x:v>2 recorrências/30d; SLA estourado</x:v>
      </x:c>
      <x:c r="AQ370" t="str">
        <x:v>Há ocorrência recente semelhante; comparar solução anterior de Botoeira.</x:v>
      </x:c>
      <x:c r="AR370" s="62" t="n">
        <x:v>612</x:v>
      </x:c>
      <x:c r="AS370" t="str">
        <x:v>Baixo</x:v>
      </x:c>
      <x:c r="AT370" s="50" t="n">
        <x:v>46273.708333333336</x:v>
      </x:c>
      <x:c r="AU370" t="str">
        <x:v>T11</x:v>
      </x:c>
      <x:c r="AV370" t="str">
        <x:v>T2 original + evolução sintética posterior</x:v>
      </x:c>
    </x:row>
    <x:row r="371">
      <x:c r="A371" t="str">
        <x:v>CH-20260908-008</x:v>
      </x:c>
      <x:c r="B371" t="str">
        <x:v>Parada Intermitente</x:v>
      </x:c>
      <x:c r="C371" t="str">
        <x:v>Paradas aleatórias</x:v>
      </x:c>
      <x:c r="D371" t="str">
        <x:v>Equipamento interrompe operação de forma intermitente.</x:v>
      </x:c>
      <x:c r="E371" t="str">
        <x:v>Concluído</x:v>
      </x:c>
      <x:c r="F371" t="str">
        <x:v>Monitoramento Remoto</x:v>
      </x:c>
      <x:c r="G371" t="str">
        <x:v>E-108</x:v>
      </x:c>
      <x:c r="H371" t="str">
        <x:v>Elevador Social</x:v>
      </x:c>
      <x:c r="I371" t="str">
        <x:v>Microprocessado</x:v>
      </x:c>
      <x:c r="J371" t="str">
        <x:v>Gearless</x:v>
      </x:c>
      <x:c r="K371" t="str">
        <x:v>OTIS</x:v>
      </x:c>
      <x:c r="L371" t="str">
        <x:v>ROT-074</x:v>
      </x:c>
      <x:c r="M371" t="str">
        <x:v>Painel/Comando</x:v>
      </x:c>
      <x:c r="N371" t="str">
        <x:v>Placa</x:v>
      </x:c>
      <x:c r="O371" t="str">
        <x:v>Intermitência</x:v>
      </x:c>
      <x:c r="P371" t="str">
        <x:v>Falha intermitente</x:v>
      </x:c>
      <x:c r="Q371" t="str">
        <x:v>Placa revisada e teste funcional</x:v>
      </x:c>
      <x:c r="R371" t="str">
        <x:v>Shopping Center Norte</x:v>
      </x:c>
      <x:c r="S371" t="str">
        <x:v>Não</x:v>
      </x:c>
      <x:c r="T371" t="str">
        <x:v>Sim</x:v>
      </x:c>
      <x:c r="U371" t="str">
        <x:v>CT-2026-002</x:v>
      </x:c>
      <x:c r="V371" t="str">
        <x:v>SP-Norte</x:v>
      </x:c>
      <x:c r="W371" t="str">
        <x:v>Marcos Lima</x:v>
      </x:c>
      <x:c r="X371" t="str">
        <x:v>Supervisor D</x:v>
      </x:c>
      <x:c r="Y371" t="str">
        <x:v>Rota Norte 02</x:v>
      </x:c>
      <x:c r="Z371" t="str">
        <x:v>Av. Otto Baumgart, 245 - São Paulo/SP</x:v>
      </x:c>
      <x:c r="AA371" t="str">
        <x:v>São Paulo</x:v>
      </x:c>
      <x:c r="AB371" s="50" t="n">
        <x:v>46273.3270833333</x:v>
      </x:c>
      <x:c r="AC371" s="50" t="n">
        <x:v>46273.3305555556</x:v>
      </x:c>
      <x:c r="AD371" s="50" t="n">
        <x:v>46273.3347222222</x:v>
      </x:c>
      <x:c r="AE371" s="50" t="n">
        <x:v>46273.3583333333</x:v>
      </x:c>
      <x:c r="AF371" s="50" t="n">
        <x:v>46273.3916666667</x:v>
      </x:c>
      <x:c r="AG371" t="n">
        <x:v>45</x:v>
      </x:c>
      <x:c r="AH371" t="n">
        <x:v>43</x:v>
      </x:c>
      <x:c r="AI371" t="str">
        <x:v>Não</x:v>
      </x:c>
      <x:c r="AJ371" t="str">
        <x:v>Sim</x:v>
      </x:c>
      <x:c r="AK371" t="n">
        <x:v>90</x:v>
      </x:c>
      <x:c r="AL371" t="n">
        <x:v>0</x:v>
      </x:c>
      <x:c r="AM371" s="64" t="n">
        <x:v>0.9778</x:v>
      </x:c>
      <x:c r="AN371" t="n">
        <x:v>4</x:v>
      </x:c>
      <x:c r="AO371" t="str">
        <x:v>Laranja</x:v>
      </x:c>
      <x:c r="AP371" t="str">
        <x:v>4 recorrências/30d; SLA acima de 80%; carro parado</x:v>
      </x:c>
      <x:c r="AQ371" t="str">
        <x:v>Recorrência elevada: verificar padrão histórico em Painel/Comando/Placa.</x:v>
      </x:c>
      <x:c r="AR371" s="62" t="n">
        <x:v>1437</x:v>
      </x:c>
      <x:c r="AS371" t="str">
        <x:v>Alto</x:v>
      </x:c>
      <x:c r="AT371" s="50" t="n">
        <x:v>46273.708333333336</x:v>
      </x:c>
      <x:c r="AU371" t="str">
        <x:v>T11</x:v>
      </x:c>
      <x:c r="AV371" t="str">
        <x:v>T2 original + evolução sintética posterior</x:v>
      </x:c>
    </x:row>
    <x:row r="372">
      <x:c r="A372" t="str">
        <x:v>CH-20260908-009</x:v>
      </x:c>
      <x:c r="B372" t="str">
        <x:v>Passageiro Preso</x:v>
      </x:c>
      <x:c r="C372" t="str">
        <x:v>Elevador parado entre andares</x:v>
      </x:c>
      <x:c r="D372" t="str">
        <x:v>Cabine imobilizada com passageiro no interior.</x:v>
      </x:c>
      <x:c r="E372" t="str">
        <x:v>Concluído</x:v>
      </x:c>
      <x:c r="F372" t="str">
        <x:v>Central de Atendimento</x:v>
      </x:c>
      <x:c r="G372" t="str">
        <x:v>E-109</x:v>
      </x:c>
      <x:c r="H372" t="str">
        <x:v>Elevador Social</x:v>
      </x:c>
      <x:c r="I372" t="str">
        <x:v>Microprocessado</x:v>
      </x:c>
      <x:c r="J372" t="str">
        <x:v>Gearless</x:v>
      </x:c>
      <x:c r="K372" t="str">
        <x:v>OTIS</x:v>
      </x:c>
      <x:c r="L372" t="str">
        <x:v>ROT-001</x:v>
      </x:c>
      <x:c r="M372" t="str">
        <x:v>Tração</x:v>
      </x:c>
      <x:c r="N372" t="str">
        <x:v>Freio</x:v>
      </x:c>
      <x:c r="O372" t="str">
        <x:v>Travamento</x:v>
      </x:c>
      <x:c r="P372" t="str">
        <x:v>Parada total</x:v>
      </x:c>
      <x:c r="Q372" t="str">
        <x:v>Resgate concluído e equipamento normalizado</x:v>
      </x:c>
      <x:c r="R372" t="str">
        <x:v>Edifício Corporate</x:v>
      </x:c>
      <x:c r="S372" t="str">
        <x:v>Não</x:v>
      </x:c>
      <x:c r="T372" t="str">
        <x:v>Sim</x:v>
      </x:c>
      <x:c r="U372" t="str">
        <x:v>CT-2026-003</x:v>
      </x:c>
      <x:c r="V372" t="str">
        <x:v>SP-Oeste</x:v>
      </x:c>
      <x:c r="W372" t="str">
        <x:v>Ana Costa</x:v>
      </x:c>
      <x:c r="X372" t="str">
        <x:v>Supervisor A</x:v>
      </x:c>
      <x:c r="Y372" t="str">
        <x:v>Rota Oeste 03</x:v>
      </x:c>
      <x:c r="Z372" t="str">
        <x:v>Av. Faria Lima, 3500 - São Paulo/SP</x:v>
      </x:c>
      <x:c r="AA372" t="str">
        <x:v>São Paulo</x:v>
      </x:c>
      <x:c r="AB372" s="50" t="n">
        <x:v>46273.3298611111</x:v>
      </x:c>
      <x:c r="AC372" s="50" t="n">
        <x:v>46273.3340277778</x:v>
      </x:c>
      <x:c r="AD372" s="50" t="n">
        <x:v>46273.3354166667</x:v>
      </x:c>
      <x:c r="AE372" s="50" t="n">
        <x:v>46273.3604166667</x:v>
      </x:c>
      <x:c r="AF372" s="50" t="n">
        <x:v>46273.3833333333</x:v>
      </x:c>
      <x:c r="AG372" t="n">
        <x:v>44</x:v>
      </x:c>
      <x:c r="AH372" t="n">
        <x:v>28</x:v>
      </x:c>
      <x:c r="AI372" t="str">
        <x:v>Sim</x:v>
      </x:c>
      <x:c r="AJ372" t="str">
        <x:v>Sim</x:v>
      </x:c>
      <x:c r="AK372" t="n">
        <x:v>120</x:v>
      </x:c>
      <x:c r="AL372" t="n">
        <x:v>0</x:v>
      </x:c>
      <x:c r="AM372" s="64" t="n">
        <x:v>0.6</x:v>
      </x:c>
      <x:c r="AN372" t="n">
        <x:v>0</x:v>
      </x:c>
      <x:c r="AO372" t="str">
        <x:v>Verde</x:v>
      </x:c>
      <x:c r="AP372" t="str">
        <x:v>passageiro preso; SLA acima de 55%; carro parado</x:v>
      </x:c>
      <x:c r="AQ372" t="str">
        <x:v>Sem recorrência relevante; acompanhar evolução de Tração.</x:v>
      </x:c>
      <x:c r="AR372" s="62" t="n">
        <x:v>970</x:v>
      </x:c>
      <x:c r="AS372" t="str">
        <x:v>Médio</x:v>
      </x:c>
      <x:c r="AT372" s="50" t="n">
        <x:v>46273.708333333336</x:v>
      </x:c>
      <x:c r="AU372" t="str">
        <x:v>T11</x:v>
      </x:c>
      <x:c r="AV372" t="str">
        <x:v>T2 original + evolução sintética posterior</x:v>
      </x:c>
    </x:row>
    <x:row r="373">
      <x:c r="A373" t="str">
        <x:v>CH-20260908-010</x:v>
      </x:c>
      <x:c r="B373" t="str">
        <x:v>Falha de Nivelamento</x:v>
      </x:c>
      <x:c r="C373" t="str">
        <x:v>Cabine desnivelada</x:v>
      </x:c>
      <x:c r="D373" t="str">
        <x:v>Cabine parou fora do nível do pavimento.</x:v>
      </x:c>
      <x:c r="E373" t="str">
        <x:v>Concluído</x:v>
      </x:c>
      <x:c r="F373" t="str">
        <x:v>IoT</x:v>
      </x:c>
      <x:c r="G373" t="str">
        <x:v>E-110</x:v>
      </x:c>
      <x:c r="H373" t="str">
        <x:v>Elevador Social</x:v>
      </x:c>
      <x:c r="I373" t="str">
        <x:v>Microprocessado</x:v>
      </x:c>
      <x:c r="J373" t="str">
        <x:v>Gearless</x:v>
      </x:c>
      <x:c r="K373" t="str">
        <x:v>OTIS</x:v>
      </x:c>
      <x:c r="L373" t="str">
        <x:v>ROT-014</x:v>
      </x:c>
      <x:c r="M373" t="str">
        <x:v>Sensor de Nível</x:v>
      </x:c>
      <x:c r="N373" t="str">
        <x:v>Sensor</x:v>
      </x:c>
      <x:c r="O373" t="str">
        <x:v>Leitura inconsistente</x:v>
      </x:c>
      <x:c r="P373" t="str">
        <x:v>Falha de nivelamento</x:v>
      </x:c>
      <x:c r="Q373" t="str">
        <x:v>Sensor ajustado/substituído</x:v>
      </x:c>
      <x:c r="R373" t="str">
        <x:v>Condomínio Alameda</x:v>
      </x:c>
      <x:c r="S373" t="str">
        <x:v>Não</x:v>
      </x:c>
      <x:c r="T373" t="str">
        <x:v>Não</x:v>
      </x:c>
      <x:c r="U373" t="str">
        <x:v>CT-2026-004</x:v>
      </x:c>
      <x:c r="V373" t="str">
        <x:v>SP-Sul</x:v>
      </x:c>
      <x:c r="W373" t="str">
        <x:v>Carlos Souza</x:v>
      </x:c>
      <x:c r="X373" t="str">
        <x:v>Supervisor B</x:v>
      </x:c>
      <x:c r="Y373" t="str">
        <x:v>Rota Sul 04</x:v>
      </x:c>
      <x:c r="Z373" t="str">
        <x:v>R. das Acácias, 420 - São Paulo/SP</x:v>
      </x:c>
      <x:c r="AA373" t="str">
        <x:v>São Paulo</x:v>
      </x:c>
      <x:c r="AB373" s="50" t="n">
        <x:v>46273.3326388889</x:v>
      </x:c>
      <x:c r="AC373" s="50" t="n">
        <x:v>46273.3340277778</x:v>
      </x:c>
      <x:c r="AD373" s="50" t="n">
        <x:v>46273.3368055556</x:v>
      </x:c>
      <x:c r="AE373" s="50" t="n">
        <x:v>46273.3465277778</x:v>
      </x:c>
      <x:c r="AF373" s="50" t="n">
        <x:v>46273.3951388889</x:v>
      </x:c>
      <x:c r="AG373" t="n">
        <x:v>20</x:v>
      </x:c>
      <x:c r="AH373" t="n">
        <x:v>65</x:v>
      </x:c>
      <x:c r="AI373" t="str">
        <x:v>Não</x:v>
      </x:c>
      <x:c r="AJ373" t="str">
        <x:v>Não</x:v>
      </x:c>
      <x:c r="AK373" t="n">
        <x:v>180</x:v>
      </x:c>
      <x:c r="AL373" t="n">
        <x:v>0</x:v>
      </x:c>
      <x:c r="AM373" s="64" t="n">
        <x:v>0.4722</x:v>
      </x:c>
      <x:c r="AN373" t="n">
        <x:v>1</x:v>
      </x:c>
      <x:c r="AO373" t="str">
        <x:v>Verde</x:v>
      </x:c>
      <x:c r="AP373" t="str">
        <x:v>operação dentro do esperado</x:v>
      </x:c>
      <x:c r="AQ373" t="str">
        <x:v>Há ocorrência recente semelhante; comparar solução anterior de Sensor de Nível.</x:v>
      </x:c>
      <x:c r="AR373" s="62" t="n">
        <x:v>791</x:v>
      </x:c>
      <x:c r="AS373" t="str">
        <x:v>Médio</x:v>
      </x:c>
      <x:c r="AT373" s="50" t="n">
        <x:v>46273.708333333336</x:v>
      </x:c>
      <x:c r="AU373" t="str">
        <x:v>T11</x:v>
      </x:c>
      <x:c r="AV373" t="str">
        <x:v>T2 original + evolução sintética posterior</x:v>
      </x:c>
    </x:row>
    <x:row r="374">
      <x:c r="A374" t="str">
        <x:v>CH-20260908-011</x:v>
      </x:c>
      <x:c r="B374" t="str">
        <x:v>Porta não fecha</x:v>
      </x:c>
      <x:c r="C374" t="str">
        <x:v>Falha no fechamento</x:v>
      </x:c>
      <x:c r="D374" t="str">
        <x:v>Porta permanece aberta e impede partida.</x:v>
      </x:c>
      <x:c r="E374" t="str">
        <x:v>Concluído</x:v>
      </x:c>
      <x:c r="F374" t="str">
        <x:v>Aplicativo Cliente</x:v>
      </x:c>
      <x:c r="G374" t="str">
        <x:v>E-111</x:v>
      </x:c>
      <x:c r="H374" t="str">
        <x:v>Elevador Social</x:v>
      </x:c>
      <x:c r="I374" t="str">
        <x:v>Microprocessado</x:v>
      </x:c>
      <x:c r="J374" t="str">
        <x:v>Gearless</x:v>
      </x:c>
      <x:c r="K374" t="str">
        <x:v>OTIS</x:v>
      </x:c>
      <x:c r="L374" t="str">
        <x:v>ROT-021</x:v>
      </x:c>
      <x:c r="M374" t="str">
        <x:v>Operador de Porta</x:v>
      </x:c>
      <x:c r="N374" t="str">
        <x:v>Sensor de porta</x:v>
      </x:c>
      <x:c r="O374" t="str">
        <x:v>Falha de leitura</x:v>
      </x:c>
      <x:c r="P374" t="str">
        <x:v>Porta aberta</x:v>
      </x:c>
      <x:c r="Q374" t="str">
        <x:v>Inspeção técnica e normalização demonstrativas de Operador de Porta; resolução sintética, sem confirmação de consumo de peças.</x:v>
      </x:c>
      <x:c r="R374" t="str">
        <x:v>Aeroporto Terminal 3</x:v>
      </x:c>
      <x:c r="S374" t="str">
        <x:v>Sim</x:v>
      </x:c>
      <x:c r="T374" t="str">
        <x:v>Sim</x:v>
      </x:c>
      <x:c r="U374" t="str">
        <x:v>CT-2026-005</x:v>
      </x:c>
      <x:c r="V374" t="str">
        <x:v>GRU</x:v>
      </x:c>
      <x:c r="W374" t="str">
        <x:v>Renata Alves</x:v>
      </x:c>
      <x:c r="X374" t="str">
        <x:v>Supervisor C</x:v>
      </x:c>
      <x:c r="Y374" t="str">
        <x:v>Rota GRU 05</x:v>
      </x:c>
      <x:c r="Z374" t="str">
        <x:v>Rod. Hélio Smidt, s/n - Guarulhos/SP</x:v>
      </x:c>
      <x:c r="AA374" t="str">
        <x:v>São Paulo</x:v>
      </x:c>
      <x:c r="AB374" s="50" t="n">
        <x:v>46273.3354166667</x:v>
      </x:c>
      <x:c r="AC374" s="50" t="n">
        <x:v>46273.3375</x:v>
      </x:c>
      <x:c r="AD374" s="50" t="n">
        <x:v>46273.341666666696</x:v>
      </x:c>
      <x:c r="AE374" s="50" t="n">
        <x:v>46273.3534722222</x:v>
      </x:c>
      <x:c r="AF374" s="50" t="n">
        <x:v>46273.41875</x:v>
      </x:c>
      <x:c r="AG374" t="n">
        <x:v>26</x:v>
      </x:c>
      <x:c r="AH374" t="n">
        <x:v>89</x:v>
      </x:c>
      <x:c r="AI374" t="str">
        <x:v>Não</x:v>
      </x:c>
      <x:c r="AJ374" t="str">
        <x:v>Não</x:v>
      </x:c>
      <x:c r="AK374" t="n">
        <x:v>45</x:v>
      </x:c>
      <x:c r="AL374" t="n">
        <x:v>0</x:v>
      </x:c>
      <x:c r="AM374" s="64" t="n">
        <x:v>2.5556</x:v>
      </x:c>
      <x:c r="AN374" t="n">
        <x:v>2</x:v>
      </x:c>
      <x:c r="AO374" t="str">
        <x:v>Vermelho</x:v>
      </x:c>
      <x:c r="AP374" t="str">
        <x:v>SLA sintético excedido (tempo acumulado ≥ 100% do SLA)</x:v>
      </x:c>
      <x:c r="AQ374" t="str">
        <x:v>Encerramento demonstrativo de Operador de Porta; verificar fechamento e histórico para aprendizado. Sem despacho automático.</x:v>
      </x:c>
      <x:c r="AR374" s="62" t="n">
        <x:v>880</x:v>
      </x:c>
      <x:c r="AS374" t="str">
        <x:v>Médio</x:v>
      </x:c>
      <x:c r="AT374" s="50" t="n">
        <x:v>46273.708333333336</x:v>
      </x:c>
      <x:c r="AU374" t="str">
        <x:v>T11</x:v>
      </x:c>
      <x:c r="AV374" t="str">
        <x:v>T2 original + evolução sintética posterior</x:v>
      </x:c>
    </x:row>
    <x:row r="375">
      <x:c r="A375" t="str">
        <x:v>CH-20260908-012</x:v>
      </x:c>
      <x:c r="B375" t="str">
        <x:v>Painel sem comunicação</x:v>
      </x:c>
      <x:c r="C375" t="str">
        <x:v>Falha de comunicação</x:v>
      </x:c>
      <x:c r="D375" t="str">
        <x:v>Painel não responde aos comandos.</x:v>
      </x:c>
      <x:c r="E375" t="str">
        <x:v>Concluído</x:v>
      </x:c>
      <x:c r="F375" t="str">
        <x:v>Monitoramento Remoto</x:v>
      </x:c>
      <x:c r="G375" t="str">
        <x:v>E-112</x:v>
      </x:c>
      <x:c r="H375" t="str">
        <x:v>Elevador Social</x:v>
      </x:c>
      <x:c r="I375" t="str">
        <x:v>Microprocessado</x:v>
      </x:c>
      <x:c r="J375" t="str">
        <x:v>Gearless</x:v>
      </x:c>
      <x:c r="K375" t="str">
        <x:v>OTIS</x:v>
      </x:c>
      <x:c r="L375" t="str">
        <x:v>ROT-033</x:v>
      </x:c>
      <x:c r="M375" t="str">
        <x:v>Painel/Comando</x:v>
      </x:c>
      <x:c r="N375" t="str">
        <x:v>Interface</x:v>
      </x:c>
      <x:c r="O375" t="str">
        <x:v>Sem comunicação</x:v>
      </x:c>
      <x:c r="P375" t="str">
        <x:v>Falha lógica</x:v>
      </x:c>
      <x:c r="Q375" t="str">
        <x:v>Interface reinicializada/substituída</x:v>
      </x:c>
      <x:c r="R375" t="str">
        <x:v>Universidade Central</x:v>
      </x:c>
      <x:c r="S375" t="str">
        <x:v>Não</x:v>
      </x:c>
      <x:c r="T375" t="str">
        <x:v>Sim</x:v>
      </x:c>
      <x:c r="U375" t="str">
        <x:v>CT-2026-006</x:v>
      </x:c>
      <x:c r="V375" t="str">
        <x:v>SP-Leste</x:v>
      </x:c>
      <x:c r="W375" t="str">
        <x:v>Paulo Mendes</x:v>
      </x:c>
      <x:c r="X375" t="str">
        <x:v>Supervisor D</x:v>
      </x:c>
      <x:c r="Y375" t="str">
        <x:v>Rota Leste 06</x:v>
      </x:c>
      <x:c r="Z375" t="str">
        <x:v>Av. Central, 850 - São Paulo/SP</x:v>
      </x:c>
      <x:c r="AA375" t="str">
        <x:v>São Paulo</x:v>
      </x:c>
      <x:c r="AB375" s="50" t="n">
        <x:v>46273.3381944444</x:v>
      </x:c>
      <x:c r="AC375" s="50" t="n">
        <x:v>46273.3409722222</x:v>
      </x:c>
      <x:c r="AD375" s="50" t="n">
        <x:v>46273.3423611111</x:v>
      </x:c>
      <x:c r="AE375" s="50" t="n">
        <x:v>46273.3618055556</x:v>
      </x:c>
      <x:c r="AF375" s="50" t="n">
        <x:v>46273.3819444444</x:v>
      </x:c>
      <x:c r="AG375" t="n">
        <x:v>34</x:v>
      </x:c>
      <x:c r="AH375" t="n">
        <x:v>24</x:v>
      </x:c>
      <x:c r="AI375" t="str">
        <x:v>Não</x:v>
      </x:c>
      <x:c r="AJ375" t="str">
        <x:v>Não</x:v>
      </x:c>
      <x:c r="AK375" t="n">
        <x:v>120</x:v>
      </x:c>
      <x:c r="AL375" t="n">
        <x:v>0</x:v>
      </x:c>
      <x:c r="AM375" s="64" t="n">
        <x:v>0.4833</x:v>
      </x:c>
      <x:c r="AN375" t="n">
        <x:v>3</x:v>
      </x:c>
      <x:c r="AO375" t="str">
        <x:v>Verde</x:v>
      </x:c>
      <x:c r="AP375" t="str">
        <x:v>3 recorrências/30d</x:v>
      </x:c>
      <x:c r="AQ375" t="str">
        <x:v>Recorrência elevada: verificar padrão histórico em Painel/Comando/Interface.</x:v>
      </x:c>
      <x:c r="AR375" s="62" t="n">
        <x:v>1280</x:v>
      </x:c>
      <x:c r="AS375" t="str">
        <x:v>Alto</x:v>
      </x:c>
      <x:c r="AT375" s="50" t="n">
        <x:v>46273.708333333336</x:v>
      </x:c>
      <x:c r="AU375" t="str">
        <x:v>T11</x:v>
      </x:c>
      <x:c r="AV375" t="str">
        <x:v>T2 original + evolução sintética posterior</x:v>
      </x:c>
    </x:row>
    <x:row r="376">
      <x:c r="A376" t="str">
        <x:v>CH-20260908-013</x:v>
      </x:c>
      <x:c r="B376" t="str">
        <x:v>Falha de Tração</x:v>
      </x:c>
      <x:c r="C376" t="str">
        <x:v>Movimento irregular</x:v>
      </x:c>
      <x:c r="D376" t="str">
        <x:v>Equipamento apresenta perda de tração.</x:v>
      </x:c>
      <x:c r="E376" t="str">
        <x:v>Concluído</x:v>
      </x:c>
      <x:c r="F376" t="str">
        <x:v>Central de Atendimento</x:v>
      </x:c>
      <x:c r="G376" t="str">
        <x:v>E-113</x:v>
      </x:c>
      <x:c r="H376" t="str">
        <x:v>Elevador Social</x:v>
      </x:c>
      <x:c r="I376" t="str">
        <x:v>Microprocessado</x:v>
      </x:c>
      <x:c r="J376" t="str">
        <x:v>Gearless</x:v>
      </x:c>
      <x:c r="K376" t="str">
        <x:v>OTIS</x:v>
      </x:c>
      <x:c r="L376" t="str">
        <x:v>ROT-041</x:v>
      </x:c>
      <x:c r="M376" t="str">
        <x:v>Máquina de Tração</x:v>
      </x:c>
      <x:c r="N376" t="str">
        <x:v>Inversor</x:v>
      </x:c>
      <x:c r="O376" t="str">
        <x:v>Oscilação</x:v>
      </x:c>
      <x:c r="P376" t="str">
        <x:v>Falha de movimento</x:v>
      </x:c>
      <x:c r="Q376" t="str">
        <x:v>Inspeção técnica e normalização demonstrativas de Máquina de Tração; resolução sintética, sem confirmação de consumo de peças.</x:v>
      </x:c>
      <x:c r="R376" t="str">
        <x:v>Hospital São Paulo</x:v>
      </x:c>
      <x:c r="S376" t="str">
        <x:v>Sim</x:v>
      </x:c>
      <x:c r="T376" t="str">
        <x:v>Sim</x:v>
      </x:c>
      <x:c r="U376" t="str">
        <x:v>CT-2026-001</x:v>
      </x:c>
      <x:c r="V376" t="str">
        <x:v>SP-Centro</x:v>
      </x:c>
      <x:c r="W376" t="str">
        <x:v>João Silva</x:v>
      </x:c>
      <x:c r="X376" t="str">
        <x:v>Supervisor A</x:v>
      </x:c>
      <x:c r="Y376" t="str">
        <x:v>Rota Centro 01</x:v>
      </x:c>
      <x:c r="Z376" t="str">
        <x:v>Av. Paulista, 1000 - São Paulo/SP</x:v>
      </x:c>
      <x:c r="AA376" t="str">
        <x:v>São Paulo</x:v>
      </x:c>
      <x:c r="AB376" s="50" t="n">
        <x:v>46273.341666666696</x:v>
      </x:c>
      <x:c r="AC376" s="50" t="n">
        <x:v>46273.3451388889</x:v>
      </x:c>
      <x:c r="AD376" s="50" t="n">
        <x:v>46273.3479166667</x:v>
      </x:c>
      <x:c r="AE376" s="50" t="n">
        <x:v>46273.3722222222</x:v>
      </x:c>
      <x:c r="AF376" s="50" t="n">
        <x:v>46273.43124999998</x:v>
      </x:c>
      <x:c r="AG376" t="n">
        <x:v>44</x:v>
      </x:c>
      <x:c r="AH376" t="n">
        <x:v>80</x:v>
      </x:c>
      <x:c r="AI376" t="str">
        <x:v>Não</x:v>
      </x:c>
      <x:c r="AJ376" t="str">
        <x:v>Sim</x:v>
      </x:c>
      <x:c r="AK376" t="n">
        <x:v>60</x:v>
      </x:c>
      <x:c r="AL376" t="n">
        <x:v>0</x:v>
      </x:c>
      <x:c r="AM376" s="64" t="n">
        <x:v>2.0667</x:v>
      </x:c>
      <x:c r="AN376" t="n">
        <x:v>1</x:v>
      </x:c>
      <x:c r="AO376" t="str">
        <x:v>Vermelho</x:v>
      </x:c>
      <x:c r="AP376" t="str">
        <x:v>SLA sintético excedido (tempo acumulado ≥ 100% do SLA)</x:v>
      </x:c>
      <x:c r="AQ376" t="str">
        <x:v>Encerramento demonstrativo de Máquina de Tração; verificar fechamento e histórico para aprendizado. Sem despacho automático.</x:v>
      </x:c>
      <x:c r="AR376" s="62" t="n">
        <x:v>1085</x:v>
      </x:c>
      <x:c r="AS376" t="str">
        <x:v>Médio</x:v>
      </x:c>
      <x:c r="AT376" s="50" t="n">
        <x:v>46273.708333333336</x:v>
      </x:c>
      <x:c r="AU376" t="str">
        <x:v>T11</x:v>
      </x:c>
      <x:c r="AV376" t="str">
        <x:v>T2 original + evolução sintética posterior</x:v>
      </x:c>
    </x:row>
    <x:row r="377">
      <x:c r="A377" t="str">
        <x:v>CH-20260908-014</x:v>
      </x:c>
      <x:c r="B377" t="str">
        <x:v>Iluminação de Cabine</x:v>
      </x:c>
      <x:c r="C377" t="str">
        <x:v>Iluminação inoperante</x:v>
      </x:c>
      <x:c r="D377" t="str">
        <x:v>Cabine com iluminação parcial ou total indisponível.</x:v>
      </x:c>
      <x:c r="E377" t="str">
        <x:v>Concluído</x:v>
      </x:c>
      <x:c r="F377" t="str">
        <x:v>IoT</x:v>
      </x:c>
      <x:c r="G377" t="str">
        <x:v>E-114</x:v>
      </x:c>
      <x:c r="H377" t="str">
        <x:v>Elevador Social</x:v>
      </x:c>
      <x:c r="I377" t="str">
        <x:v>Microprocessado</x:v>
      </x:c>
      <x:c r="J377" t="str">
        <x:v>Gearless</x:v>
      </x:c>
      <x:c r="K377" t="str">
        <x:v>OTIS</x:v>
      </x:c>
      <x:c r="L377" t="str">
        <x:v>ROT-052</x:v>
      </x:c>
      <x:c r="M377" t="str">
        <x:v>Elétrica</x:v>
      </x:c>
      <x:c r="N377" t="str">
        <x:v>Fonte</x:v>
      </x:c>
      <x:c r="O377" t="str">
        <x:v>Sem alimentação</x:v>
      </x:c>
      <x:c r="P377" t="str">
        <x:v>Falha elétrica</x:v>
      </x:c>
      <x:c r="Q377" t="str">
        <x:v>Inspeção técnica e normalização demonstrativas de Elétrica; resolução sintética, sem confirmação de consumo de peças.</x:v>
      </x:c>
      <x:c r="R377" t="str">
        <x:v>Shopping Center Norte</x:v>
      </x:c>
      <x:c r="S377" t="str">
        <x:v>Não</x:v>
      </x:c>
      <x:c r="T377" t="str">
        <x:v>Sim</x:v>
      </x:c>
      <x:c r="U377" t="str">
        <x:v>CT-2026-002</x:v>
      </x:c>
      <x:c r="V377" t="str">
        <x:v>SP-Norte</x:v>
      </x:c>
      <x:c r="W377" t="str">
        <x:v>Marcos Lima</x:v>
      </x:c>
      <x:c r="X377" t="str">
        <x:v>Supervisor B</x:v>
      </x:c>
      <x:c r="Y377" t="str">
        <x:v>Rota Norte 02</x:v>
      </x:c>
      <x:c r="Z377" t="str">
        <x:v>Av. Otto Baumgart, 245 - São Paulo/SP</x:v>
      </x:c>
      <x:c r="AA377" t="str">
        <x:v>São Paulo</x:v>
      </x:c>
      <x:c r="AB377" s="50" t="n">
        <x:v>46273.3451388889</x:v>
      </x:c>
      <x:c r="AC377" s="50" t="n">
        <x:v>46273.3493055556</x:v>
      </x:c>
      <x:c r="AD377" s="50" t="n">
        <x:v>46273.3534722222</x:v>
      </x:c>
      <x:c r="AE377" s="50" t="n">
        <x:v>46273.3826388889</x:v>
      </x:c>
      <x:c r="AF377" s="50" t="n">
        <x:v>46273.4451388889</x:v>
      </x:c>
      <x:c r="AG377" t="n">
        <x:v>54</x:v>
      </x:c>
      <x:c r="AH377" t="n">
        <x:v>85</x:v>
      </x:c>
      <x:c r="AI377" t="str">
        <x:v>Não</x:v>
      </x:c>
      <x:c r="AJ377" t="str">
        <x:v>Não</x:v>
      </x:c>
      <x:c r="AK377" t="n">
        <x:v>90</x:v>
      </x:c>
      <x:c r="AL377" t="n">
        <x:v>0</x:v>
      </x:c>
      <x:c r="AM377" s="64" t="n">
        <x:v>1.5444</x:v>
      </x:c>
      <x:c r="AN377" t="n">
        <x:v>0</x:v>
      </x:c>
      <x:c r="AO377" t="str">
        <x:v>Vermelho</x:v>
      </x:c>
      <x:c r="AP377" t="str">
        <x:v>SLA sintético excedido (tempo acumulado ≥ 100% do SLA)</x:v>
      </x:c>
      <x:c r="AQ377" t="str">
        <x:v>Encerramento demonstrativo de Elétrica; verificar fechamento e histórico para aprendizado. Sem despacho automático.</x:v>
      </x:c>
      <x:c r="AR377" s="62" t="n">
        <x:v>770</x:v>
      </x:c>
      <x:c r="AS377" t="str">
        <x:v>Médio</x:v>
      </x:c>
      <x:c r="AT377" s="50" t="n">
        <x:v>46273.708333333336</x:v>
      </x:c>
      <x:c r="AU377" t="str">
        <x:v>T11</x:v>
      </x:c>
      <x:c r="AV377" t="str">
        <x:v>T2 original + evolução sintética posterior</x:v>
      </x:c>
    </x:row>
    <x:row r="378">
      <x:c r="A378" t="str">
        <x:v>CH-20260908-015</x:v>
      </x:c>
      <x:c r="B378" t="str">
        <x:v>Botão de Chamada</x:v>
      </x:c>
      <x:c r="C378" t="str">
        <x:v>Botão não responde</x:v>
      </x:c>
      <x:c r="D378" t="str">
        <x:v>Botão de chamada não registra comando.</x:v>
      </x:c>
      <x:c r="E378" t="str">
        <x:v>Concluído</x:v>
      </x:c>
      <x:c r="F378" t="str">
        <x:v>Aplicativo Cliente</x:v>
      </x:c>
      <x:c r="G378" t="str">
        <x:v>E-115</x:v>
      </x:c>
      <x:c r="H378" t="str">
        <x:v>Elevador Social</x:v>
      </x:c>
      <x:c r="I378" t="str">
        <x:v>Microprocessado</x:v>
      </x:c>
      <x:c r="J378" t="str">
        <x:v>Gearless</x:v>
      </x:c>
      <x:c r="K378" t="str">
        <x:v>OTIS</x:v>
      </x:c>
      <x:c r="L378" t="str">
        <x:v>ROT-063</x:v>
      </x:c>
      <x:c r="M378" t="str">
        <x:v>Botoeira</x:v>
      </x:c>
      <x:c r="N378" t="str">
        <x:v>Contato</x:v>
      </x:c>
      <x:c r="O378" t="str">
        <x:v>Mau contato</x:v>
      </x:c>
      <x:c r="P378" t="str">
        <x:v>Falha de comando</x:v>
      </x:c>
      <x:c r="Q378" t="str">
        <x:v>Inspeção técnica e normalização demonstrativas de Botoeira; resolução sintética, sem confirmação de consumo de peças.</x:v>
      </x:c>
      <x:c r="R378" t="str">
        <x:v>Edifício Corporate</x:v>
      </x:c>
      <x:c r="S378" t="str">
        <x:v>Não</x:v>
      </x:c>
      <x:c r="T378" t="str">
        <x:v>Sim</x:v>
      </x:c>
      <x:c r="U378" t="str">
        <x:v>CT-2026-003</x:v>
      </x:c>
      <x:c r="V378" t="str">
        <x:v>SP-Oeste</x:v>
      </x:c>
      <x:c r="W378" t="str">
        <x:v>Ana Costa</x:v>
      </x:c>
      <x:c r="X378" t="str">
        <x:v>Supervisor C</x:v>
      </x:c>
      <x:c r="Y378" t="str">
        <x:v>Rota Oeste 03</x:v>
      </x:c>
      <x:c r="Z378" t="str">
        <x:v>Av. Faria Lima, 3500 - São Paulo/SP</x:v>
      </x:c>
      <x:c r="AA378" t="str">
        <x:v>São Paulo</x:v>
      </x:c>
      <x:c r="AB378" s="50" t="n">
        <x:v>46273.3486111111</x:v>
      </x:c>
      <x:c r="AC378" s="50" t="n">
        <x:v>46273.35</x:v>
      </x:c>
      <x:c r="AD378" s="50" t="n">
        <x:v>46273.3513888889</x:v>
      </x:c>
      <x:c r="AE378" s="50" t="n">
        <x:v>46273.3618055556</x:v>
      </x:c>
      <x:c r="AF378" s="50" t="n">
        <x:v>46273.42152777778</x:v>
      </x:c>
      <x:c r="AG378" t="n">
        <x:v>19</x:v>
      </x:c>
      <x:c r="AH378" t="n">
        <x:v>81</x:v>
      </x:c>
      <x:c r="AI378" t="str">
        <x:v>Não</x:v>
      </x:c>
      <x:c r="AJ378" t="str">
        <x:v>Não</x:v>
      </x:c>
      <x:c r="AK378" t="n">
        <x:v>120</x:v>
      </x:c>
      <x:c r="AL378" t="n">
        <x:v>0</x:v>
      </x:c>
      <x:c r="AM378" s="64" t="n">
        <x:v>0.8333</x:v>
      </x:c>
      <x:c r="AN378" t="n">
        <x:v>2</x:v>
      </x:c>
      <x:c r="AO378" t="str">
        <x:v>Laranja</x:v>
      </x:c>
      <x:c r="AP378" t="str">
        <x:v>janela de intervenção: tempo acumulado ≥ 80% do SLA</x:v>
      </x:c>
      <x:c r="AQ378" t="str">
        <x:v>Encerramento demonstrativo de Botoeira; verificar fechamento e histórico para aprendizado. Sem despacho automático.</x:v>
      </x:c>
      <x:c r="AR378" s="62" t="n">
        <x:v>739</x:v>
      </x:c>
      <x:c r="AS378" t="str">
        <x:v>Baixo</x:v>
      </x:c>
      <x:c r="AT378" s="50" t="n">
        <x:v>46273.708333333336</x:v>
      </x:c>
      <x:c r="AU378" t="str">
        <x:v>T11</x:v>
      </x:c>
      <x:c r="AV378" t="str">
        <x:v>T2 original + evolução sintética posterior</x:v>
      </x:c>
    </x:row>
    <x:row r="379">
      <x:c r="A379" t="str">
        <x:v>CH-20260908-016</x:v>
      </x:c>
      <x:c r="B379" t="str">
        <x:v>Parada Intermitente</x:v>
      </x:c>
      <x:c r="C379" t="str">
        <x:v>Paradas aleatórias</x:v>
      </x:c>
      <x:c r="D379" t="str">
        <x:v>Equipamento interrompe operação de forma intermitente.</x:v>
      </x:c>
      <x:c r="E379" t="str">
        <x:v>Concluído</x:v>
      </x:c>
      <x:c r="F379" t="str">
        <x:v>Monitoramento Remoto</x:v>
      </x:c>
      <x:c r="G379" t="str">
        <x:v>E-116</x:v>
      </x:c>
      <x:c r="H379" t="str">
        <x:v>Elevador Social</x:v>
      </x:c>
      <x:c r="I379" t="str">
        <x:v>Microprocessado</x:v>
      </x:c>
      <x:c r="J379" t="str">
        <x:v>Gearless</x:v>
      </x:c>
      <x:c r="K379" t="str">
        <x:v>OTIS</x:v>
      </x:c>
      <x:c r="L379" t="str">
        <x:v>ROT-074</x:v>
      </x:c>
      <x:c r="M379" t="str">
        <x:v>Painel/Comando</x:v>
      </x:c>
      <x:c r="N379" t="str">
        <x:v>Placa</x:v>
      </x:c>
      <x:c r="O379" t="str">
        <x:v>Intermitência</x:v>
      </x:c>
      <x:c r="P379" t="str">
        <x:v>Falha intermitente</x:v>
      </x:c>
      <x:c r="Q379" t="str">
        <x:v>Inspeção técnica e normalização demonstrativas de Painel/Comando; resolução sintética, sem confirmação de consumo de peças.</x:v>
      </x:c>
      <x:c r="R379" t="str">
        <x:v>Condomínio Alameda</x:v>
      </x:c>
      <x:c r="S379" t="str">
        <x:v>Não</x:v>
      </x:c>
      <x:c r="T379" t="str">
        <x:v>Não</x:v>
      </x:c>
      <x:c r="U379" t="str">
        <x:v>CT-2026-004</x:v>
      </x:c>
      <x:c r="V379" t="str">
        <x:v>SP-Sul</x:v>
      </x:c>
      <x:c r="W379" t="str">
        <x:v>Carlos Souza</x:v>
      </x:c>
      <x:c r="X379" t="str">
        <x:v>Supervisor D</x:v>
      </x:c>
      <x:c r="Y379" t="str">
        <x:v>Rota Sul 04</x:v>
      </x:c>
      <x:c r="Z379" t="str">
        <x:v>R. das Acácias, 420 - São Paulo/SP</x:v>
      </x:c>
      <x:c r="AA379" t="str">
        <x:v>São Paulo</x:v>
      </x:c>
      <x:c r="AB379" s="50" t="n">
        <x:v>46273.3520833333</x:v>
      </x:c>
      <x:c r="AC379" s="50" t="n">
        <x:v>46273.3541666667</x:v>
      </x:c>
      <x:c r="AD379" s="50" t="n">
        <x:v>46273.3569444444</x:v>
      </x:c>
      <x:c r="AE379" s="50" t="n">
        <x:v>46273.3722222222</x:v>
      </x:c>
      <x:c r="AF379" s="50" t="n">
        <x:v>46273.46249999998</x:v>
      </x:c>
      <x:c r="AG379" t="n">
        <x:v>29</x:v>
      </x:c>
      <x:c r="AH379" t="n">
        <x:v>125</x:v>
      </x:c>
      <x:c r="AI379" t="str">
        <x:v>Não</x:v>
      </x:c>
      <x:c r="AJ379" t="str">
        <x:v>Sim</x:v>
      </x:c>
      <x:c r="AK379" t="n">
        <x:v>180</x:v>
      </x:c>
      <x:c r="AL379" t="n">
        <x:v>0</x:v>
      </x:c>
      <x:c r="AM379" s="64" t="n">
        <x:v>0.8556</x:v>
      </x:c>
      <x:c r="AN379" t="n">
        <x:v>4</x:v>
      </x:c>
      <x:c r="AO379" t="str">
        <x:v>Laranja</x:v>
      </x:c>
      <x:c r="AP379" t="str">
        <x:v>janela de intervenção: tempo acumulado ≥ 80% do SLA</x:v>
      </x:c>
      <x:c r="AQ379" t="str">
        <x:v>Encerramento demonstrativo de Painel/Comando; verificar fechamento e histórico para aprendizado. Sem despacho automático.</x:v>
      </x:c>
      <x:c r="AR379" s="62" t="n">
        <x:v>1564</x:v>
      </x:c>
      <x:c r="AS379" t="str">
        <x:v>Alto</x:v>
      </x:c>
      <x:c r="AT379" s="50" t="n">
        <x:v>46273.708333333336</x:v>
      </x:c>
      <x:c r="AU379" t="str">
        <x:v>T11</x:v>
      </x:c>
      <x:c r="AV379" t="str">
        <x:v>T2 original + evolução sintética posterior</x:v>
      </x:c>
    </x:row>
    <x:row r="380">
      <x:c r="A380" t="str">
        <x:v>CH-20260908-017</x:v>
      </x:c>
      <x:c r="B380" t="str">
        <x:v>Passageiro Preso</x:v>
      </x:c>
      <x:c r="C380" t="str">
        <x:v>Elevador parado entre andares</x:v>
      </x:c>
      <x:c r="D380" t="str">
        <x:v>Cabine imobilizada com passageiro no interior.</x:v>
      </x:c>
      <x:c r="E380" t="str">
        <x:v>Concluído</x:v>
      </x:c>
      <x:c r="F380" t="str">
        <x:v>Central de Atendimento</x:v>
      </x:c>
      <x:c r="G380" t="str">
        <x:v>E-117</x:v>
      </x:c>
      <x:c r="H380" t="str">
        <x:v>Elevador Social</x:v>
      </x:c>
      <x:c r="I380" t="str">
        <x:v>Microprocessado</x:v>
      </x:c>
      <x:c r="J380" t="str">
        <x:v>Gearless</x:v>
      </x:c>
      <x:c r="K380" t="str">
        <x:v>OTIS</x:v>
      </x:c>
      <x:c r="L380" t="str">
        <x:v>ROT-001</x:v>
      </x:c>
      <x:c r="M380" t="str">
        <x:v>Tração</x:v>
      </x:c>
      <x:c r="N380" t="str">
        <x:v>Freio</x:v>
      </x:c>
      <x:c r="O380" t="str">
        <x:v>Travamento</x:v>
      </x:c>
      <x:c r="P380" t="str">
        <x:v>Parada total</x:v>
      </x:c>
      <x:c r="Q380" t="str">
        <x:v>Resgate concluído e equipamento normalizado</x:v>
      </x:c>
      <x:c r="R380" t="str">
        <x:v>Aeroporto Terminal 3</x:v>
      </x:c>
      <x:c r="S380" t="str">
        <x:v>Sim</x:v>
      </x:c>
      <x:c r="T380" t="str">
        <x:v>Sim</x:v>
      </x:c>
      <x:c r="U380" t="str">
        <x:v>CT-2026-005</x:v>
      </x:c>
      <x:c r="V380" t="str">
        <x:v>GRU</x:v>
      </x:c>
      <x:c r="W380" t="str">
        <x:v>Renata Alves</x:v>
      </x:c>
      <x:c r="X380" t="str">
        <x:v>Supervisor A</x:v>
      </x:c>
      <x:c r="Y380" t="str">
        <x:v>Rota GRU 05</x:v>
      </x:c>
      <x:c r="Z380" t="str">
        <x:v>Rod. Hélio Smidt, s/n - Guarulhos/SP</x:v>
      </x:c>
      <x:c r="AA380" t="str">
        <x:v>São Paulo</x:v>
      </x:c>
      <x:c r="AB380" s="50" t="n">
        <x:v>46273.3555555556</x:v>
      </x:c>
      <x:c r="AC380" s="50" t="n">
        <x:v>46273.3583333333</x:v>
      </x:c>
      <x:c r="AD380" s="50" t="n">
        <x:v>46273.3625</x:v>
      </x:c>
      <x:c r="AE380" s="50" t="n">
        <x:v>46273.3763888889</x:v>
      </x:c>
      <x:c r="AF380" s="50" t="n">
        <x:v>46273.3993055556</x:v>
      </x:c>
      <x:c r="AG380" t="n">
        <x:v>30</x:v>
      </x:c>
      <x:c r="AH380" t="n">
        <x:v>28</x:v>
      </x:c>
      <x:c r="AI380" t="str">
        <x:v>Sim</x:v>
      </x:c>
      <x:c r="AJ380" t="str">
        <x:v>Sim</x:v>
      </x:c>
      <x:c r="AK380" t="n">
        <x:v>45</x:v>
      </x:c>
      <x:c r="AL380" t="n">
        <x:v>0</x:v>
      </x:c>
      <x:c r="AM380" s="64" t="n">
        <x:v>1.2889</x:v>
      </x:c>
      <x:c r="AN380" t="n">
        <x:v>0</x:v>
      </x:c>
      <x:c r="AO380" t="str">
        <x:v>Vermelho</x:v>
      </x:c>
      <x:c r="AP380" t="str">
        <x:v>passageiro preso; SLA estourado; carro parado</x:v>
      </x:c>
      <x:c r="AQ380" t="str">
        <x:v>Sem recorrência relevante; acompanhar evolução de Tração.</x:v>
      </x:c>
      <x:c r="AR380" s="62" t="n">
        <x:v>906</x:v>
      </x:c>
      <x:c r="AS380" t="str">
        <x:v>Médio</x:v>
      </x:c>
      <x:c r="AT380" s="50" t="n">
        <x:v>46273.708333333336</x:v>
      </x:c>
      <x:c r="AU380" t="str">
        <x:v>T11</x:v>
      </x:c>
      <x:c r="AV380" t="str">
        <x:v>T2 original + evolução sintética posterior</x:v>
      </x:c>
    </x:row>
    <x:row r="381">
      <x:c r="A381" t="str">
        <x:v>CH-20260908-018</x:v>
      </x:c>
      <x:c r="B381" t="str">
        <x:v>Falha de Nivelamento</x:v>
      </x:c>
      <x:c r="C381" t="str">
        <x:v>Cabine desnivelada</x:v>
      </x:c>
      <x:c r="D381" t="str">
        <x:v>Cabine parou fora do nível do pavimento.</x:v>
      </x:c>
      <x:c r="E381" t="str">
        <x:v>Concluído</x:v>
      </x:c>
      <x:c r="F381" t="str">
        <x:v>IoT</x:v>
      </x:c>
      <x:c r="G381" t="str">
        <x:v>E-118</x:v>
      </x:c>
      <x:c r="H381" t="str">
        <x:v>Elevador Social</x:v>
      </x:c>
      <x:c r="I381" t="str">
        <x:v>Microprocessado</x:v>
      </x:c>
      <x:c r="J381" t="str">
        <x:v>Gearless</x:v>
      </x:c>
      <x:c r="K381" t="str">
        <x:v>OTIS</x:v>
      </x:c>
      <x:c r="L381" t="str">
        <x:v>ROT-014</x:v>
      </x:c>
      <x:c r="M381" t="str">
        <x:v>Sensor de Nível</x:v>
      </x:c>
      <x:c r="N381" t="str">
        <x:v>Sensor</x:v>
      </x:c>
      <x:c r="O381" t="str">
        <x:v>Leitura inconsistente</x:v>
      </x:c>
      <x:c r="P381" t="str">
        <x:v>Falha de nivelamento</x:v>
      </x:c>
      <x:c r="Q381" t="str">
        <x:v>Inspeção técnica e normalização demonstrativas de Sensor de Nível; resolução sintética, sem confirmação de consumo de peças.</x:v>
      </x:c>
      <x:c r="R381" t="str">
        <x:v>Universidade Central</x:v>
      </x:c>
      <x:c r="S381" t="str">
        <x:v>Não</x:v>
      </x:c>
      <x:c r="T381" t="str">
        <x:v>Sim</x:v>
      </x:c>
      <x:c r="U381" t="str">
        <x:v>CT-2026-006</x:v>
      </x:c>
      <x:c r="V381" t="str">
        <x:v>SP-Leste</x:v>
      </x:c>
      <x:c r="W381" t="str">
        <x:v>Paulo Mendes</x:v>
      </x:c>
      <x:c r="X381" t="str">
        <x:v>Supervisor B</x:v>
      </x:c>
      <x:c r="Y381" t="str">
        <x:v>Rota Leste 06</x:v>
      </x:c>
      <x:c r="Z381" t="str">
        <x:v>Av. Central, 850 - São Paulo/SP</x:v>
      </x:c>
      <x:c r="AA381" t="str">
        <x:v>São Paulo</x:v>
      </x:c>
      <x:c r="AB381" s="50" t="n">
        <x:v>46273.3590277778</x:v>
      </x:c>
      <x:c r="AC381" s="50" t="n">
        <x:v>46273.3625</x:v>
      </x:c>
      <x:c r="AD381" s="50" t="n">
        <x:v>46273.363888888896</x:v>
      </x:c>
      <x:c r="AE381" s="50" t="n">
        <x:v>46273.3888888889</x:v>
      </x:c>
      <x:c r="AF381" s="50" t="n">
        <x:v>46273.437500000015</x:v>
      </x:c>
      <x:c r="AG381" t="n">
        <x:v>43</x:v>
      </x:c>
      <x:c r="AH381" t="n">
        <x:v>65</x:v>
      </x:c>
      <x:c r="AI381" t="str">
        <x:v>Não</x:v>
      </x:c>
      <x:c r="AJ381" t="str">
        <x:v>Não</x:v>
      </x:c>
      <x:c r="AK381" t="n">
        <x:v>120</x:v>
      </x:c>
      <x:c r="AL381" t="n">
        <x:v>0</x:v>
      </x:c>
      <x:c r="AM381" s="64" t="n">
        <x:v>0.9</x:v>
      </x:c>
      <x:c r="AN381" t="n">
        <x:v>1</x:v>
      </x:c>
      <x:c r="AO381" t="str">
        <x:v>Laranja</x:v>
      </x:c>
      <x:c r="AP381" t="str">
        <x:v>janela de intervenção: tempo acumulado ≥ 80% do SLA</x:v>
      </x:c>
      <x:c r="AQ381" t="str">
        <x:v>Encerramento demonstrativo de Sensor de Nível; verificar fechamento e histórico para aprendizado. Sem despacho automático.</x:v>
      </x:c>
      <x:c r="AR381" s="62" t="n">
        <x:v>613</x:v>
      </x:c>
      <x:c r="AS381" t="str">
        <x:v>Baixo</x:v>
      </x:c>
      <x:c r="AT381" s="50" t="n">
        <x:v>46273.708333333336</x:v>
      </x:c>
      <x:c r="AU381" t="str">
        <x:v>T11</x:v>
      </x:c>
      <x:c r="AV381" t="str">
        <x:v>T2 original + evolução sintética posterior</x:v>
      </x:c>
    </x:row>
    <x:row r="382">
      <x:c r="A382" t="str">
        <x:v>CH-20260908-019</x:v>
      </x:c>
      <x:c r="B382" t="str">
        <x:v>Porta não fecha</x:v>
      </x:c>
      <x:c r="C382" t="str">
        <x:v>Falha no fechamento</x:v>
      </x:c>
      <x:c r="D382" t="str">
        <x:v>Porta permanece aberta e impede partida.</x:v>
      </x:c>
      <x:c r="E382" t="str">
        <x:v>Concluído</x:v>
      </x:c>
      <x:c r="F382" t="str">
        <x:v>Aplicativo Cliente</x:v>
      </x:c>
      <x:c r="G382" t="str">
        <x:v>E-119</x:v>
      </x:c>
      <x:c r="H382" t="str">
        <x:v>Elevador Social</x:v>
      </x:c>
      <x:c r="I382" t="str">
        <x:v>Microprocessado</x:v>
      </x:c>
      <x:c r="J382" t="str">
        <x:v>Gearless</x:v>
      </x:c>
      <x:c r="K382" t="str">
        <x:v>OTIS</x:v>
      </x:c>
      <x:c r="L382" t="str">
        <x:v>ROT-021</x:v>
      </x:c>
      <x:c r="M382" t="str">
        <x:v>Operador de Porta</x:v>
      </x:c>
      <x:c r="N382" t="str">
        <x:v>Sensor de porta</x:v>
      </x:c>
      <x:c r="O382" t="str">
        <x:v>Falha de leitura</x:v>
      </x:c>
      <x:c r="P382" t="str">
        <x:v>Porta aberta</x:v>
      </x:c>
      <x:c r="Q382" t="str">
        <x:v>Inspeção técnica e normalização demonstrativas de Operador de Porta; resolução sintética, sem confirmação de consumo de peças.</x:v>
      </x:c>
      <x:c r="R382" t="str">
        <x:v>Hospital São Paulo</x:v>
      </x:c>
      <x:c r="S382" t="str">
        <x:v>Sim</x:v>
      </x:c>
      <x:c r="T382" t="str">
        <x:v>Sim</x:v>
      </x:c>
      <x:c r="U382" t="str">
        <x:v>CT-2026-001</x:v>
      </x:c>
      <x:c r="V382" t="str">
        <x:v>SP-Centro</x:v>
      </x:c>
      <x:c r="W382" t="str">
        <x:v>João Silva</x:v>
      </x:c>
      <x:c r="X382" t="str">
        <x:v>Supervisor C</x:v>
      </x:c>
      <x:c r="Y382" t="str">
        <x:v>Rota Centro 01</x:v>
      </x:c>
      <x:c r="Z382" t="str">
        <x:v>Av. Paulista, 1000 - São Paulo/SP</x:v>
      </x:c>
      <x:c r="AA382" t="str">
        <x:v>São Paulo</x:v>
      </x:c>
      <x:c r="AB382" s="50" t="n">
        <x:v>46273.3625</x:v>
      </x:c>
      <x:c r="AC382" s="50" t="n">
        <x:v>46273.3666666667</x:v>
      </x:c>
      <x:c r="AD382" s="50" t="n">
        <x:v>46273.3694444444</x:v>
      </x:c>
      <x:c r="AE382" s="50" t="n">
        <x:v>46273.399305555555</x:v>
      </x:c>
      <x:c r="AF382" s="50" t="n">
        <x:v>46273.48263888889</x:v>
      </x:c>
      <x:c r="AG382" t="n">
        <x:v>53</x:v>
      </x:c>
      <x:c r="AH382" t="n">
        <x:v>115</x:v>
      </x:c>
      <x:c r="AI382" t="str">
        <x:v>Não</x:v>
      </x:c>
      <x:c r="AJ382" t="str">
        <x:v>Não</x:v>
      </x:c>
      <x:c r="AK382" t="n">
        <x:v>60</x:v>
      </x:c>
      <x:c r="AL382" t="n">
        <x:v>0</x:v>
      </x:c>
      <x:c r="AM382" s="64" t="n">
        <x:v>2.8</x:v>
      </x:c>
      <x:c r="AN382" t="n">
        <x:v>2</x:v>
      </x:c>
      <x:c r="AO382" t="str">
        <x:v>Vermelho</x:v>
      </x:c>
      <x:c r="AP382" t="str">
        <x:v>SLA sintético excedido (tempo acumulado ≥ 100% do SLA)</x:v>
      </x:c>
      <x:c r="AQ382" t="str">
        <x:v>Encerramento demonstrativo de Operador de Porta; verificar fechamento e histórico para aprendizado. Sem despacho automático.</x:v>
      </x:c>
      <x:c r="AR382" s="62" t="n">
        <x:v>718</x:v>
      </x:c>
      <x:c r="AS382" t="str">
        <x:v>Baixo</x:v>
      </x:c>
      <x:c r="AT382" s="50" t="n">
        <x:v>46273.708333333336</x:v>
      </x:c>
      <x:c r="AU382" t="str">
        <x:v>T11</x:v>
      </x:c>
      <x:c r="AV382" t="str">
        <x:v>T2 original + evolução sintética posterior</x:v>
      </x:c>
    </x:row>
    <x:row r="383">
      <x:c r="A383" t="str">
        <x:v>CH-20260908-020</x:v>
      </x:c>
      <x:c r="B383" t="str">
        <x:v>Painel sem comunicação</x:v>
      </x:c>
      <x:c r="C383" t="str">
        <x:v>Falha de comunicação</x:v>
      </x:c>
      <x:c r="D383" t="str">
        <x:v>Painel não responde aos comandos.</x:v>
      </x:c>
      <x:c r="E383" t="str">
        <x:v>Concluído</x:v>
      </x:c>
      <x:c r="F383" t="str">
        <x:v>Monitoramento Remoto</x:v>
      </x:c>
      <x:c r="G383" t="str">
        <x:v>E-120</x:v>
      </x:c>
      <x:c r="H383" t="str">
        <x:v>Elevador Social</x:v>
      </x:c>
      <x:c r="I383" t="str">
        <x:v>Microprocessado</x:v>
      </x:c>
      <x:c r="J383" t="str">
        <x:v>Gearless</x:v>
      </x:c>
      <x:c r="K383" t="str">
        <x:v>OTIS</x:v>
      </x:c>
      <x:c r="L383" t="str">
        <x:v>ROT-033</x:v>
      </x:c>
      <x:c r="M383" t="str">
        <x:v>Painel/Comando</x:v>
      </x:c>
      <x:c r="N383" t="str">
        <x:v>Interface</x:v>
      </x:c>
      <x:c r="O383" t="str">
        <x:v>Sem comunicação</x:v>
      </x:c>
      <x:c r="P383" t="str">
        <x:v>Falha lógica</x:v>
      </x:c>
      <x:c r="Q383" t="str">
        <x:v>Inspeção técnica e normalização demonstrativas de Painel/Comando; resolução sintética, sem confirmação de consumo de peças.</x:v>
      </x:c>
      <x:c r="R383" t="str">
        <x:v>Shopping Center Norte</x:v>
      </x:c>
      <x:c r="S383" t="str">
        <x:v>Não</x:v>
      </x:c>
      <x:c r="T383" t="str">
        <x:v>Sim</x:v>
      </x:c>
      <x:c r="U383" t="str">
        <x:v>CT-2026-002</x:v>
      </x:c>
      <x:c r="V383" t="str">
        <x:v>SP-Norte</x:v>
      </x:c>
      <x:c r="W383" t="str">
        <x:v>Marcos Lima</x:v>
      </x:c>
      <x:c r="X383" t="str">
        <x:v>Supervisor D</x:v>
      </x:c>
      <x:c r="Y383" t="str">
        <x:v>Rota Norte 02</x:v>
      </x:c>
      <x:c r="Z383" t="str">
        <x:v>Av. Otto Baumgart, 245 - São Paulo/SP</x:v>
      </x:c>
      <x:c r="AA383" t="str">
        <x:v>São Paulo</x:v>
      </x:c>
      <x:c r="AB383" s="50" t="n">
        <x:v>46273.3659722222</x:v>
      </x:c>
      <x:c r="AC383" s="50" t="n">
        <x:v>46273.3673611111</x:v>
      </x:c>
      <x:c r="AD383" s="50" t="n">
        <x:v>46273.3715277778</x:v>
      </x:c>
      <x:c r="AE383" s="50" t="n">
        <x:v>46273.3826388889</x:v>
      </x:c>
      <x:c r="AF383" s="50" t="n">
        <x:v>46273.4763888889</x:v>
      </x:c>
      <x:c r="AG383" t="n">
        <x:v>24</x:v>
      </x:c>
      <x:c r="AH383" t="n">
        <x:v>130</x:v>
      </x:c>
      <x:c r="AI383" t="str">
        <x:v>Não</x:v>
      </x:c>
      <x:c r="AJ383" t="str">
        <x:v>Não</x:v>
      </x:c>
      <x:c r="AK383" t="n">
        <x:v>90</x:v>
      </x:c>
      <x:c r="AL383" t="n">
        <x:v>0</x:v>
      </x:c>
      <x:c r="AM383" s="64" t="n">
        <x:v>1.7111</x:v>
      </x:c>
      <x:c r="AN383" t="n">
        <x:v>3</x:v>
      </x:c>
      <x:c r="AO383" t="str">
        <x:v>Vermelho</x:v>
      </x:c>
      <x:c r="AP383" t="str">
        <x:v>SLA sintético excedido (tempo acumulado ≥ 100% do SLA)</x:v>
      </x:c>
      <x:c r="AQ383" t="str">
        <x:v>Encerramento demonstrativo de Painel/Comando; verificar fechamento e histórico para aprendizado. Sem despacho automático.</x:v>
      </x:c>
      <x:c r="AR383" s="62" t="n">
        <x:v>1407</x:v>
      </x:c>
      <x:c r="AS383" t="str">
        <x:v>Alto</x:v>
      </x:c>
      <x:c r="AT383" s="50" t="n">
        <x:v>46273.708333333336</x:v>
      </x:c>
      <x:c r="AU383" t="str">
        <x:v>T11</x:v>
      </x:c>
      <x:c r="AV383" t="str">
        <x:v>T2 original + evolução sintética posterior</x:v>
      </x:c>
    </x:row>
    <x:row r="384">
      <x:c r="A384" t="str">
        <x:v>CH-20260908-021</x:v>
      </x:c>
      <x:c r="B384" t="str">
        <x:v>Falha de Tração</x:v>
      </x:c>
      <x:c r="C384" t="str">
        <x:v>Movimento irregular</x:v>
      </x:c>
      <x:c r="D384" t="str">
        <x:v>Equipamento apresenta perda de tração.</x:v>
      </x:c>
      <x:c r="E384" t="str">
        <x:v>Concluído</x:v>
      </x:c>
      <x:c r="F384" t="str">
        <x:v>Central de Atendimento</x:v>
      </x:c>
      <x:c r="G384" t="str">
        <x:v>E-121</x:v>
      </x:c>
      <x:c r="H384" t="str">
        <x:v>Elevador Social</x:v>
      </x:c>
      <x:c r="I384" t="str">
        <x:v>Microprocessado</x:v>
      </x:c>
      <x:c r="J384" t="str">
        <x:v>Gearless</x:v>
      </x:c>
      <x:c r="K384" t="str">
        <x:v>OTIS</x:v>
      </x:c>
      <x:c r="L384" t="str">
        <x:v>ROT-041</x:v>
      </x:c>
      <x:c r="M384" t="str">
        <x:v>Máquina de Tração</x:v>
      </x:c>
      <x:c r="N384" t="str">
        <x:v>Inversor</x:v>
      </x:c>
      <x:c r="O384" t="str">
        <x:v>Oscilação</x:v>
      </x:c>
      <x:c r="P384" t="str">
        <x:v>Falha de movimento</x:v>
      </x:c>
      <x:c r="Q384" t="str">
        <x:v>Inspeção técnica e normalização demonstrativas de Máquina de Tração; resolução sintética, sem confirmação de consumo de peças.</x:v>
      </x:c>
      <x:c r="R384" t="str">
        <x:v>Edifício Corporate</x:v>
      </x:c>
      <x:c r="S384" t="str">
        <x:v>Não</x:v>
      </x:c>
      <x:c r="T384" t="str">
        <x:v>Sim</x:v>
      </x:c>
      <x:c r="U384" t="str">
        <x:v>CT-2026-003</x:v>
      </x:c>
      <x:c r="V384" t="str">
        <x:v>SP-Oeste</x:v>
      </x:c>
      <x:c r="W384" t="str">
        <x:v>Ana Costa</x:v>
      </x:c>
      <x:c r="X384" t="str">
        <x:v>Supervisor A</x:v>
      </x:c>
      <x:c r="Y384" t="str">
        <x:v>Rota Oeste 03</x:v>
      </x:c>
      <x:c r="Z384" t="str">
        <x:v>Av. Faria Lima, 3500 - São Paulo/SP</x:v>
      </x:c>
      <x:c r="AA384" t="str">
        <x:v>São Paulo</x:v>
      </x:c>
      <x:c r="AB384" s="50" t="n">
        <x:v>46273.3694444444</x:v>
      </x:c>
      <x:c r="AC384" s="50" t="n">
        <x:v>46273.3715277778</x:v>
      </x:c>
      <x:c r="AD384" s="50" t="n">
        <x:v>46273.372916666696</x:v>
      </x:c>
      <x:c r="AE384" s="50" t="n">
        <x:v>46273.3888888889</x:v>
      </x:c>
      <x:c r="AF384" s="50" t="n">
        <x:v>46273.44791666668</x:v>
      </x:c>
      <x:c r="AG384" t="n">
        <x:v>28</x:v>
      </x:c>
      <x:c r="AH384" t="n">
        <x:v>80</x:v>
      </x:c>
      <x:c r="AI384" t="str">
        <x:v>Não</x:v>
      </x:c>
      <x:c r="AJ384" t="str">
        <x:v>Sim</x:v>
      </x:c>
      <x:c r="AK384" t="n">
        <x:v>120</x:v>
      </x:c>
      <x:c r="AL384" t="n">
        <x:v>0</x:v>
      </x:c>
      <x:c r="AM384" s="64" t="n">
        <x:v>0.9</x:v>
      </x:c>
      <x:c r="AN384" t="n">
        <x:v>1</x:v>
      </x:c>
      <x:c r="AO384" t="str">
        <x:v>Laranja</x:v>
      </x:c>
      <x:c r="AP384" t="str">
        <x:v>janela de intervenção: tempo acumulado ≥ 80% do SLA</x:v>
      </x:c>
      <x:c r="AQ384" t="str">
        <x:v>Encerramento demonstrativo de Máquina de Tração; verificar fechamento e histórico para aprendizado. Sem despacho automático.</x:v>
      </x:c>
      <x:c r="AR384" s="62" t="n">
        <x:v>1212</x:v>
      </x:c>
      <x:c r="AS384" t="str">
        <x:v>Alto</x:v>
      </x:c>
      <x:c r="AT384" s="50" t="n">
        <x:v>46273.708333333336</x:v>
      </x:c>
      <x:c r="AU384" t="str">
        <x:v>T11</x:v>
      </x:c>
      <x:c r="AV384" t="str">
        <x:v>T2 original + evolução sintética posterior</x:v>
      </x:c>
    </x:row>
    <x:row r="385">
      <x:c r="A385" t="str">
        <x:v>CH-20260908-022</x:v>
      </x:c>
      <x:c r="B385" t="str">
        <x:v>Iluminação de Cabine</x:v>
      </x:c>
      <x:c r="C385" t="str">
        <x:v>Iluminação inoperante</x:v>
      </x:c>
      <x:c r="D385" t="str">
        <x:v>Cabine com iluminação parcial ou total indisponível.</x:v>
      </x:c>
      <x:c r="E385" t="str">
        <x:v>Concluído</x:v>
      </x:c>
      <x:c r="F385" t="str">
        <x:v>IoT</x:v>
      </x:c>
      <x:c r="G385" t="str">
        <x:v>E-122</x:v>
      </x:c>
      <x:c r="H385" t="str">
        <x:v>Elevador Social</x:v>
      </x:c>
      <x:c r="I385" t="str">
        <x:v>Microprocessado</x:v>
      </x:c>
      <x:c r="J385" t="str">
        <x:v>Gearless</x:v>
      </x:c>
      <x:c r="K385" t="str">
        <x:v>OTIS</x:v>
      </x:c>
      <x:c r="L385" t="str">
        <x:v>ROT-052</x:v>
      </x:c>
      <x:c r="M385" t="str">
        <x:v>Elétrica</x:v>
      </x:c>
      <x:c r="N385" t="str">
        <x:v>Fonte</x:v>
      </x:c>
      <x:c r="O385" t="str">
        <x:v>Sem alimentação</x:v>
      </x:c>
      <x:c r="P385" t="str">
        <x:v>Falha elétrica</x:v>
      </x:c>
      <x:c r="Q385" t="str">
        <x:v>Inspeção técnica e normalização demonstrativas de Elétrica; resolução sintética, sem confirmação de consumo de peças.</x:v>
      </x:c>
      <x:c r="R385" t="str">
        <x:v>Condomínio Alameda</x:v>
      </x:c>
      <x:c r="S385" t="str">
        <x:v>Não</x:v>
      </x:c>
      <x:c r="T385" t="str">
        <x:v>Não</x:v>
      </x:c>
      <x:c r="U385" t="str">
        <x:v>CT-2026-004</x:v>
      </x:c>
      <x:c r="V385" t="str">
        <x:v>SP-Sul</x:v>
      </x:c>
      <x:c r="W385" t="str">
        <x:v>Carlos Souza</x:v>
      </x:c>
      <x:c r="X385" t="str">
        <x:v>Supervisor B</x:v>
      </x:c>
      <x:c r="Y385" t="str">
        <x:v>Rota Sul 04</x:v>
      </x:c>
      <x:c r="Z385" t="str">
        <x:v>R. das Acácias, 420 - São Paulo/SP</x:v>
      </x:c>
      <x:c r="AA385" t="str">
        <x:v>São Paulo</x:v>
      </x:c>
      <x:c r="AB385" s="50" t="n">
        <x:v>46273.372916666696</x:v>
      </x:c>
      <x:c r="AC385" s="50" t="n">
        <x:v>46273.3756944445</x:v>
      </x:c>
      <x:c r="AD385" s="50" t="n">
        <x:v>46273.3784722222</x:v>
      </x:c>
      <x:c r="AE385" s="50" t="n">
        <x:v>46273.39930555559</x:v>
      </x:c>
      <x:c r="AF385" s="50" t="n">
        <x:v>46273.486111111146</x:v>
      </x:c>
      <x:c r="AG385" t="n">
        <x:v>38</x:v>
      </x:c>
      <x:c r="AH385" t="n">
        <x:v>120</x:v>
      </x:c>
      <x:c r="AI385" t="str">
        <x:v>Não</x:v>
      </x:c>
      <x:c r="AJ385" t="str">
        <x:v>Não</x:v>
      </x:c>
      <x:c r="AK385" t="n">
        <x:v>180</x:v>
      </x:c>
      <x:c r="AL385" t="n">
        <x:v>0</x:v>
      </x:c>
      <x:c r="AM385" s="64" t="n">
        <x:v>0.8778</x:v>
      </x:c>
      <x:c r="AN385" t="n">
        <x:v>0</x:v>
      </x:c>
      <x:c r="AO385" t="str">
        <x:v>Laranja</x:v>
      </x:c>
      <x:c r="AP385" t="str">
        <x:v>janela de intervenção: tempo acumulado ≥ 80% do SLA</x:v>
      </x:c>
      <x:c r="AQ385" t="str">
        <x:v>Encerramento demonstrativo de Elétrica; verificar fechamento e histórico para aprendizado. Sem despacho automático.</x:v>
      </x:c>
      <x:c r="AR385" s="62" t="n">
        <x:v>897</x:v>
      </x:c>
      <x:c r="AS385" t="str">
        <x:v>Médio</x:v>
      </x:c>
      <x:c r="AT385" s="50" t="n">
        <x:v>46273.708333333336</x:v>
      </x:c>
      <x:c r="AU385" t="str">
        <x:v>T11</x:v>
      </x:c>
      <x:c r="AV385" t="str">
        <x:v>T2 original + evolução sintética posterior</x:v>
      </x:c>
    </x:row>
    <x:row r="386">
      <x:c r="A386" t="str">
        <x:v>CH-20260908-023</x:v>
      </x:c>
      <x:c r="B386" t="str">
        <x:v>Botão de Chamada</x:v>
      </x:c>
      <x:c r="C386" t="str">
        <x:v>Botão não responde</x:v>
      </x:c>
      <x:c r="D386" t="str">
        <x:v>Botão de chamada não registra comando.</x:v>
      </x:c>
      <x:c r="E386" t="str">
        <x:v>Concluído</x:v>
      </x:c>
      <x:c r="F386" t="str">
        <x:v>Aplicativo Cliente</x:v>
      </x:c>
      <x:c r="G386" t="str">
        <x:v>E-123</x:v>
      </x:c>
      <x:c r="H386" t="str">
        <x:v>Elevador Social</x:v>
      </x:c>
      <x:c r="I386" t="str">
        <x:v>Microprocessado</x:v>
      </x:c>
      <x:c r="J386" t="str">
        <x:v>Gearless</x:v>
      </x:c>
      <x:c r="K386" t="str">
        <x:v>OTIS</x:v>
      </x:c>
      <x:c r="L386" t="str">
        <x:v>ROT-063</x:v>
      </x:c>
      <x:c r="M386" t="str">
        <x:v>Botoeira</x:v>
      </x:c>
      <x:c r="N386" t="str">
        <x:v>Contato</x:v>
      </x:c>
      <x:c r="O386" t="str">
        <x:v>Mau contato</x:v>
      </x:c>
      <x:c r="P386" t="str">
        <x:v>Falha de comando</x:v>
      </x:c>
      <x:c r="Q386" t="str">
        <x:v>Inspeção técnica e normalização demonstrativas de Botoeira; resolução sintética, sem confirmação de consumo de peças.</x:v>
      </x:c>
      <x:c r="R386" t="str">
        <x:v>Aeroporto Terminal 3</x:v>
      </x:c>
      <x:c r="S386" t="str">
        <x:v>Sim</x:v>
      </x:c>
      <x:c r="T386" t="str">
        <x:v>Sim</x:v>
      </x:c>
      <x:c r="U386" t="str">
        <x:v>CT-2026-005</x:v>
      </x:c>
      <x:c r="V386" t="str">
        <x:v>GRU</x:v>
      </x:c>
      <x:c r="W386" t="str">
        <x:v>Renata Alves</x:v>
      </x:c>
      <x:c r="X386" t="str">
        <x:v>Supervisor C</x:v>
      </x:c>
      <x:c r="Y386" t="str">
        <x:v>Rota GRU 05</x:v>
      </x:c>
      <x:c r="Z386" t="str">
        <x:v>Rod. Hélio Smidt, s/n - Guarulhos/SP</x:v>
      </x:c>
      <x:c r="AA386" t="str">
        <x:v>São Paulo</x:v>
      </x:c>
      <x:c r="AB386" s="50" t="n">
        <x:v>46273.3784722222</x:v>
      </x:c>
      <x:c r="AC386" s="50" t="n">
        <x:v>46273.3819444444</x:v>
      </x:c>
      <x:c r="AD386" s="50" t="n">
        <x:v>46273.386111111104</x:v>
      </x:c>
      <x:c r="AE386" s="50" t="n">
        <x:v>46273.41249999998</x:v>
      </x:c>
      <x:c r="AF386" s="50" t="n">
        <x:v>46273.48541666664</x:v>
      </x:c>
      <x:c r="AG386" t="n">
        <x:v>49</x:v>
      </x:c>
      <x:c r="AH386" t="n">
        <x:v>100</x:v>
      </x:c>
      <x:c r="AI386" t="str">
        <x:v>Não</x:v>
      </x:c>
      <x:c r="AJ386" t="str">
        <x:v>Não</x:v>
      </x:c>
      <x:c r="AK386" t="n">
        <x:v>45</x:v>
      </x:c>
      <x:c r="AL386" t="n">
        <x:v>0</x:v>
      </x:c>
      <x:c r="AM386" s="64" t="n">
        <x:v>3.3111</x:v>
      </x:c>
      <x:c r="AN386" t="n">
        <x:v>2</x:v>
      </x:c>
      <x:c r="AO386" t="str">
        <x:v>Vermelho</x:v>
      </x:c>
      <x:c r="AP386" t="str">
        <x:v>SLA sintético excedido (tempo acumulado ≥ 100% do SLA)</x:v>
      </x:c>
      <x:c r="AQ386" t="str">
        <x:v>Encerramento demonstrativo de Botoeira; verificar fechamento e histórico para aprendizado. Sem despacho automático.</x:v>
      </x:c>
      <x:c r="AR386" s="62" t="n">
        <x:v>545</x:v>
      </x:c>
      <x:c r="AS386" t="str">
        <x:v>Baixo</x:v>
      </x:c>
      <x:c r="AT386" s="50" t="n">
        <x:v>46273.708333333336</x:v>
      </x:c>
      <x:c r="AU386" t="str">
        <x:v>T11</x:v>
      </x:c>
      <x:c r="AV386" t="str">
        <x:v>T2 original + evolução sintética posterior</x:v>
      </x:c>
    </x:row>
    <x:row r="387">
      <x:c r="A387" t="str">
        <x:v>CH-20260908-024</x:v>
      </x:c>
      <x:c r="B387" t="str">
        <x:v>Parada Intermitente</x:v>
      </x:c>
      <x:c r="C387" t="str">
        <x:v>Paradas aleatórias</x:v>
      </x:c>
      <x:c r="D387" t="str">
        <x:v>Equipamento interrompe operação de forma intermitente.</x:v>
      </x:c>
      <x:c r="E387" t="str">
        <x:v>Concluído</x:v>
      </x:c>
      <x:c r="F387" t="str">
        <x:v>Monitoramento Remoto</x:v>
      </x:c>
      <x:c r="G387" t="str">
        <x:v>E-124</x:v>
      </x:c>
      <x:c r="H387" t="str">
        <x:v>Elevador Social</x:v>
      </x:c>
      <x:c r="I387" t="str">
        <x:v>Microprocessado</x:v>
      </x:c>
      <x:c r="J387" t="str">
        <x:v>Gearless</x:v>
      </x:c>
      <x:c r="K387" t="str">
        <x:v>OTIS</x:v>
      </x:c>
      <x:c r="L387" t="str">
        <x:v>ROT-074</x:v>
      </x:c>
      <x:c r="M387" t="str">
        <x:v>Painel/Comando</x:v>
      </x:c>
      <x:c r="N387" t="str">
        <x:v>Placa</x:v>
      </x:c>
      <x:c r="O387" t="str">
        <x:v>Intermitência</x:v>
      </x:c>
      <x:c r="P387" t="str">
        <x:v>Falha intermitente</x:v>
      </x:c>
      <x:c r="Q387" t="str">
        <x:v>Inspeção técnica e normalização demonstrativas de Painel/Comando; resolução sintética, sem confirmação de consumo de peças.</x:v>
      </x:c>
      <x:c r="R387" t="str">
        <x:v>Universidade Central</x:v>
      </x:c>
      <x:c r="S387" t="str">
        <x:v>Não</x:v>
      </x:c>
      <x:c r="T387" t="str">
        <x:v>Sim</x:v>
      </x:c>
      <x:c r="U387" t="str">
        <x:v>CT-2026-006</x:v>
      </x:c>
      <x:c r="V387" t="str">
        <x:v>SP-Leste</x:v>
      </x:c>
      <x:c r="W387" t="str">
        <x:v>Paulo Mendes</x:v>
      </x:c>
      <x:c r="X387" t="str">
        <x:v>Supervisor D</x:v>
      </x:c>
      <x:c r="Y387" t="str">
        <x:v>Rota Leste 06</x:v>
      </x:c>
      <x:c r="Z387" t="str">
        <x:v>Av. Central, 850 - São Paulo/SP</x:v>
      </x:c>
      <x:c r="AA387" t="str">
        <x:v>São Paulo</x:v>
      </x:c>
      <x:c r="AB387" s="50" t="n">
        <x:v>46273.3854166667</x:v>
      </x:c>
      <x:c r="AC387" s="50" t="n">
        <x:v>46273.3895833333</x:v>
      </x:c>
      <x:c r="AD387" s="50" t="n">
        <x:v>46273.3909722222</x:v>
      </x:c>
      <x:c r="AE387" s="50" t="n">
        <x:v>46273.423611111146</x:v>
      </x:c>
      <x:c r="AF387" s="50" t="n">
        <x:v>46273.538194444474</x:v>
      </x:c>
      <x:c r="AG387" t="n">
        <x:v>55</x:v>
      </x:c>
      <x:c r="AH387" t="n">
        <x:v>160</x:v>
      </x:c>
      <x:c r="AI387" t="str">
        <x:v>Não</x:v>
      </x:c>
      <x:c r="AJ387" t="str">
        <x:v>Sim</x:v>
      </x:c>
      <x:c r="AK387" t="n">
        <x:v>120</x:v>
      </x:c>
      <x:c r="AL387" t="n">
        <x:v>0</x:v>
      </x:c>
      <x:c r="AM387" s="64" t="n">
        <x:v>1.7917</x:v>
      </x:c>
      <x:c r="AN387" t="n">
        <x:v>4</x:v>
      </x:c>
      <x:c r="AO387" t="str">
        <x:v>Vermelho</x:v>
      </x:c>
      <x:c r="AP387" t="str">
        <x:v>SLA sintético excedido (tempo acumulado ≥ 100% do SLA)</x:v>
      </x:c>
      <x:c r="AQ387" t="str">
        <x:v>Encerramento demonstrativo de Painel/Comando; verificar fechamento e histórico para aprendizado. Sem despacho automático.</x:v>
      </x:c>
      <x:c r="AR387" s="62" t="n">
        <x:v>1386</x:v>
      </x:c>
      <x:c r="AS387" t="str">
        <x:v>Alto</x:v>
      </x:c>
      <x:c r="AT387" s="50" t="n">
        <x:v>46273.708333333336</x:v>
      </x:c>
      <x:c r="AU387" t="str">
        <x:v>T11</x:v>
      </x:c>
      <x:c r="AV387" t="str">
        <x:v>T2 original + evolução sintética posterior</x:v>
      </x:c>
    </x:row>
    <x:row r="388">
      <x:c r="A388" t="str">
        <x:v>CH-20260908-025</x:v>
      </x:c>
      <x:c r="B388" t="str">
        <x:v>Falha de Tração</x:v>
      </x:c>
      <x:c r="C388" t="str">
        <x:v>Movimento irregular</x:v>
      </x:c>
      <x:c r="D388" t="str">
        <x:v>Equipamento apresenta perda de tração.</x:v>
      </x:c>
      <x:c r="E388" t="str">
        <x:v>Concluído</x:v>
      </x:c>
      <x:c r="F388" t="str">
        <x:v>Central de Atendimento</x:v>
      </x:c>
      <x:c r="G388" t="str">
        <x:v>E-125</x:v>
      </x:c>
      <x:c r="H388" t="str">
        <x:v>Elevador Social</x:v>
      </x:c>
      <x:c r="I388" t="str">
        <x:v>Microprocessado</x:v>
      </x:c>
      <x:c r="J388" t="str">
        <x:v>Gearless</x:v>
      </x:c>
      <x:c r="K388" t="str">
        <x:v>OTIS</x:v>
      </x:c>
      <x:c r="L388" t="str">
        <x:v>ROT-041</x:v>
      </x:c>
      <x:c r="M388" t="str">
        <x:v>Máquina de Tração</x:v>
      </x:c>
      <x:c r="N388" t="str">
        <x:v>Inversor</x:v>
      </x:c>
      <x:c r="O388" t="str">
        <x:v>Oscilação</x:v>
      </x:c>
      <x:c r="P388" t="str">
        <x:v>Falha de movimento</x:v>
      </x:c>
      <x:c r="Q388" t="str">
        <x:v>Diagnóstico e teste funcional simulados em Máquina de Tração; encerramento demonstrativo, sem movimentação de estoque comprovada.</x:v>
      </x:c>
      <x:c r="R388" t="str">
        <x:v>Aeroporto Terminal 3</x:v>
      </x:c>
      <x:c r="S388" t="str">
        <x:v>Sim</x:v>
      </x:c>
      <x:c r="T388" t="str">
        <x:v>Sim</x:v>
      </x:c>
      <x:c r="U388" t="str">
        <x:v>CT-2026-005</x:v>
      </x:c>
      <x:c r="V388" t="str">
        <x:v>GRU</x:v>
      </x:c>
      <x:c r="W388" t="str">
        <x:v>Renata Alves</x:v>
      </x:c>
      <x:c r="X388" t="str">
        <x:v>Supervisor A</x:v>
      </x:c>
      <x:c r="Y388" t="str">
        <x:v>Rota GRU 05</x:v>
      </x:c>
      <x:c r="Z388" t="str">
        <x:v>Rod. Hélio Smidt, s/n - Guarulhos/SP</x:v>
      </x:c>
      <x:c r="AA388" t="str">
        <x:v>São Paulo</x:v>
      </x:c>
      <x:c r="AB388" s="50" t="n">
        <x:v>46273.4</x:v>
      </x:c>
      <x:c r="AC388" s="50" t="n">
        <x:v>46273.402083333334</x:v>
      </x:c>
      <x:c r="AD388" s="50" t="n">
        <x:v>46273.40555555555</x:v>
      </x:c>
      <x:c r="AE388" s="50" t="n">
        <x:v>46273.427083333336</x:v>
      </x:c>
      <x:c r="AF388" s="50" t="n">
        <x:v>46273.461805555555</x:v>
      </x:c>
      <x:c r="AG388" t="n">
        <x:v>39</x:v>
      </x:c>
      <x:c r="AH388" t="n">
        <x:v>45</x:v>
      </x:c>
      <x:c r="AI388" t="str">
        <x:v>Não</x:v>
      </x:c>
      <x:c r="AJ388" t="str">
        <x:v>Sim</x:v>
      </x:c>
      <x:c r="AK388" t="n">
        <x:v>45</x:v>
      </x:c>
      <x:c r="AL388" t="n">
        <x:v>0</x:v>
      </x:c>
      <x:c r="AM388" s="64" t="n">
        <x:v>1.8667</x:v>
      </x:c>
      <x:c r="AN388" t="n">
        <x:v>1</x:v>
      </x:c>
      <x:c r="AO388" t="str">
        <x:v>Vermelho</x:v>
      </x:c>
      <x:c r="AP388" t="str">
        <x:v>SLA sintético excedido (tempo acumulado ≥ 100% do SLA)</x:v>
      </x:c>
      <x:c r="AQ388" t="str">
        <x:v>Encerramento demonstrativo de Máquina de Tração; verificar fechamento e histórico para aprendizado. Sem despacho automático.</x:v>
      </x:c>
      <x:c r="AR388" s="62" t="n">
        <x:v>1297.5</x:v>
      </x:c>
      <x:c r="AS388" t="str">
        <x:v>Alto</x:v>
      </x:c>
      <x:c r="AT388" s="50" t="n">
        <x:v>46273.708333333336</x:v>
      </x:c>
      <x:c r="AU388" t="str">
        <x:v>T11</x:v>
      </x:c>
      <x:c r="AV388" t="str">
        <x:v>Ocorrência adicional sintética; perfil inspirado em CH-20260908-005</x:v>
      </x:c>
    </x:row>
    <x:row r="389">
      <x:c r="A389" t="str">
        <x:v>CH-20260908-026</x:v>
      </x:c>
      <x:c r="B389" t="str">
        <x:v>Painel sem comunicação</x:v>
      </x:c>
      <x:c r="C389" t="str">
        <x:v>Falha de comunicação</x:v>
      </x:c>
      <x:c r="D389" t="str">
        <x:v>Painel não responde aos comandos.</x:v>
      </x:c>
      <x:c r="E389" t="str">
        <x:v>Concluído</x:v>
      </x:c>
      <x:c r="F389" t="str">
        <x:v>Monitoramento Remoto</x:v>
      </x:c>
      <x:c r="G389" t="str">
        <x:v>E-126</x:v>
      </x:c>
      <x:c r="H389" t="str">
        <x:v>Elevador Social</x:v>
      </x:c>
      <x:c r="I389" t="str">
        <x:v>Microprocessado</x:v>
      </x:c>
      <x:c r="J389" t="str">
        <x:v>Gearless</x:v>
      </x:c>
      <x:c r="K389" t="str">
        <x:v>OTIS</x:v>
      </x:c>
      <x:c r="L389" t="str">
        <x:v>ROT-033</x:v>
      </x:c>
      <x:c r="M389" t="str">
        <x:v>Painel/Comando</x:v>
      </x:c>
      <x:c r="N389" t="str">
        <x:v>Interface</x:v>
      </x:c>
      <x:c r="O389" t="str">
        <x:v>Sem comunicação</x:v>
      </x:c>
      <x:c r="P389" t="str">
        <x:v>Falha lógica</x:v>
      </x:c>
      <x:c r="Q389" t="str">
        <x:v>Diagnóstico e teste funcional simulados em Painel/Comando; encerramento demonstrativo, sem movimentação de estoque comprovada.</x:v>
      </x:c>
      <x:c r="R389" t="str">
        <x:v>Universidade Central</x:v>
      </x:c>
      <x:c r="S389" t="str">
        <x:v>Não</x:v>
      </x:c>
      <x:c r="T389" t="str">
        <x:v>Sim</x:v>
      </x:c>
      <x:c r="U389" t="str">
        <x:v>CT-2026-006</x:v>
      </x:c>
      <x:c r="V389" t="str">
        <x:v>SP-Leste</x:v>
      </x:c>
      <x:c r="W389" t="str">
        <x:v>Paulo Mendes</x:v>
      </x:c>
      <x:c r="X389" t="str">
        <x:v>Supervisor D</x:v>
      </x:c>
      <x:c r="Y389" t="str">
        <x:v>Rota Leste 06</x:v>
      </x:c>
      <x:c r="Z389" t="str">
        <x:v>Av. Central, 850 - São Paulo/SP</x:v>
      </x:c>
      <x:c r="AA389" t="str">
        <x:v>São Paulo</x:v>
      </x:c>
      <x:c r="AB389" s="50" t="n">
        <x:v>46273.40972222222</x:v>
      </x:c>
      <x:c r="AC389" s="50" t="n">
        <x:v>46273.4125</x:v>
      </x:c>
      <x:c r="AD389" s="50" t="n">
        <x:v>46273.416666666664</x:v>
      </x:c>
      <x:c r="AE389" s="50" t="n">
        <x:v>46273.44583333333</x:v>
      </x:c>
      <x:c r="AF389" s="50" t="n">
        <x:v>46273.49236111111</x:v>
      </x:c>
      <x:c r="AG389" t="n">
        <x:v>52</x:v>
      </x:c>
      <x:c r="AH389" t="n">
        <x:v>62</x:v>
      </x:c>
      <x:c r="AI389" t="str">
        <x:v>Não</x:v>
      </x:c>
      <x:c r="AJ389" t="str">
        <x:v>Não</x:v>
      </x:c>
      <x:c r="AK389" t="n">
        <x:v>120</x:v>
      </x:c>
      <x:c r="AL389" t="n">
        <x:v>0</x:v>
      </x:c>
      <x:c r="AM389" s="64" t="n">
        <x:v>0.95</x:v>
      </x:c>
      <x:c r="AN389" t="n">
        <x:v>3</x:v>
      </x:c>
      <x:c r="AO389" t="str">
        <x:v>Laranja</x:v>
      </x:c>
      <x:c r="AP389" t="str">
        <x:v>janela de intervenção: tempo acumulado ≥ 80% do SLA</x:v>
      </x:c>
      <x:c r="AQ389" t="str">
        <x:v>Encerramento demonstrativo de Painel/Comando; verificar fechamento e histórico para aprendizado. Sem despacho automático.</x:v>
      </x:c>
      <x:c r="AR389" s="62" t="n">
        <x:v>1357</x:v>
      </x:c>
      <x:c r="AS389" t="str">
        <x:v>Alto</x:v>
      </x:c>
      <x:c r="AT389" s="50" t="n">
        <x:v>46273.708333333336</x:v>
      </x:c>
      <x:c r="AU389" t="str">
        <x:v>T11</x:v>
      </x:c>
      <x:c r="AV389" t="str">
        <x:v>Ocorrência adicional sintética; perfil inspirado em CH-20260908-012</x:v>
      </x:c>
    </x:row>
    <x:row r="390">
      <x:c r="A390" t="str">
        <x:v>CH-20260908-027</x:v>
      </x:c>
      <x:c r="B390" t="str">
        <x:v>Porta não fecha</x:v>
      </x:c>
      <x:c r="C390" t="str">
        <x:v>Falha no fechamento</x:v>
      </x:c>
      <x:c r="D390" t="str">
        <x:v>Porta permanece aberta e impede partida.</x:v>
      </x:c>
      <x:c r="E390" t="str">
        <x:v>Concluído</x:v>
      </x:c>
      <x:c r="F390" t="str">
        <x:v>Aplicativo Cliente</x:v>
      </x:c>
      <x:c r="G390" t="str">
        <x:v>E-127</x:v>
      </x:c>
      <x:c r="H390" t="str">
        <x:v>Elevador Social</x:v>
      </x:c>
      <x:c r="I390" t="str">
        <x:v>Microprocessado</x:v>
      </x:c>
      <x:c r="J390" t="str">
        <x:v>Gearless</x:v>
      </x:c>
      <x:c r="K390" t="str">
        <x:v>OTIS</x:v>
      </x:c>
      <x:c r="L390" t="str">
        <x:v>ROT-021</x:v>
      </x:c>
      <x:c r="M390" t="str">
        <x:v>Operador de Porta</x:v>
      </x:c>
      <x:c r="N390" t="str">
        <x:v>Sensor de porta</x:v>
      </x:c>
      <x:c r="O390" t="str">
        <x:v>Falha de leitura</x:v>
      </x:c>
      <x:c r="P390" t="str">
        <x:v>Porta aberta</x:v>
      </x:c>
      <x:c r="Q390" t="str">
        <x:v>Diagnóstico e teste funcional simulados em Operador de Porta; encerramento demonstrativo, sem movimentação de estoque comprovada.</x:v>
      </x:c>
      <x:c r="R390" t="str">
        <x:v>Hospital São Paulo</x:v>
      </x:c>
      <x:c r="S390" t="str">
        <x:v>Sim</x:v>
      </x:c>
      <x:c r="T390" t="str">
        <x:v>Sim</x:v>
      </x:c>
      <x:c r="U390" t="str">
        <x:v>CT-2026-001</x:v>
      </x:c>
      <x:c r="V390" t="str">
        <x:v>SP-Centro</x:v>
      </x:c>
      <x:c r="W390" t="str">
        <x:v>João Silva</x:v>
      </x:c>
      <x:c r="X390" t="str">
        <x:v>Supervisor C</x:v>
      </x:c>
      <x:c r="Y390" t="str">
        <x:v>Rota Centro 01</x:v>
      </x:c>
      <x:c r="Z390" t="str">
        <x:v>Av. Paulista, 1000 - São Paulo/SP</x:v>
      </x:c>
      <x:c r="AA390" t="str">
        <x:v>São Paulo</x:v>
      </x:c>
      <x:c r="AB390" s="50" t="n">
        <x:v>46273.419444444444</x:v>
      </x:c>
      <x:c r="AC390" s="50" t="n">
        <x:v>46273.42291666667</x:v>
      </x:c>
      <x:c r="AD390" s="50" t="n">
        <x:v>46273.427777777775</x:v>
      </x:c>
      <x:c r="AE390" s="50" t="n">
        <x:v>46273.464583333334</x:v>
      </x:c>
      <x:c r="AF390" s="50" t="n">
        <x:v>46273.52291666667</x:v>
      </x:c>
      <x:c r="AG390" t="n">
        <x:v>65</x:v>
      </x:c>
      <x:c r="AH390" t="n">
        <x:v>79</x:v>
      </x:c>
      <x:c r="AI390" t="str">
        <x:v>Não</x:v>
      </x:c>
      <x:c r="AJ390" t="str">
        <x:v>Não</x:v>
      </x:c>
      <x:c r="AK390" t="n">
        <x:v>60</x:v>
      </x:c>
      <x:c r="AL390" t="n">
        <x:v>0</x:v>
      </x:c>
      <x:c r="AM390" s="64" t="n">
        <x:v>2.4</x:v>
      </x:c>
      <x:c r="AN390" t="n">
        <x:v>2</x:v>
      </x:c>
      <x:c r="AO390" t="str">
        <x:v>Vermelho</x:v>
      </x:c>
      <x:c r="AP390" t="str">
        <x:v>SLA sintético excedido (tempo acumulado ≥ 100% do SLA)</x:v>
      </x:c>
      <x:c r="AQ390" t="str">
        <x:v>Encerramento demonstrativo de Operador de Porta; verificar fechamento e histórico para aprendizado. Sem despacho automático.</x:v>
      </x:c>
      <x:c r="AR390" s="62" t="n">
        <x:v>833.5</x:v>
      </x:c>
      <x:c r="AS390" t="str">
        <x:v>Baixo</x:v>
      </x:c>
      <x:c r="AT390" s="50" t="n">
        <x:v>46273.708333333336</x:v>
      </x:c>
      <x:c r="AU390" t="str">
        <x:v>T11</x:v>
      </x:c>
      <x:c r="AV390" t="str">
        <x:v>Ocorrência adicional sintética; perfil inspirado em CH-20260908-019</x:v>
      </x:c>
    </x:row>
    <x:row r="391">
      <x:c r="A391" t="str">
        <x:v>CH-20260908-028</x:v>
      </x:c>
      <x:c r="B391" t="str">
        <x:v>Falha de Nivelamento</x:v>
      </x:c>
      <x:c r="C391" t="str">
        <x:v>Cabine desnivelada</x:v>
      </x:c>
      <x:c r="D391" t="str">
        <x:v>Cabine parou fora do nível do pavimento.</x:v>
      </x:c>
      <x:c r="E391" t="str">
        <x:v>Concluído</x:v>
      </x:c>
      <x:c r="F391" t="str">
        <x:v>IoT</x:v>
      </x:c>
      <x:c r="G391" t="str">
        <x:v>E-128</x:v>
      </x:c>
      <x:c r="H391" t="str">
        <x:v>Elevador Social</x:v>
      </x:c>
      <x:c r="I391" t="str">
        <x:v>Microprocessado</x:v>
      </x:c>
      <x:c r="J391" t="str">
        <x:v>Gearless</x:v>
      </x:c>
      <x:c r="K391" t="str">
        <x:v>OTIS</x:v>
      </x:c>
      <x:c r="L391" t="str">
        <x:v>ROT-014</x:v>
      </x:c>
      <x:c r="M391" t="str">
        <x:v>Sensor de Nível</x:v>
      </x:c>
      <x:c r="N391" t="str">
        <x:v>Sensor</x:v>
      </x:c>
      <x:c r="O391" t="str">
        <x:v>Leitura inconsistente</x:v>
      </x:c>
      <x:c r="P391" t="str">
        <x:v>Falha de nivelamento</x:v>
      </x:c>
      <x:c r="Q391" t="str">
        <x:v>Diagnóstico e teste funcional simulados em Sensor de Nível; encerramento demonstrativo, sem movimentação de estoque comprovada.</x:v>
      </x:c>
      <x:c r="R391" t="str">
        <x:v>Shopping Center Norte</x:v>
      </x:c>
      <x:c r="S391" t="str">
        <x:v>Não</x:v>
      </x:c>
      <x:c r="T391" t="str">
        <x:v>Sim</x:v>
      </x:c>
      <x:c r="U391" t="str">
        <x:v>CT-2026-002</x:v>
      </x:c>
      <x:c r="V391" t="str">
        <x:v>SP-Norte</x:v>
      </x:c>
      <x:c r="W391" t="str">
        <x:v>Marcos Lima</x:v>
      </x:c>
      <x:c r="X391" t="str">
        <x:v>Supervisor B</x:v>
      </x:c>
      <x:c r="Y391" t="str">
        <x:v>Rota Norte 02</x:v>
      </x:c>
      <x:c r="Z391" t="str">
        <x:v>Av. Otto Baumgart, 245 - São Paulo/SP</x:v>
      </x:c>
      <x:c r="AA391" t="str">
        <x:v>São Paulo</x:v>
      </x:c>
      <x:c r="AB391" s="50" t="n">
        <x:v>46273.43125</x:v>
      </x:c>
      <x:c r="AC391" s="50" t="n">
        <x:v>46273.43263888889</x:v>
      </x:c>
      <x:c r="AD391" s="50" t="n">
        <x:v>46273.43819444445</x:v>
      </x:c>
      <x:c r="AE391" s="50" t="n">
        <x:v>46273.45</x:v>
      </x:c>
      <x:c r="AF391" s="50" t="n">
        <x:v>46273.606944444444</x:v>
      </x:c>
      <x:c r="AG391" t="n">
        <x:v>27</x:v>
      </x:c>
      <x:c r="AH391" t="n">
        <x:v>221</x:v>
      </x:c>
      <x:c r="AI391" t="str">
        <x:v>Não</x:v>
      </x:c>
      <x:c r="AJ391" t="str">
        <x:v>Não</x:v>
      </x:c>
      <x:c r="AK391" t="n">
        <x:v>90</x:v>
      </x:c>
      <x:c r="AL391" t="n">
        <x:v>0</x:v>
      </x:c>
      <x:c r="AM391" s="64" t="n">
        <x:v>2.7556</x:v>
      </x:c>
      <x:c r="AN391" t="n">
        <x:v>1</x:v>
      </x:c>
      <x:c r="AO391" t="str">
        <x:v>Vermelho</x:v>
      </x:c>
      <x:c r="AP391" t="str">
        <x:v>SLA sintético excedido (tempo acumulado ≥ 100% do SLA)</x:v>
      </x:c>
      <x:c r="AQ391" t="str">
        <x:v>Encerramento demonstrativo de Sensor de Nível; verificar fechamento e histórico para aprendizado. Sem despacho automático.</x:v>
      </x:c>
      <x:c r="AR391" s="62" t="n">
        <x:v>818</x:v>
      </x:c>
      <x:c r="AS391" t="str">
        <x:v>Baixo</x:v>
      </x:c>
      <x:c r="AT391" s="50" t="n">
        <x:v>46273.708333333336</x:v>
      </x:c>
      <x:c r="AU391" t="str">
        <x:v>T11</x:v>
      </x:c>
      <x:c r="AV391" t="str">
        <x:v>Ocorrência adicional sintética; perfil inspirado em CH-20260908-002</x:v>
      </x:c>
    </x:row>
    <x:row r="392">
      <x:c r="A392" t="str">
        <x:v>CH-20260908-029</x:v>
      </x:c>
      <x:c r="B392" t="str">
        <x:v>Passageiro Preso</x:v>
      </x:c>
      <x:c r="C392" t="str">
        <x:v>Elevador parado entre andares</x:v>
      </x:c>
      <x:c r="D392" t="str">
        <x:v>Cabine imobilizada com passageiro no interior.</x:v>
      </x:c>
      <x:c r="E392" t="str">
        <x:v>Concluído</x:v>
      </x:c>
      <x:c r="F392" t="str">
        <x:v>Central de Atendimento</x:v>
      </x:c>
      <x:c r="G392" t="str">
        <x:v>E-108</x:v>
      </x:c>
      <x:c r="H392" t="str">
        <x:v>Elevador Social</x:v>
      </x:c>
      <x:c r="I392" t="str">
        <x:v>Microprocessado</x:v>
      </x:c>
      <x:c r="J392" t="str">
        <x:v>Gearless</x:v>
      </x:c>
      <x:c r="K392" t="str">
        <x:v>OTIS</x:v>
      </x:c>
      <x:c r="L392" t="str">
        <x:v>ROT-001</x:v>
      </x:c>
      <x:c r="M392" t="str">
        <x:v>Tração</x:v>
      </x:c>
      <x:c r="N392" t="str">
        <x:v>Freio</x:v>
      </x:c>
      <x:c r="O392" t="str">
        <x:v>Travamento</x:v>
      </x:c>
      <x:c r="P392" t="str">
        <x:v>Parada total</x:v>
      </x:c>
      <x:c r="Q392" t="str">
        <x:v>Diagnóstico e teste funcional simulados em Tração; encerramento demonstrativo, sem movimentação de estoque comprovada.</x:v>
      </x:c>
      <x:c r="R392" t="str">
        <x:v>Edifício Corporate</x:v>
      </x:c>
      <x:c r="S392" t="str">
        <x:v>Não</x:v>
      </x:c>
      <x:c r="T392" t="str">
        <x:v>Sim</x:v>
      </x:c>
      <x:c r="U392" t="str">
        <x:v>CT-2026-003</x:v>
      </x:c>
      <x:c r="V392" t="str">
        <x:v>SP-Oeste</x:v>
      </x:c>
      <x:c r="W392" t="str">
        <x:v>Ana Costa</x:v>
      </x:c>
      <x:c r="X392" t="str">
        <x:v>Supervisor A</x:v>
      </x:c>
      <x:c r="Y392" t="str">
        <x:v>Rota Oeste 03</x:v>
      </x:c>
      <x:c r="Z392" t="str">
        <x:v>Av. Faria Lima, 3500 - São Paulo/SP</x:v>
      </x:c>
      <x:c r="AA392" t="str">
        <x:v>São Paulo</x:v>
      </x:c>
      <x:c r="AB392" s="50" t="n">
        <x:v>46273.44097222222</x:v>
      </x:c>
      <x:c r="AC392" s="50" t="n">
        <x:v>46273.44305555556</x:v>
      </x:c>
      <x:c r="AD392" s="50" t="n">
        <x:v>46273.44930555556</x:v>
      </x:c>
      <x:c r="AE392" s="50" t="n">
        <x:v>46273.46875</x:v>
      </x:c>
      <x:c r="AF392" s="50" t="n">
        <x:v>46273.55069444444</x:v>
      </x:c>
      <x:c r="AG392" t="n">
        <x:v>40</x:v>
      </x:c>
      <x:c r="AH392" t="n">
        <x:v>113</x:v>
      </x:c>
      <x:c r="AI392" t="str">
        <x:v>Sim</x:v>
      </x:c>
      <x:c r="AJ392" t="str">
        <x:v>Sim</x:v>
      </x:c>
      <x:c r="AK392" t="n">
        <x:v>120</x:v>
      </x:c>
      <x:c r="AL392" t="n">
        <x:v>0</x:v>
      </x:c>
      <x:c r="AM392" s="64" t="n">
        <x:v>1.275</x:v>
      </x:c>
      <x:c r="AN392" t="n">
        <x:v>2</x:v>
      </x:c>
      <x:c r="AO392" t="str">
        <x:v>Vermelho</x:v>
      </x:c>
      <x:c r="AP392" t="str">
        <x:v>SLA sintético excedido (tempo acumulado ≥ 100% do SLA)</x:v>
      </x:c>
      <x:c r="AQ392" t="str">
        <x:v>Encerramento demonstrativo de Tração; verificar fechamento e histórico para aprendizado. Sem despacho automático.</x:v>
      </x:c>
      <x:c r="AR392" s="62" t="n">
        <x:v>1162.5</x:v>
      </x:c>
      <x:c r="AS392" t="str">
        <x:v>Médio</x:v>
      </x:c>
      <x:c r="AT392" s="50" t="n">
        <x:v>46273.708333333336</x:v>
      </x:c>
      <x:c r="AU392" t="str">
        <x:v>T11</x:v>
      </x:c>
      <x:c r="AV392" t="str">
        <x:v>Ocorrência adicional sintética; perfil inspirado em CH-20260908-009</x:v>
      </x:c>
    </x:row>
    <x:row r="393">
      <x:c r="A393" t="str">
        <x:v>CH-20260908-030</x:v>
      </x:c>
      <x:c r="B393" t="str">
        <x:v>Parada Intermitente</x:v>
      </x:c>
      <x:c r="C393" t="str">
        <x:v>Paradas aleatórias</x:v>
      </x:c>
      <x:c r="D393" t="str">
        <x:v>Equipamento interrompe operação de forma intermitente.</x:v>
      </x:c>
      <x:c r="E393" t="str">
        <x:v>Concluído</x:v>
      </x:c>
      <x:c r="F393" t="str">
        <x:v>Monitoramento Remoto</x:v>
      </x:c>
      <x:c r="G393" t="str">
        <x:v>E-130</x:v>
      </x:c>
      <x:c r="H393" t="str">
        <x:v>Elevador Social</x:v>
      </x:c>
      <x:c r="I393" t="str">
        <x:v>Microprocessado</x:v>
      </x:c>
      <x:c r="J393" t="str">
        <x:v>Gearless</x:v>
      </x:c>
      <x:c r="K393" t="str">
        <x:v>OTIS</x:v>
      </x:c>
      <x:c r="L393" t="str">
        <x:v>ROT-074</x:v>
      </x:c>
      <x:c r="M393" t="str">
        <x:v>Painel/Comando</x:v>
      </x:c>
      <x:c r="N393" t="str">
        <x:v>Placa</x:v>
      </x:c>
      <x:c r="O393" t="str">
        <x:v>Intermitência</x:v>
      </x:c>
      <x:c r="P393" t="str">
        <x:v>Falha intermitente</x:v>
      </x:c>
      <x:c r="Q393" t="str">
        <x:v>Diagnóstico e teste funcional simulados em Painel/Comando; encerramento demonstrativo, sem movimentação de estoque comprovada.</x:v>
      </x:c>
      <x:c r="R393" t="str">
        <x:v>Condomínio Alameda</x:v>
      </x:c>
      <x:c r="S393" t="str">
        <x:v>Não</x:v>
      </x:c>
      <x:c r="T393" t="str">
        <x:v>Não</x:v>
      </x:c>
      <x:c r="U393" t="str">
        <x:v>CT-2026-004</x:v>
      </x:c>
      <x:c r="V393" t="str">
        <x:v>SP-Sul</x:v>
      </x:c>
      <x:c r="W393" t="str">
        <x:v>Carlos Souza</x:v>
      </x:c>
      <x:c r="X393" t="str">
        <x:v>Supervisor D</x:v>
      </x:c>
      <x:c r="Y393" t="str">
        <x:v>Rota Sul 04</x:v>
      </x:c>
      <x:c r="Z393" t="str">
        <x:v>R. das Acácias, 420 - São Paulo/SP</x:v>
      </x:c>
      <x:c r="AA393" t="str">
        <x:v>São Paulo</x:v>
      </x:c>
      <x:c r="AB393" s="50" t="n">
        <x:v>46273.450694444444</x:v>
      </x:c>
      <x:c r="AC393" s="50" t="n">
        <x:v>46273.45347222222</x:v>
      </x:c>
      <x:c r="AD393" s="50" t="n">
        <x:v>46273.45625</x:v>
      </x:c>
      <x:c r="AE393" s="50" t="n">
        <x:v>46273.4875</x:v>
      </x:c>
      <x:c r="AF393" s="50" t="n">
        <x:v>46273.52361111111</x:v>
      </x:c>
      <x:c r="AG393" t="n">
        <x:v>53</x:v>
      </x:c>
      <x:c r="AH393" t="n">
        <x:v>47</x:v>
      </x:c>
      <x:c r="AI393" t="str">
        <x:v>Não</x:v>
      </x:c>
      <x:c r="AJ393" t="str">
        <x:v>Sim</x:v>
      </x:c>
      <x:c r="AK393" t="n">
        <x:v>180</x:v>
      </x:c>
      <x:c r="AL393" t="n">
        <x:v>0</x:v>
      </x:c>
      <x:c r="AM393" s="64" t="n">
        <x:v>0.5556</x:v>
      </x:c>
      <x:c r="AN393" t="n">
        <x:v>4</x:v>
      </x:c>
      <x:c r="AO393" t="str">
        <x:v>Laranja</x:v>
      </x:c>
      <x:c r="AP393" t="str">
        <x:v>janela de intervenção: recorrência ≥ 4/30d e equipamento parado</x:v>
      </x:c>
      <x:c r="AQ393" t="str">
        <x:v>Encerramento demonstrativo de Painel/Comando; verificar fechamento e histórico para aprendizado. Sem despacho automático.</x:v>
      </x:c>
      <x:c r="AR393" s="62" t="n">
        <x:v>1795</x:v>
      </x:c>
      <x:c r="AS393" t="str">
        <x:v>Alto</x:v>
      </x:c>
      <x:c r="AT393" s="50" t="n">
        <x:v>46273.708333333336</x:v>
      </x:c>
      <x:c r="AU393" t="str">
        <x:v>T11</x:v>
      </x:c>
      <x:c r="AV393" t="str">
        <x:v>Ocorrência adicional sintética; perfil inspirado em CH-20260908-016</x:v>
      </x:c>
    </x:row>
    <x:row r="394">
      <x:c r="A394" t="str">
        <x:v>CH-20260908-031</x:v>
      </x:c>
      <x:c r="B394" t="str">
        <x:v>Botão de Chamada</x:v>
      </x:c>
      <x:c r="C394" t="str">
        <x:v>Botão não responde</x:v>
      </x:c>
      <x:c r="D394" t="str">
        <x:v>Botão de chamada não registra comando.</x:v>
      </x:c>
      <x:c r="E394" t="str">
        <x:v>Concluído</x:v>
      </x:c>
      <x:c r="F394" t="str">
        <x:v>Aplicativo Cliente</x:v>
      </x:c>
      <x:c r="G394" t="str">
        <x:v>E-131</x:v>
      </x:c>
      <x:c r="H394" t="str">
        <x:v>Elevador Social</x:v>
      </x:c>
      <x:c r="I394" t="str">
        <x:v>Microprocessado</x:v>
      </x:c>
      <x:c r="J394" t="str">
        <x:v>Gearless</x:v>
      </x:c>
      <x:c r="K394" t="str">
        <x:v>OTIS</x:v>
      </x:c>
      <x:c r="L394" t="str">
        <x:v>ROT-063</x:v>
      </x:c>
      <x:c r="M394" t="str">
        <x:v>Botoeira</x:v>
      </x:c>
      <x:c r="N394" t="str">
        <x:v>Contato</x:v>
      </x:c>
      <x:c r="O394" t="str">
        <x:v>Mau contato</x:v>
      </x:c>
      <x:c r="P394" t="str">
        <x:v>Falha de comando</x:v>
      </x:c>
      <x:c r="Q394" t="str">
        <x:v>Diagnóstico e teste funcional simulados em Botoeira; encerramento demonstrativo, sem movimentação de estoque comprovada.</x:v>
      </x:c>
      <x:c r="R394" t="str">
        <x:v>Aeroporto Terminal 3</x:v>
      </x:c>
      <x:c r="S394" t="str">
        <x:v>Sim</x:v>
      </x:c>
      <x:c r="T394" t="str">
        <x:v>Sim</x:v>
      </x:c>
      <x:c r="U394" t="str">
        <x:v>CT-2026-005</x:v>
      </x:c>
      <x:c r="V394" t="str">
        <x:v>GRU</x:v>
      </x:c>
      <x:c r="W394" t="str">
        <x:v>Renata Alves</x:v>
      </x:c>
      <x:c r="X394" t="str">
        <x:v>Supervisor C</x:v>
      </x:c>
      <x:c r="Y394" t="str">
        <x:v>Rota GRU 05</x:v>
      </x:c>
      <x:c r="Z394" t="str">
        <x:v>Rod. Hélio Smidt, s/n - Guarulhos/SP</x:v>
      </x:c>
      <x:c r="AA394" t="str">
        <x:v>São Paulo</x:v>
      </x:c>
      <x:c r="AB394" s="50" t="n">
        <x:v>46273.461805555555</x:v>
      </x:c>
      <x:c r="AC394" s="50" t="n">
        <x:v>46273.46527777778</x:v>
      </x:c>
      <x:c r="AD394" s="50" t="n">
        <x:v>46273.46875</x:v>
      </x:c>
      <x:c r="AE394" s="50" t="n">
        <x:v>46273.50763888889</x:v>
      </x:c>
      <x:c r="AF394" s="50" t="n">
        <x:v>46273.555555555555</x:v>
      </x:c>
      <x:c r="AG394" t="n">
        <x:v>66</x:v>
      </x:c>
      <x:c r="AH394" t="n">
        <x:v>64</x:v>
      </x:c>
      <x:c r="AI394" t="str">
        <x:v>Não</x:v>
      </x:c>
      <x:c r="AJ394" t="str">
        <x:v>Não</x:v>
      </x:c>
      <x:c r="AK394" t="n">
        <x:v>45</x:v>
      </x:c>
      <x:c r="AL394" t="n">
        <x:v>0</x:v>
      </x:c>
      <x:c r="AM394" s="64" t="n">
        <x:v>2.8889</x:v>
      </x:c>
      <x:c r="AN394" t="n">
        <x:v>2</x:v>
      </x:c>
      <x:c r="AO394" t="str">
        <x:v>Vermelho</x:v>
      </x:c>
      <x:c r="AP394" t="str">
        <x:v>SLA sintético excedido (tempo acumulado ≥ 100% do SLA)</x:v>
      </x:c>
      <x:c r="AQ394" t="str">
        <x:v>Encerramento demonstrativo de Botoeira; verificar fechamento e histórico para aprendizado. Sem despacho automático.</x:v>
      </x:c>
      <x:c r="AR394" s="62" t="n">
        <x:v>814.5</x:v>
      </x:c>
      <x:c r="AS394" t="str">
        <x:v>Baixo</x:v>
      </x:c>
      <x:c r="AT394" s="50" t="n">
        <x:v>46273.708333333336</x:v>
      </x:c>
      <x:c r="AU394" t="str">
        <x:v>T11</x:v>
      </x:c>
      <x:c r="AV394" t="str">
        <x:v>Ocorrência adicional sintética; perfil inspirado em CH-20260908-023</x:v>
      </x:c>
    </x:row>
    <x:row r="395">
      <x:c r="A395" t="str">
        <x:v>CH-20260908-032</x:v>
      </x:c>
      <x:c r="B395" t="str">
        <x:v>Iluminação de Cabine</x:v>
      </x:c>
      <x:c r="C395" t="str">
        <x:v>Iluminação inoperante</x:v>
      </x:c>
      <x:c r="D395" t="str">
        <x:v>Cabine com iluminação parcial ou total indisponível.</x:v>
      </x:c>
      <x:c r="E395" t="str">
        <x:v>Concluído</x:v>
      </x:c>
      <x:c r="F395" t="str">
        <x:v>IoT</x:v>
      </x:c>
      <x:c r="G395" t="str">
        <x:v>E-132</x:v>
      </x:c>
      <x:c r="H395" t="str">
        <x:v>Elevador Social</x:v>
      </x:c>
      <x:c r="I395" t="str">
        <x:v>Microprocessado</x:v>
      </x:c>
      <x:c r="J395" t="str">
        <x:v>Gearless</x:v>
      </x:c>
      <x:c r="K395" t="str">
        <x:v>OTIS</x:v>
      </x:c>
      <x:c r="L395" t="str">
        <x:v>ROT-052</x:v>
      </x:c>
      <x:c r="M395" t="str">
        <x:v>Elétrica</x:v>
      </x:c>
      <x:c r="N395" t="str">
        <x:v>Fonte</x:v>
      </x:c>
      <x:c r="O395" t="str">
        <x:v>Sem alimentação</x:v>
      </x:c>
      <x:c r="P395" t="str">
        <x:v>Falha elétrica</x:v>
      </x:c>
      <x:c r="Q395" t="str">
        <x:v>Diagnóstico e teste funcional simulados em Elétrica; encerramento demonstrativo, sem movimentação de estoque comprovada.</x:v>
      </x:c>
      <x:c r="R395" t="str">
        <x:v>Universidade Central</x:v>
      </x:c>
      <x:c r="S395" t="str">
        <x:v>Não</x:v>
      </x:c>
      <x:c r="T395" t="str">
        <x:v>Sim</x:v>
      </x:c>
      <x:c r="U395" t="str">
        <x:v>CT-2026-006</x:v>
      </x:c>
      <x:c r="V395" t="str">
        <x:v>SP-Leste</x:v>
      </x:c>
      <x:c r="W395" t="str">
        <x:v>Paulo Mendes</x:v>
      </x:c>
      <x:c r="X395" t="str">
        <x:v>Supervisor B</x:v>
      </x:c>
      <x:c r="Y395" t="str">
        <x:v>Rota Leste 06</x:v>
      </x:c>
      <x:c r="Z395" t="str">
        <x:v>Av. Central, 850 - São Paulo/SP</x:v>
      </x:c>
      <x:c r="AA395" t="str">
        <x:v>São Paulo</x:v>
      </x:c>
      <x:c r="AB395" s="50" t="n">
        <x:v>46273.46875</x:v>
      </x:c>
      <x:c r="AC395" s="50" t="n">
        <x:v>46273.470138888886</x:v>
      </x:c>
      <x:c r="AD395" s="50" t="n">
        <x:v>46273.47430555556</x:v>
      </x:c>
      <x:c r="AE395" s="50" t="n">
        <x:v>46273.48819444444</x:v>
      </x:c>
      <x:c r="AF395" s="50" t="n">
        <x:v>46273.54791666667</x:v>
      </x:c>
      <x:c r="AG395" t="n">
        <x:v>28</x:v>
      </x:c>
      <x:c r="AH395" t="n">
        <x:v>81</x:v>
      </x:c>
      <x:c r="AI395" t="str">
        <x:v>Não</x:v>
      </x:c>
      <x:c r="AJ395" t="str">
        <x:v>Não</x:v>
      </x:c>
      <x:c r="AK395" t="n">
        <x:v>120</x:v>
      </x:c>
      <x:c r="AL395" t="n">
        <x:v>0</x:v>
      </x:c>
      <x:c r="AM395" s="64" t="n">
        <x:v>0.9083</x:v>
      </x:c>
      <x:c r="AN395" t="n">
        <x:v>0</x:v>
      </x:c>
      <x:c r="AO395" t="str">
        <x:v>Laranja</x:v>
      </x:c>
      <x:c r="AP395" t="str">
        <x:v>janela de intervenção: tempo acumulado ≥ 80% do SLA</x:v>
      </x:c>
      <x:c r="AQ395" t="str">
        <x:v>Encerramento demonstrativo de Elétrica; verificar fechamento e histórico para aprendizado. Sem despacho automático.</x:v>
      </x:c>
      <x:c r="AR395" s="62" t="n">
        <x:v>507</x:v>
      </x:c>
      <x:c r="AS395" t="str">
        <x:v>Baixo</x:v>
      </x:c>
      <x:c r="AT395" s="50" t="n">
        <x:v>46273.708333333336</x:v>
      </x:c>
      <x:c r="AU395" t="str">
        <x:v>T11</x:v>
      </x:c>
      <x:c r="AV395" t="str">
        <x:v>Ocorrência adicional sintética; perfil inspirado em CH-20260908-006</x:v>
      </x:c>
    </x:row>
    <x:row r="396">
      <x:c r="A396" t="str">
        <x:v>CH-20260908-033</x:v>
      </x:c>
      <x:c r="B396" t="str">
        <x:v>Falha de Tração</x:v>
      </x:c>
      <x:c r="C396" t="str">
        <x:v>Movimento irregular</x:v>
      </x:c>
      <x:c r="D396" t="str">
        <x:v>Equipamento apresenta perda de tração.</x:v>
      </x:c>
      <x:c r="E396" t="str">
        <x:v>Concluído</x:v>
      </x:c>
      <x:c r="F396" t="str">
        <x:v>Central de Atendimento</x:v>
      </x:c>
      <x:c r="G396" t="str">
        <x:v>E-133</x:v>
      </x:c>
      <x:c r="H396" t="str">
        <x:v>Elevador Social</x:v>
      </x:c>
      <x:c r="I396" t="str">
        <x:v>Microprocessado</x:v>
      </x:c>
      <x:c r="J396" t="str">
        <x:v>Gearless</x:v>
      </x:c>
      <x:c r="K396" t="str">
        <x:v>OTIS</x:v>
      </x:c>
      <x:c r="L396" t="str">
        <x:v>ROT-041</x:v>
      </x:c>
      <x:c r="M396" t="str">
        <x:v>Máquina de Tração</x:v>
      </x:c>
      <x:c r="N396" t="str">
        <x:v>Inversor</x:v>
      </x:c>
      <x:c r="O396" t="str">
        <x:v>Oscilação</x:v>
      </x:c>
      <x:c r="P396" t="str">
        <x:v>Falha de movimento</x:v>
      </x:c>
      <x:c r="Q396" t="str">
        <x:v>Diagnóstico e teste funcional simulados em Máquina de Tração; encerramento demonstrativo, sem movimentação de estoque comprovada.</x:v>
      </x:c>
      <x:c r="R396" t="str">
        <x:v>Hospital São Paulo</x:v>
      </x:c>
      <x:c r="S396" t="str">
        <x:v>Sim</x:v>
      </x:c>
      <x:c r="T396" t="str">
        <x:v>Sim</x:v>
      </x:c>
      <x:c r="U396" t="str">
        <x:v>CT-2026-001</x:v>
      </x:c>
      <x:c r="V396" t="str">
        <x:v>SP-Centro</x:v>
      </x:c>
      <x:c r="W396" t="str">
        <x:v>João Silva</x:v>
      </x:c>
      <x:c r="X396" t="str">
        <x:v>Supervisor A</x:v>
      </x:c>
      <x:c r="Y396" t="str">
        <x:v>Rota Centro 01</x:v>
      </x:c>
      <x:c r="Z396" t="str">
        <x:v>Av. Paulista, 1000 - São Paulo/SP</x:v>
      </x:c>
      <x:c r="AA396" t="str">
        <x:v>São Paulo</x:v>
      </x:c>
      <x:c r="AB396" s="50" t="n">
        <x:v>46273.47638888889</x:v>
      </x:c>
      <x:c r="AC396" s="50" t="n">
        <x:v>46273.478472222225</x:v>
      </x:c>
      <x:c r="AD396" s="50" t="n">
        <x:v>46273.48333333333</x:v>
      </x:c>
      <x:c r="AE396" s="50" t="n">
        <x:v>46273.50486111111</x:v>
      </x:c>
      <x:c r="AF396" s="50" t="n">
        <x:v>46273.64236111111</x:v>
      </x:c>
      <x:c r="AG396" t="n">
        <x:v>41</x:v>
      </x:c>
      <x:c r="AH396" t="n">
        <x:v>193</x:v>
      </x:c>
      <x:c r="AI396" t="str">
        <x:v>Não</x:v>
      </x:c>
      <x:c r="AJ396" t="str">
        <x:v>Sim</x:v>
      </x:c>
      <x:c r="AK396" t="n">
        <x:v>60</x:v>
      </x:c>
      <x:c r="AL396" t="n">
        <x:v>0</x:v>
      </x:c>
      <x:c r="AM396" s="64" t="n">
        <x:v>3.9</x:v>
      </x:c>
      <x:c r="AN396" t="n">
        <x:v>1</x:v>
      </x:c>
      <x:c r="AO396" t="str">
        <x:v>Vermelho</x:v>
      </x:c>
      <x:c r="AP396" t="str">
        <x:v>SLA sintético excedido (tempo acumulado ≥ 100% do SLA)</x:v>
      </x:c>
      <x:c r="AQ396" t="str">
        <x:v>Encerramento demonstrativo de Máquina de Tração; verificar fechamento e histórico para aprendizado. Sem despacho automático.</x:v>
      </x:c>
      <x:c r="AR396" s="62" t="n">
        <x:v>1123.5</x:v>
      </x:c>
      <x:c r="AS396" t="str">
        <x:v>Médio</x:v>
      </x:c>
      <x:c r="AT396" s="50" t="n">
        <x:v>46273.708333333336</x:v>
      </x:c>
      <x:c r="AU396" t="str">
        <x:v>T11</x:v>
      </x:c>
      <x:c r="AV396" t="str">
        <x:v>Ocorrência adicional sintética; perfil inspirado em CH-20260908-013</x:v>
      </x:c>
    </x:row>
    <x:row r="397">
      <x:c r="A397" t="str">
        <x:v>CH-20260908-034</x:v>
      </x:c>
      <x:c r="B397" t="str">
        <x:v>Painel sem comunicação</x:v>
      </x:c>
      <x:c r="C397" t="str">
        <x:v>Falha de comunicação</x:v>
      </x:c>
      <x:c r="D397" t="str">
        <x:v>Painel não responde aos comandos.</x:v>
      </x:c>
      <x:c r="E397" t="str">
        <x:v>Concluído</x:v>
      </x:c>
      <x:c r="F397" t="str">
        <x:v>Monitoramento Remoto</x:v>
      </x:c>
      <x:c r="G397" t="str">
        <x:v>E-134</x:v>
      </x:c>
      <x:c r="H397" t="str">
        <x:v>Elevador Social</x:v>
      </x:c>
      <x:c r="I397" t="str">
        <x:v>Microprocessado</x:v>
      </x:c>
      <x:c r="J397" t="str">
        <x:v>Gearless</x:v>
      </x:c>
      <x:c r="K397" t="str">
        <x:v>OTIS</x:v>
      </x:c>
      <x:c r="L397" t="str">
        <x:v>ROT-033</x:v>
      </x:c>
      <x:c r="M397" t="str">
        <x:v>Painel/Comando</x:v>
      </x:c>
      <x:c r="N397" t="str">
        <x:v>Interface</x:v>
      </x:c>
      <x:c r="O397" t="str">
        <x:v>Sem comunicação</x:v>
      </x:c>
      <x:c r="P397" t="str">
        <x:v>Falha lógica</x:v>
      </x:c>
      <x:c r="Q397" t="str">
        <x:v>Diagnóstico e teste funcional simulados em Painel/Comando; encerramento demonstrativo, sem movimentação de estoque comprovada.</x:v>
      </x:c>
      <x:c r="R397" t="str">
        <x:v>Shopping Center Norte</x:v>
      </x:c>
      <x:c r="S397" t="str">
        <x:v>Não</x:v>
      </x:c>
      <x:c r="T397" t="str">
        <x:v>Sim</x:v>
      </x:c>
      <x:c r="U397" t="str">
        <x:v>CT-2026-002</x:v>
      </x:c>
      <x:c r="V397" t="str">
        <x:v>SP-Norte</x:v>
      </x:c>
      <x:c r="W397" t="str">
        <x:v>Marcos Lima</x:v>
      </x:c>
      <x:c r="X397" t="str">
        <x:v>Supervisor D</x:v>
      </x:c>
      <x:c r="Y397" t="str">
        <x:v>Rota Norte 02</x:v>
      </x:c>
      <x:c r="Z397" t="str">
        <x:v>Av. Otto Baumgart, 245 - São Paulo/SP</x:v>
      </x:c>
      <x:c r="AA397" t="str">
        <x:v>São Paulo</x:v>
      </x:c>
      <x:c r="AB397" s="50" t="n">
        <x:v>46273.48402777778</x:v>
      </x:c>
      <x:c r="AC397" s="50" t="n">
        <x:v>46273.486805555556</x:v>
      </x:c>
      <x:c r="AD397" s="50" t="n">
        <x:v>46273.49236111111</x:v>
      </x:c>
      <x:c r="AE397" s="50" t="n">
        <x:v>46273.521527777775</x:v>
      </x:c>
      <x:c r="AF397" s="50" t="n">
        <x:v>46273.60486111111</x:v>
      </x:c>
      <x:c r="AG397" t="n">
        <x:v>54</x:v>
      </x:c>
      <x:c r="AH397" t="n">
        <x:v>115</x:v>
      </x:c>
      <x:c r="AI397" t="str">
        <x:v>Não</x:v>
      </x:c>
      <x:c r="AJ397" t="str">
        <x:v>Não</x:v>
      </x:c>
      <x:c r="AK397" t="n">
        <x:v>90</x:v>
      </x:c>
      <x:c r="AL397" t="n">
        <x:v>0</x:v>
      </x:c>
      <x:c r="AM397" s="64" t="n">
        <x:v>1.8778</x:v>
      </x:c>
      <x:c r="AN397" t="n">
        <x:v>3</x:v>
      </x:c>
      <x:c r="AO397" t="str">
        <x:v>Vermelho</x:v>
      </x:c>
      <x:c r="AP397" t="str">
        <x:v>SLA sintético excedido (tempo acumulado ≥ 100% do SLA)</x:v>
      </x:c>
      <x:c r="AQ397" t="str">
        <x:v>Encerramento demonstrativo de Painel/Comando; verificar fechamento e histórico para aprendizado. Sem despacho automático.</x:v>
      </x:c>
      <x:c r="AR397" s="62" t="n">
        <x:v>1484</x:v>
      </x:c>
      <x:c r="AS397" t="str">
        <x:v>Alto</x:v>
      </x:c>
      <x:c r="AT397" s="50" t="n">
        <x:v>46273.708333333336</x:v>
      </x:c>
      <x:c r="AU397" t="str">
        <x:v>T11</x:v>
      </x:c>
      <x:c r="AV397" t="str">
        <x:v>Ocorrência adicional sintética; perfil inspirado em CH-20260908-020</x:v>
      </x:c>
    </x:row>
    <x:row r="398">
      <x:c r="A398" t="str">
        <x:v>CH-20260908-035</x:v>
      </x:c>
      <x:c r="B398" t="str">
        <x:v>Porta não fecha</x:v>
      </x:c>
      <x:c r="C398" t="str">
        <x:v>Falha no fechamento</x:v>
      </x:c>
      <x:c r="D398" t="str">
        <x:v>Porta permanece aberta e impede partida.</x:v>
      </x:c>
      <x:c r="E398" t="str">
        <x:v>Concluído</x:v>
      </x:c>
      <x:c r="F398" t="str">
        <x:v>Aplicativo Cliente</x:v>
      </x:c>
      <x:c r="G398" t="str">
        <x:v>E-135</x:v>
      </x:c>
      <x:c r="H398" t="str">
        <x:v>Elevador Social</x:v>
      </x:c>
      <x:c r="I398" t="str">
        <x:v>Microprocessado</x:v>
      </x:c>
      <x:c r="J398" t="str">
        <x:v>Gearless</x:v>
      </x:c>
      <x:c r="K398" t="str">
        <x:v>OTIS</x:v>
      </x:c>
      <x:c r="L398" t="str">
        <x:v>ROT-021</x:v>
      </x:c>
      <x:c r="M398" t="str">
        <x:v>Operador de Porta</x:v>
      </x:c>
      <x:c r="N398" t="str">
        <x:v>Sensor de porta</x:v>
      </x:c>
      <x:c r="O398" t="str">
        <x:v>Falha de leitura</x:v>
      </x:c>
      <x:c r="P398" t="str">
        <x:v>Porta aberta</x:v>
      </x:c>
      <x:c r="Q398" t="str">
        <x:v>Diagnóstico e teste funcional simulados em Operador de Porta; encerramento demonstrativo, sem movimentação de estoque comprovada.</x:v>
      </x:c>
      <x:c r="R398" t="str">
        <x:v>Edifício Corporate</x:v>
      </x:c>
      <x:c r="S398" t="str">
        <x:v>Não</x:v>
      </x:c>
      <x:c r="T398" t="str">
        <x:v>Sim</x:v>
      </x:c>
      <x:c r="U398" t="str">
        <x:v>CT-2026-003</x:v>
      </x:c>
      <x:c r="V398" t="str">
        <x:v>SP-Oeste</x:v>
      </x:c>
      <x:c r="W398" t="str">
        <x:v>Ana Costa</x:v>
      </x:c>
      <x:c r="X398" t="str">
        <x:v>Supervisor C</x:v>
      </x:c>
      <x:c r="Y398" t="str">
        <x:v>Rota Oeste 03</x:v>
      </x:c>
      <x:c r="Z398" t="str">
        <x:v>Av. Faria Lima, 3500 - São Paulo/SP</x:v>
      </x:c>
      <x:c r="AA398" t="str">
        <x:v>São Paulo</x:v>
      </x:c>
      <x:c r="AB398" s="50" t="n">
        <x:v>46273.49375</x:v>
      </x:c>
      <x:c r="AC398" s="50" t="n">
        <x:v>46273.49722222222</x:v>
      </x:c>
      <x:c r="AD398" s="50" t="n">
        <x:v>46273.50347222222</x:v>
      </x:c>
      <x:c r="AE398" s="50" t="n">
        <x:v>46273.54027777778</x:v>
      </x:c>
      <x:c r="AF398" s="50" t="n">
        <x:v>46273.66458333333</x:v>
      </x:c>
      <x:c r="AG398" t="n">
        <x:v>67</x:v>
      </x:c>
      <x:c r="AH398" t="n">
        <x:v>174</x:v>
      </x:c>
      <x:c r="AI398" t="str">
        <x:v>Não</x:v>
      </x:c>
      <x:c r="AJ398" t="str">
        <x:v>Não</x:v>
      </x:c>
      <x:c r="AK398" t="n">
        <x:v>120</x:v>
      </x:c>
      <x:c r="AL398" t="n">
        <x:v>0</x:v>
      </x:c>
      <x:c r="AM398" s="64" t="n">
        <x:v>2.0083</x:v>
      </x:c>
      <x:c r="AN398" t="n">
        <x:v>2</x:v>
      </x:c>
      <x:c r="AO398" t="str">
        <x:v>Vermelho</x:v>
      </x:c>
      <x:c r="AP398" t="str">
        <x:v>SLA sintético excedido (tempo acumulado ≥ 100% do SLA)</x:v>
      </x:c>
      <x:c r="AQ398" t="str">
        <x:v>Encerramento demonstrativo de Operador de Porta; verificar fechamento e histórico para aprendizado. Sem despacho automático.</x:v>
      </x:c>
      <x:c r="AR398" s="62" t="n">
        <x:v>884.5</x:v>
      </x:c>
      <x:c r="AS398" t="str">
        <x:v>Médio</x:v>
      </x:c>
      <x:c r="AT398" s="50" t="n">
        <x:v>46273.708333333336</x:v>
      </x:c>
      <x:c r="AU398" t="str">
        <x:v>T11</x:v>
      </x:c>
      <x:c r="AV398" t="str">
        <x:v>Ocorrência adicional sintética; perfil inspirado em CH-20260908-003</x:v>
      </x:c>
    </x:row>
    <x:row r="399">
      <x:c r="A399" t="str">
        <x:v>CH-20260908-036</x:v>
      </x:c>
      <x:c r="B399" t="str">
        <x:v>Falha de Nivelamento</x:v>
      </x:c>
      <x:c r="C399" t="str">
        <x:v>Cabine desnivelada</x:v>
      </x:c>
      <x:c r="D399" t="str">
        <x:v>Cabine parou fora do nível do pavimento.</x:v>
      </x:c>
      <x:c r="E399" t="str">
        <x:v>Concluído</x:v>
      </x:c>
      <x:c r="F399" t="str">
        <x:v>IoT</x:v>
      </x:c>
      <x:c r="G399" t="str">
        <x:v>E-113</x:v>
      </x:c>
      <x:c r="H399" t="str">
        <x:v>Elevador Social</x:v>
      </x:c>
      <x:c r="I399" t="str">
        <x:v>Microprocessado</x:v>
      </x:c>
      <x:c r="J399" t="str">
        <x:v>Gearless</x:v>
      </x:c>
      <x:c r="K399" t="str">
        <x:v>OTIS</x:v>
      </x:c>
      <x:c r="L399" t="str">
        <x:v>ROT-014</x:v>
      </x:c>
      <x:c r="M399" t="str">
        <x:v>Sensor de Nível</x:v>
      </x:c>
      <x:c r="N399" t="str">
        <x:v>Sensor</x:v>
      </x:c>
      <x:c r="O399" t="str">
        <x:v>Leitura inconsistente</x:v>
      </x:c>
      <x:c r="P399" t="str">
        <x:v>Falha de nivelamento</x:v>
      </x:c>
      <x:c r="Q399" t="str">
        <x:v>Diagnóstico e teste funcional simulados em Sensor de Nível; encerramento demonstrativo, sem movimentação de estoque comprovada.</x:v>
      </x:c>
      <x:c r="R399" t="str">
        <x:v>Condomínio Alameda</x:v>
      </x:c>
      <x:c r="S399" t="str">
        <x:v>Não</x:v>
      </x:c>
      <x:c r="T399" t="str">
        <x:v>Não</x:v>
      </x:c>
      <x:c r="U399" t="str">
        <x:v>CT-2026-004</x:v>
      </x:c>
      <x:c r="V399" t="str">
        <x:v>SP-Sul</x:v>
      </x:c>
      <x:c r="W399" t="str">
        <x:v>Carlos Souza</x:v>
      </x:c>
      <x:c r="X399" t="str">
        <x:v>Supervisor B</x:v>
      </x:c>
      <x:c r="Y399" t="str">
        <x:v>Rota Sul 04</x:v>
      </x:c>
      <x:c r="Z399" t="str">
        <x:v>R. das Acácias, 420 - São Paulo/SP</x:v>
      </x:c>
      <x:c r="AA399" t="str">
        <x:v>São Paulo</x:v>
      </x:c>
      <x:c r="AB399" s="50" t="n">
        <x:v>46273.50347222222</x:v>
      </x:c>
      <x:c r="AC399" s="50" t="n">
        <x:v>46273.50486111111</x:v>
      </x:c>
      <x:c r="AD399" s="50" t="n">
        <x:v>46273.50763888889</x:v>
      </x:c>
      <x:c r="AE399" s="50" t="n">
        <x:v>46273.52361111111</x:v>
      </x:c>
      <x:c r="AF399" s="50" t="n">
        <x:v>46273.572916666664</x:v>
      </x:c>
      <x:c r="AG399" t="n">
        <x:v>29</x:v>
      </x:c>
      <x:c r="AH399" t="n">
        <x:v>66</x:v>
      </x:c>
      <x:c r="AI399" t="str">
        <x:v>Não</x:v>
      </x:c>
      <x:c r="AJ399" t="str">
        <x:v>Não</x:v>
      </x:c>
      <x:c r="AK399" t="n">
        <x:v>180</x:v>
      </x:c>
      <x:c r="AL399" t="n">
        <x:v>0</x:v>
      </x:c>
      <x:c r="AM399" s="64" t="n">
        <x:v>0.5278</x:v>
      </x:c>
      <x:c r="AN399" t="n">
        <x:v>2</x:v>
      </x:c>
      <x:c r="AO399" t="str">
        <x:v>Amarelo</x:v>
      </x:c>
      <x:c r="AP399" t="str">
        <x:v>atenção: recorrências em 30 dias</x:v>
      </x:c>
      <x:c r="AQ399" t="str">
        <x:v>Encerramento demonstrativo de Sensor de Nível; verificar fechamento e histórico para aprendizado. Sem despacho automático.</x:v>
      </x:c>
      <x:c r="AR399" s="62" t="n">
        <x:v>945</x:v>
      </x:c>
      <x:c r="AS399" t="str">
        <x:v>Médio</x:v>
      </x:c>
      <x:c r="AT399" s="50" t="n">
        <x:v>46273.708333333336</x:v>
      </x:c>
      <x:c r="AU399" t="str">
        <x:v>T11</x:v>
      </x:c>
      <x:c r="AV399" t="str">
        <x:v>Ocorrência adicional sintética; perfil inspirado em CH-20260908-010</x:v>
      </x:c>
    </x:row>
    <x:row r="400">
      <x:c r="A400" t="str">
        <x:v>CH-20260908-037</x:v>
      </x:c>
      <x:c r="B400" t="str">
        <x:v>Passageiro Preso</x:v>
      </x:c>
      <x:c r="C400" t="str">
        <x:v>Elevador parado entre andares</x:v>
      </x:c>
      <x:c r="D400" t="str">
        <x:v>Cabine imobilizada com passageiro no interior.</x:v>
      </x:c>
      <x:c r="E400" t="str">
        <x:v>Concluído</x:v>
      </x:c>
      <x:c r="F400" t="str">
        <x:v>Central de Atendimento</x:v>
      </x:c>
      <x:c r="G400" t="str">
        <x:v>E-137</x:v>
      </x:c>
      <x:c r="H400" t="str">
        <x:v>Elevador Social</x:v>
      </x:c>
      <x:c r="I400" t="str">
        <x:v>Microprocessado</x:v>
      </x:c>
      <x:c r="J400" t="str">
        <x:v>Gearless</x:v>
      </x:c>
      <x:c r="K400" t="str">
        <x:v>OTIS</x:v>
      </x:c>
      <x:c r="L400" t="str">
        <x:v>ROT-001</x:v>
      </x:c>
      <x:c r="M400" t="str">
        <x:v>Tração</x:v>
      </x:c>
      <x:c r="N400" t="str">
        <x:v>Freio</x:v>
      </x:c>
      <x:c r="O400" t="str">
        <x:v>Travamento</x:v>
      </x:c>
      <x:c r="P400" t="str">
        <x:v>Parada total</x:v>
      </x:c>
      <x:c r="Q400" t="str">
        <x:v>Diagnóstico e teste funcional simulados em Tração; encerramento demonstrativo, sem movimentação de estoque comprovada.</x:v>
      </x:c>
      <x:c r="R400" t="str">
        <x:v>Aeroporto Terminal 3</x:v>
      </x:c>
      <x:c r="S400" t="str">
        <x:v>Sim</x:v>
      </x:c>
      <x:c r="T400" t="str">
        <x:v>Sim</x:v>
      </x:c>
      <x:c r="U400" t="str">
        <x:v>CT-2026-005</x:v>
      </x:c>
      <x:c r="V400" t="str">
        <x:v>GRU</x:v>
      </x:c>
      <x:c r="W400" t="str">
        <x:v>Renata Alves</x:v>
      </x:c>
      <x:c r="X400" t="str">
        <x:v>Supervisor A</x:v>
      </x:c>
      <x:c r="Y400" t="str">
        <x:v>Rota GRU 05</x:v>
      </x:c>
      <x:c r="Z400" t="str">
        <x:v>Rod. Hélio Smidt, s/n - Guarulhos/SP</x:v>
      </x:c>
      <x:c r="AA400" t="str">
        <x:v>São Paulo</x:v>
      </x:c>
      <x:c r="AB400" s="50" t="n">
        <x:v>46273.513194444444</x:v>
      </x:c>
      <x:c r="AC400" s="50" t="n">
        <x:v>46273.51527777778</x:v>
      </x:c>
      <x:c r="AD400" s="50" t="n">
        <x:v>46273.51875</x:v>
      </x:c>
      <x:c r="AE400" s="50" t="n">
        <x:v>46273.54236111111</x:v>
      </x:c>
      <x:c r="AF400" s="50" t="n">
        <x:v>46273.603472222225</x:v>
      </x:c>
      <x:c r="AG400" t="n">
        <x:v>42</x:v>
      </x:c>
      <x:c r="AH400" t="n">
        <x:v>83</x:v>
      </x:c>
      <x:c r="AI400" t="str">
        <x:v>Sim</x:v>
      </x:c>
      <x:c r="AJ400" t="str">
        <x:v>Sim</x:v>
      </x:c>
      <x:c r="AK400" t="n">
        <x:v>45</x:v>
      </x:c>
      <x:c r="AL400" t="n">
        <x:v>0</x:v>
      </x:c>
      <x:c r="AM400" s="64" t="n">
        <x:v>2.7778</x:v>
      </x:c>
      <x:c r="AN400" t="n">
        <x:v>0</x:v>
      </x:c>
      <x:c r="AO400" t="str">
        <x:v>Vermelho</x:v>
      </x:c>
      <x:c r="AP400" t="str">
        <x:v>SLA sintético excedido (tempo acumulado ≥ 100% do SLA)</x:v>
      </x:c>
      <x:c r="AQ400" t="str">
        <x:v>Encerramento demonstrativo de Tração; verificar fechamento e histórico para aprendizado. Sem despacho automático.</x:v>
      </x:c>
      <x:c r="AR400" s="62" t="n">
        <x:v>1098.5</x:v>
      </x:c>
      <x:c r="AS400" t="str">
        <x:v>Médio</x:v>
      </x:c>
      <x:c r="AT400" s="50" t="n">
        <x:v>46273.708333333336</x:v>
      </x:c>
      <x:c r="AU400" t="str">
        <x:v>T11</x:v>
      </x:c>
      <x:c r="AV400" t="str">
        <x:v>Ocorrência adicional sintética; perfil inspirado em CH-20260908-017</x:v>
      </x:c>
    </x:row>
    <x:row r="401">
      <x:c r="A401" t="str">
        <x:v>CH-20260908-038</x:v>
      </x:c>
      <x:c r="B401" t="str">
        <x:v>Parada Intermitente</x:v>
      </x:c>
      <x:c r="C401" t="str">
        <x:v>Paradas aleatórias</x:v>
      </x:c>
      <x:c r="D401" t="str">
        <x:v>Equipamento interrompe operação de forma intermitente.</x:v>
      </x:c>
      <x:c r="E401" t="str">
        <x:v>Concluído</x:v>
      </x:c>
      <x:c r="F401" t="str">
        <x:v>Monitoramento Remoto</x:v>
      </x:c>
      <x:c r="G401" t="str">
        <x:v>E-138</x:v>
      </x:c>
      <x:c r="H401" t="str">
        <x:v>Elevador Social</x:v>
      </x:c>
      <x:c r="I401" t="str">
        <x:v>Microprocessado</x:v>
      </x:c>
      <x:c r="J401" t="str">
        <x:v>Gearless</x:v>
      </x:c>
      <x:c r="K401" t="str">
        <x:v>OTIS</x:v>
      </x:c>
      <x:c r="L401" t="str">
        <x:v>ROT-074</x:v>
      </x:c>
      <x:c r="M401" t="str">
        <x:v>Painel/Comando</x:v>
      </x:c>
      <x:c r="N401" t="str">
        <x:v>Placa</x:v>
      </x:c>
      <x:c r="O401" t="str">
        <x:v>Intermitência</x:v>
      </x:c>
      <x:c r="P401" t="str">
        <x:v>Falha intermitente</x:v>
      </x:c>
      <x:c r="Q401" t="str">
        <x:v>Diagnóstico e teste funcional simulados em Painel/Comando; encerramento demonstrativo, sem movimentação de estoque comprovada.</x:v>
      </x:c>
      <x:c r="R401" t="str">
        <x:v>Universidade Central</x:v>
      </x:c>
      <x:c r="S401" t="str">
        <x:v>Não</x:v>
      </x:c>
      <x:c r="T401" t="str">
        <x:v>Sim</x:v>
      </x:c>
      <x:c r="U401" t="str">
        <x:v>CT-2026-006</x:v>
      </x:c>
      <x:c r="V401" t="str">
        <x:v>SP-Leste</x:v>
      </x:c>
      <x:c r="W401" t="str">
        <x:v>Paulo Mendes</x:v>
      </x:c>
      <x:c r="X401" t="str">
        <x:v>Supervisor D</x:v>
      </x:c>
      <x:c r="Y401" t="str">
        <x:v>Rota Leste 06</x:v>
      </x:c>
      <x:c r="Z401" t="str">
        <x:v>Av. Central, 850 - São Paulo/SP</x:v>
      </x:c>
      <x:c r="AA401" t="str">
        <x:v>São Paulo</x:v>
      </x:c>
      <x:c r="AB401" s="50" t="n">
        <x:v>46273.524305555555</x:v>
      </x:c>
      <x:c r="AC401" s="50" t="n">
        <x:v>46273.527083333334</x:v>
      </x:c>
      <x:c r="AD401" s="50" t="n">
        <x:v>46273.53125</x:v>
      </x:c>
      <x:c r="AE401" s="50" t="n">
        <x:v>46273.5625</x:v>
      </x:c>
      <x:c r="AF401" s="50" t="n">
        <x:v>46273.635416666664</x:v>
      </x:c>
      <x:c r="AG401" t="n">
        <x:v>55</x:v>
      </x:c>
      <x:c r="AH401" t="n">
        <x:v>100</x:v>
      </x:c>
      <x:c r="AI401" t="str">
        <x:v>Não</x:v>
      </x:c>
      <x:c r="AJ401" t="str">
        <x:v>Sim</x:v>
      </x:c>
      <x:c r="AK401" t="n">
        <x:v>120</x:v>
      </x:c>
      <x:c r="AL401" t="n">
        <x:v>0</x:v>
      </x:c>
      <x:c r="AM401" s="64" t="n">
        <x:v>1.2917</x:v>
      </x:c>
      <x:c r="AN401" t="n">
        <x:v>4</x:v>
      </x:c>
      <x:c r="AO401" t="str">
        <x:v>Vermelho</x:v>
      </x:c>
      <x:c r="AP401" t="str">
        <x:v>SLA sintético excedido (tempo acumulado ≥ 100% do SLA)</x:v>
      </x:c>
      <x:c r="AQ401" t="str">
        <x:v>Encerramento demonstrativo de Painel/Comando; verificar fechamento e histórico para aprendizado. Sem despacho automático.</x:v>
      </x:c>
      <x:c r="AR401" s="62" t="n">
        <x:v>1617</x:v>
      </x:c>
      <x:c r="AS401" t="str">
        <x:v>Alto</x:v>
      </x:c>
      <x:c r="AT401" s="50" t="n">
        <x:v>46273.708333333336</x:v>
      </x:c>
      <x:c r="AU401" t="str">
        <x:v>T11</x:v>
      </x:c>
      <x:c r="AV401" t="str">
        <x:v>Ocorrência adicional sintética; perfil inspirado em CH-20260908-024</x:v>
      </x:c>
    </x:row>
    <x:row r="402">
      <x:c r="A402" t="str">
        <x:v>CH-20260908-039</x:v>
      </x:c>
      <x:c r="B402" t="str">
        <x:v>Botão de Chamada</x:v>
      </x:c>
      <x:c r="C402" t="str">
        <x:v>Botão não responde</x:v>
      </x:c>
      <x:c r="D402" t="str">
        <x:v>Botão de chamada não registra comando.</x:v>
      </x:c>
      <x:c r="E402" t="str">
        <x:v>Concluído</x:v>
      </x:c>
      <x:c r="F402" t="str">
        <x:v>Aplicativo Cliente</x:v>
      </x:c>
      <x:c r="G402" t="str">
        <x:v>E-139</x:v>
      </x:c>
      <x:c r="H402" t="str">
        <x:v>Elevador Social</x:v>
      </x:c>
      <x:c r="I402" t="str">
        <x:v>Microprocessado</x:v>
      </x:c>
      <x:c r="J402" t="str">
        <x:v>Gearless</x:v>
      </x:c>
      <x:c r="K402" t="str">
        <x:v>OTIS</x:v>
      </x:c>
      <x:c r="L402" t="str">
        <x:v>ROT-063</x:v>
      </x:c>
      <x:c r="M402" t="str">
        <x:v>Botoeira</x:v>
      </x:c>
      <x:c r="N402" t="str">
        <x:v>Contato</x:v>
      </x:c>
      <x:c r="O402" t="str">
        <x:v>Mau contato</x:v>
      </x:c>
      <x:c r="P402" t="str">
        <x:v>Falha de comando</x:v>
      </x:c>
      <x:c r="Q402" t="str">
        <x:v>Diagnóstico e teste funcional simulados em Botoeira; encerramento demonstrativo, sem movimentação de estoque comprovada.</x:v>
      </x:c>
      <x:c r="R402" t="str">
        <x:v>Hospital São Paulo</x:v>
      </x:c>
      <x:c r="S402" t="str">
        <x:v>Sim</x:v>
      </x:c>
      <x:c r="T402" t="str">
        <x:v>Sim</x:v>
      </x:c>
      <x:c r="U402" t="str">
        <x:v>CT-2026-001</x:v>
      </x:c>
      <x:c r="V402" t="str">
        <x:v>SP-Centro</x:v>
      </x:c>
      <x:c r="W402" t="str">
        <x:v>João Silva</x:v>
      </x:c>
      <x:c r="X402" t="str">
        <x:v>Supervisor C</x:v>
      </x:c>
      <x:c r="Y402" t="str">
        <x:v>Rota Centro 01</x:v>
      </x:c>
      <x:c r="Z402" t="str">
        <x:v>Av. Paulista, 1000 - São Paulo/SP</x:v>
      </x:c>
      <x:c r="AA402" t="str">
        <x:v>São Paulo</x:v>
      </x:c>
      <x:c r="AB402" s="50" t="n">
        <x:v>46273.53125</x:v>
      </x:c>
      <x:c r="AC402" s="50" t="n">
        <x:v>46273.53472222222</x:v>
      </x:c>
      <x:c r="AD402" s="50" t="n">
        <x:v>46273.53958333333</x:v>
      </x:c>
      <x:c r="AE402" s="50" t="n">
        <x:v>46273.57847222222</x:v>
      </x:c>
      <x:c r="AF402" s="50" t="n">
        <x:v>46273.663194444445</x:v>
      </x:c>
      <x:c r="AG402" t="n">
        <x:v>68</x:v>
      </x:c>
      <x:c r="AH402" t="n">
        <x:v>117</x:v>
      </x:c>
      <x:c r="AI402" t="str">
        <x:v>Não</x:v>
      </x:c>
      <x:c r="AJ402" t="str">
        <x:v>Não</x:v>
      </x:c>
      <x:c r="AK402" t="n">
        <x:v>60</x:v>
      </x:c>
      <x:c r="AL402" t="n">
        <x:v>0</x:v>
      </x:c>
      <x:c r="AM402" s="64" t="n">
        <x:v>3.0833</x:v>
      </x:c>
      <x:c r="AN402" t="n">
        <x:v>2</x:v>
      </x:c>
      <x:c r="AO402" t="str">
        <x:v>Vermelho</x:v>
      </x:c>
      <x:c r="AP402" t="str">
        <x:v>SLA sintético excedido (tempo acumulado ≥ 100% do SLA)</x:v>
      </x:c>
      <x:c r="AQ402" t="str">
        <x:v>Encerramento demonstrativo de Botoeira; verificar fechamento e histórico para aprendizado. Sem despacho automático.</x:v>
      </x:c>
      <x:c r="AR402" s="62" t="n">
        <x:v>881.5</x:v>
      </x:c>
      <x:c r="AS402" t="str">
        <x:v>Baixo</x:v>
      </x:c>
      <x:c r="AT402" s="50" t="n">
        <x:v>46273.708333333336</x:v>
      </x:c>
      <x:c r="AU402" t="str">
        <x:v>T11</x:v>
      </x:c>
      <x:c r="AV402" t="str">
        <x:v>Ocorrência adicional sintética; perfil inspirado em CH-20260908-007</x:v>
      </x:c>
    </x:row>
    <x:row r="403">
      <x:c r="A403" t="str">
        <x:v>CH-20260908-040</x:v>
      </x:c>
      <x:c r="B403" t="str">
        <x:v>Iluminação de Cabine</x:v>
      </x:c>
      <x:c r="C403" t="str">
        <x:v>Iluminação inoperante</x:v>
      </x:c>
      <x:c r="D403" t="str">
        <x:v>Cabine com iluminação parcial ou total indisponível.</x:v>
      </x:c>
      <x:c r="E403" t="str">
        <x:v>Concluído</x:v>
      </x:c>
      <x:c r="F403" t="str">
        <x:v>IoT</x:v>
      </x:c>
      <x:c r="G403" t="str">
        <x:v>E-140</x:v>
      </x:c>
      <x:c r="H403" t="str">
        <x:v>Elevador Social</x:v>
      </x:c>
      <x:c r="I403" t="str">
        <x:v>Microprocessado</x:v>
      </x:c>
      <x:c r="J403" t="str">
        <x:v>Gearless</x:v>
      </x:c>
      <x:c r="K403" t="str">
        <x:v>OTIS</x:v>
      </x:c>
      <x:c r="L403" t="str">
        <x:v>ROT-052</x:v>
      </x:c>
      <x:c r="M403" t="str">
        <x:v>Elétrica</x:v>
      </x:c>
      <x:c r="N403" t="str">
        <x:v>Fonte</x:v>
      </x:c>
      <x:c r="O403" t="str">
        <x:v>Sem alimentação</x:v>
      </x:c>
      <x:c r="P403" t="str">
        <x:v>Falha elétrica</x:v>
      </x:c>
      <x:c r="Q403" t="str">
        <x:v>Diagnóstico e teste funcional simulados em Elétrica; encerramento demonstrativo, sem movimentação de estoque comprovada.</x:v>
      </x:c>
      <x:c r="R403" t="str">
        <x:v>Shopping Center Norte</x:v>
      </x:c>
      <x:c r="S403" t="str">
        <x:v>Não</x:v>
      </x:c>
      <x:c r="T403" t="str">
        <x:v>Sim</x:v>
      </x:c>
      <x:c r="U403" t="str">
        <x:v>CT-2026-002</x:v>
      </x:c>
      <x:c r="V403" t="str">
        <x:v>SP-Norte</x:v>
      </x:c>
      <x:c r="W403" t="str">
        <x:v>Marcos Lima</x:v>
      </x:c>
      <x:c r="X403" t="str">
        <x:v>Supervisor B</x:v>
      </x:c>
      <x:c r="Y403" t="str">
        <x:v>Rota Norte 02</x:v>
      </x:c>
      <x:c r="Z403" t="str">
        <x:v>Av. Otto Baumgart, 245 - São Paulo/SP</x:v>
      </x:c>
      <x:c r="AA403" t="str">
        <x:v>São Paulo</x:v>
      </x:c>
      <x:c r="AB403" s="50" t="n">
        <x:v>46273.53888888889</x:v>
      </x:c>
      <x:c r="AC403" s="50" t="n">
        <x:v>46273.54027777778</x:v>
      </x:c>
      <x:c r="AD403" s="50" t="n">
        <x:v>46273.54583333333</x:v>
      </x:c>
      <x:c r="AE403" s="50" t="n">
        <x:v>46273.55972222222</x:v>
      </x:c>
      <x:c r="AF403" s="50" t="n">
        <x:v>46273.59861111111</x:v>
      </x:c>
      <x:c r="AG403" t="n">
        <x:v>30</x:v>
      </x:c>
      <x:c r="AH403" t="n">
        <x:v>51</x:v>
      </x:c>
      <x:c r="AI403" t="str">
        <x:v>Não</x:v>
      </x:c>
      <x:c r="AJ403" t="str">
        <x:v>Não</x:v>
      </x:c>
      <x:c r="AK403" t="n">
        <x:v>90</x:v>
      </x:c>
      <x:c r="AL403" t="n">
        <x:v>0</x:v>
      </x:c>
      <x:c r="AM403" s="64" t="n">
        <x:v>0.9</x:v>
      </x:c>
      <x:c r="AN403" t="n">
        <x:v>0</x:v>
      </x:c>
      <x:c r="AO403" t="str">
        <x:v>Laranja</x:v>
      </x:c>
      <x:c r="AP403" t="str">
        <x:v>janela de intervenção: tempo acumulado ≥ 80% do SLA</x:v>
      </x:c>
      <x:c r="AQ403" t="str">
        <x:v>Encerramento demonstrativo de Elétrica; verificar fechamento e histórico para aprendizado. Sem despacho automático.</x:v>
      </x:c>
      <x:c r="AR403" s="62" t="n">
        <x:v>770</x:v>
      </x:c>
      <x:c r="AS403" t="str">
        <x:v>Médio</x:v>
      </x:c>
      <x:c r="AT403" s="50" t="n">
        <x:v>46273.708333333336</x:v>
      </x:c>
      <x:c r="AU403" t="str">
        <x:v>T11</x:v>
      </x:c>
      <x:c r="AV403" t="str">
        <x:v>Ocorrência adicional sintética; perfil inspirado em CH-20260908-014</x:v>
      </x:c>
    </x:row>
    <x:row r="404">
      <x:c r="A404" t="str">
        <x:v>CH-20260908-041</x:v>
      </x:c>
      <x:c r="B404" t="str">
        <x:v>Falha de Tração</x:v>
      </x:c>
      <x:c r="C404" t="str">
        <x:v>Movimento irregular</x:v>
      </x:c>
      <x:c r="D404" t="str">
        <x:v>Equipamento apresenta perda de tração.</x:v>
      </x:c>
      <x:c r="E404" t="str">
        <x:v>Concluído</x:v>
      </x:c>
      <x:c r="F404" t="str">
        <x:v>Central de Atendimento</x:v>
      </x:c>
      <x:c r="G404" t="str">
        <x:v>E-141</x:v>
      </x:c>
      <x:c r="H404" t="str">
        <x:v>Elevador Social</x:v>
      </x:c>
      <x:c r="I404" t="str">
        <x:v>Microprocessado</x:v>
      </x:c>
      <x:c r="J404" t="str">
        <x:v>Gearless</x:v>
      </x:c>
      <x:c r="K404" t="str">
        <x:v>OTIS</x:v>
      </x:c>
      <x:c r="L404" t="str">
        <x:v>ROT-041</x:v>
      </x:c>
      <x:c r="M404" t="str">
        <x:v>Máquina de Tração</x:v>
      </x:c>
      <x:c r="N404" t="str">
        <x:v>Inversor</x:v>
      </x:c>
      <x:c r="O404" t="str">
        <x:v>Oscilação</x:v>
      </x:c>
      <x:c r="P404" t="str">
        <x:v>Falha de movimento</x:v>
      </x:c>
      <x:c r="Q404" t="str">
        <x:v>Diagnóstico e teste funcional simulados em Máquina de Tração; encerramento demonstrativo, sem movimentação de estoque comprovada.</x:v>
      </x:c>
      <x:c r="R404" t="str">
        <x:v>Edifício Corporate</x:v>
      </x:c>
      <x:c r="S404" t="str">
        <x:v>Não</x:v>
      </x:c>
      <x:c r="T404" t="str">
        <x:v>Sim</x:v>
      </x:c>
      <x:c r="U404" t="str">
        <x:v>CT-2026-003</x:v>
      </x:c>
      <x:c r="V404" t="str">
        <x:v>SP-Oeste</x:v>
      </x:c>
      <x:c r="W404" t="str">
        <x:v>Ana Costa</x:v>
      </x:c>
      <x:c r="X404" t="str">
        <x:v>Supervisor A</x:v>
      </x:c>
      <x:c r="Y404" t="str">
        <x:v>Rota Oeste 03</x:v>
      </x:c>
      <x:c r="Z404" t="str">
        <x:v>Av. Faria Lima, 3500 - São Paulo/SP</x:v>
      </x:c>
      <x:c r="AA404" t="str">
        <x:v>São Paulo</x:v>
      </x:c>
      <x:c r="AB404" s="50" t="n">
        <x:v>46273.54652777778</x:v>
      </x:c>
      <x:c r="AC404" s="50" t="n">
        <x:v>46273.54861111111</x:v>
      </x:c>
      <x:c r="AD404" s="50" t="n">
        <x:v>46273.55486111111</x:v>
      </x:c>
      <x:c r="AE404" s="50" t="n">
        <x:v>46273.57638888889</x:v>
      </x:c>
      <x:c r="AF404" s="50" t="n">
        <x:v>46273.62708333333</x:v>
      </x:c>
      <x:c r="AG404" t="n">
        <x:v>43</x:v>
      </x:c>
      <x:c r="AH404" t="n">
        <x:v>68</x:v>
      </x:c>
      <x:c r="AI404" t="str">
        <x:v>Não</x:v>
      </x:c>
      <x:c r="AJ404" t="str">
        <x:v>Sim</x:v>
      </x:c>
      <x:c r="AK404" t="n">
        <x:v>120</x:v>
      </x:c>
      <x:c r="AL404" t="n">
        <x:v>0</x:v>
      </x:c>
      <x:c r="AM404" s="64" t="n">
        <x:v>0.925</x:v>
      </x:c>
      <x:c r="AN404" t="n">
        <x:v>1</x:v>
      </x:c>
      <x:c r="AO404" t="str">
        <x:v>Laranja</x:v>
      </x:c>
      <x:c r="AP404" t="str">
        <x:v>janela de intervenção: tempo acumulado ≥ 80% do SLA</x:v>
      </x:c>
      <x:c r="AQ404" t="str">
        <x:v>Encerramento demonstrativo de Máquina de Tração; verificar fechamento e histórico para aprendizado. Sem despacho automático.</x:v>
      </x:c>
      <x:c r="AR404" s="62" t="n">
        <x:v>1250.5</x:v>
      </x:c>
      <x:c r="AS404" t="str">
        <x:v>Alto</x:v>
      </x:c>
      <x:c r="AT404" s="50" t="n">
        <x:v>46273.708333333336</x:v>
      </x:c>
      <x:c r="AU404" t="str">
        <x:v>T11</x:v>
      </x:c>
      <x:c r="AV404" t="str">
        <x:v>Ocorrência adicional sintética; perfil inspirado em CH-20260908-021</x:v>
      </x:c>
    </x:row>
    <x:row r="405">
      <x:c r="A405" t="str">
        <x:v>CH-20260908-042</x:v>
      </x:c>
      <x:c r="B405" t="str">
        <x:v>Painel sem comunicação</x:v>
      </x:c>
      <x:c r="C405" t="str">
        <x:v>Falha de comunicação</x:v>
      </x:c>
      <x:c r="D405" t="str">
        <x:v>Painel não responde aos comandos.</x:v>
      </x:c>
      <x:c r="E405" t="str">
        <x:v>Em atendimento</x:v>
      </x:c>
      <x:c r="F405" t="str">
        <x:v>Monitoramento Remoto</x:v>
      </x:c>
      <x:c r="G405" t="str">
        <x:v>E-142</x:v>
      </x:c>
      <x:c r="H405" t="str">
        <x:v>Elevador Social</x:v>
      </x:c>
      <x:c r="I405" t="str">
        <x:v>Microprocessado</x:v>
      </x:c>
      <x:c r="J405" t="str">
        <x:v>Gearless</x:v>
      </x:c>
      <x:c r="K405" t="str">
        <x:v>OTIS</x:v>
      </x:c>
      <x:c r="L405" t="str">
        <x:v>ROT-033</x:v>
      </x:c>
      <x:c r="M405" t="str">
        <x:v>Painel/Comando</x:v>
      </x:c>
      <x:c r="N405" t="str">
        <x:v>Interface</x:v>
      </x:c>
      <x:c r="O405" t="str">
        <x:v>Sem comunicação</x:v>
      </x:c>
      <x:c r="P405" t="str">
        <x:v>Falha lógica</x:v>
      </x:c>
      <x:c r="Q405"/>
      <x:c r="R405" t="str">
        <x:v>Condomínio Alameda</x:v>
      </x:c>
      <x:c r="S405" t="str">
        <x:v>Não</x:v>
      </x:c>
      <x:c r="T405" t="str">
        <x:v>Não</x:v>
      </x:c>
      <x:c r="U405" t="str">
        <x:v>CT-2026-004</x:v>
      </x:c>
      <x:c r="V405" t="str">
        <x:v>SP-Sul</x:v>
      </x:c>
      <x:c r="W405" t="str">
        <x:v>Carlos Souza</x:v>
      </x:c>
      <x:c r="X405" t="str">
        <x:v>Supervisor D</x:v>
      </x:c>
      <x:c r="Y405" t="str">
        <x:v>Rota Sul 04</x:v>
      </x:c>
      <x:c r="Z405" t="str">
        <x:v>R. das Acácias, 420 - São Paulo/SP</x:v>
      </x:c>
      <x:c r="AA405" t="str">
        <x:v>São Paulo</x:v>
      </x:c>
      <x:c r="AB405" s="50" t="n">
        <x:v>46273.55625</x:v>
      </x:c>
      <x:c r="AC405" s="50" t="n">
        <x:v>46273.55902777778</x:v>
      </x:c>
      <x:c r="AD405" s="50" t="n">
        <x:v>46273.56180555555</x:v>
      </x:c>
      <x:c r="AE405" s="50" t="n">
        <x:v>46273.595138888886</x:v>
      </x:c>
      <x:c r="AF405" s="50"/>
      <x:c r="AG405" t="n">
        <x:v>56</x:v>
      </x:c>
      <x:c r="AH405"/>
      <x:c r="AI405" t="str">
        <x:v>Não</x:v>
      </x:c>
      <x:c r="AJ405" t="str">
        <x:v>Não</x:v>
      </x:c>
      <x:c r="AK405" t="n">
        <x:v>180</x:v>
      </x:c>
      <x:c r="AL405" t="n">
        <x:v>0</x:v>
      </x:c>
      <x:c r="AM405" s="64" t="n">
        <x:v>1.2167</x:v>
      </x:c>
      <x:c r="AN405" t="n">
        <x:v>3</x:v>
      </x:c>
      <x:c r="AO405" t="str">
        <x:v>Vermelho</x:v>
      </x:c>
      <x:c r="AP405" t="str">
        <x:v>SLA sintético excedido (tempo acumulado ≥ 100% do SLA)</x:v>
      </x:c>
      <x:c r="AQ405" t="str">
        <x:v>Priorizar avaliação do chamado em Painel/Comando; SLA demonstrativo comprometido. Supervisor decide o encaminhamento.</x:v>
      </x:c>
      <x:c r="AR405" s="62" t="n">
        <x:v>1671</x:v>
      </x:c>
      <x:c r="AS405" t="str">
        <x:v>Alto</x:v>
      </x:c>
      <x:c r="AT405" s="50" t="n">
        <x:v>46273.708333333336</x:v>
      </x:c>
      <x:c r="AU405" t="str">
        <x:v>T11</x:v>
      </x:c>
      <x:c r="AV405" t="str">
        <x:v>Ocorrência adicional sintética; perfil inspirado em CH-20260908-004</x:v>
      </x:c>
    </x:row>
    <x:row r="406">
      <x:c r="A406" t="str">
        <x:v>CH-20260908-043</x:v>
      </x:c>
      <x:c r="B406" t="str">
        <x:v>Porta não fecha</x:v>
      </x:c>
      <x:c r="C406" t="str">
        <x:v>Falha no fechamento</x:v>
      </x:c>
      <x:c r="D406" t="str">
        <x:v>Porta permanece aberta e impede partida.</x:v>
      </x:c>
      <x:c r="E406" t="str">
        <x:v>Concluído</x:v>
      </x:c>
      <x:c r="F406" t="str">
        <x:v>Aplicativo Cliente</x:v>
      </x:c>
      <x:c r="G406" t="str">
        <x:v>E-121</x:v>
      </x:c>
      <x:c r="H406" t="str">
        <x:v>Elevador Social</x:v>
      </x:c>
      <x:c r="I406" t="str">
        <x:v>Microprocessado</x:v>
      </x:c>
      <x:c r="J406" t="str">
        <x:v>Gearless</x:v>
      </x:c>
      <x:c r="K406" t="str">
        <x:v>OTIS</x:v>
      </x:c>
      <x:c r="L406" t="str">
        <x:v>ROT-021</x:v>
      </x:c>
      <x:c r="M406" t="str">
        <x:v>Operador de Porta</x:v>
      </x:c>
      <x:c r="N406" t="str">
        <x:v>Sensor de porta</x:v>
      </x:c>
      <x:c r="O406" t="str">
        <x:v>Falha de leitura</x:v>
      </x:c>
      <x:c r="P406" t="str">
        <x:v>Porta aberta</x:v>
      </x:c>
      <x:c r="Q406" t="str">
        <x:v>Diagnóstico e teste funcional simulados em Operador de Porta; encerramento demonstrativo, sem movimentação de estoque comprovada.</x:v>
      </x:c>
      <x:c r="R406" t="str">
        <x:v>Aeroporto Terminal 3</x:v>
      </x:c>
      <x:c r="S406" t="str">
        <x:v>Sim</x:v>
      </x:c>
      <x:c r="T406" t="str">
        <x:v>Sim</x:v>
      </x:c>
      <x:c r="U406" t="str">
        <x:v>CT-2026-005</x:v>
      </x:c>
      <x:c r="V406" t="str">
        <x:v>GRU</x:v>
      </x:c>
      <x:c r="W406" t="str">
        <x:v>Renata Alves</x:v>
      </x:c>
      <x:c r="X406" t="str">
        <x:v>Supervisor C</x:v>
      </x:c>
      <x:c r="Y406" t="str">
        <x:v>Rota GRU 05</x:v>
      </x:c>
      <x:c r="Z406" t="str">
        <x:v>Rod. Hélio Smidt, s/n - Guarulhos/SP</x:v>
      </x:c>
      <x:c r="AA406" t="str">
        <x:v>São Paulo</x:v>
      </x:c>
      <x:c r="AB406" s="50" t="n">
        <x:v>46273.56597222222</x:v>
      </x:c>
      <x:c r="AC406" s="50" t="n">
        <x:v>46273.569444444445</x:v>
      </x:c>
      <x:c r="AD406" s="50" t="n">
        <x:v>46273.572916666664</x:v>
      </x:c>
      <x:c r="AE406" s="50" t="n">
        <x:v>46273.61388888889</x:v>
      </x:c>
      <x:c r="AF406" s="50" t="n">
        <x:v>46273.68819444445</x:v>
      </x:c>
      <x:c r="AG406" t="n">
        <x:v>69</x:v>
      </x:c>
      <x:c r="AH406" t="n">
        <x:v>102</x:v>
      </x:c>
      <x:c r="AI406" t="str">
        <x:v>Não</x:v>
      </x:c>
      <x:c r="AJ406" t="str">
        <x:v>Não</x:v>
      </x:c>
      <x:c r="AK406" t="n">
        <x:v>45</x:v>
      </x:c>
      <x:c r="AL406" t="n">
        <x:v>0</x:v>
      </x:c>
      <x:c r="AM406" s="64" t="n">
        <x:v>3.8</x:v>
      </x:c>
      <x:c r="AN406" t="n">
        <x:v>3</x:v>
      </x:c>
      <x:c r="AO406" t="str">
        <x:v>Vermelho</x:v>
      </x:c>
      <x:c r="AP406" t="str">
        <x:v>SLA sintético excedido (tempo acumulado ≥ 100% do SLA)</x:v>
      </x:c>
      <x:c r="AQ406" t="str">
        <x:v>Encerramento demonstrativo de Operador de Porta; verificar fechamento e histórico para aprendizado. Sem despacho automático.</x:v>
      </x:c>
      <x:c r="AR406" s="62" t="n">
        <x:v>995.5</x:v>
      </x:c>
      <x:c r="AS406" t="str">
        <x:v>Médio</x:v>
      </x:c>
      <x:c r="AT406" s="50" t="n">
        <x:v>46273.708333333336</x:v>
      </x:c>
      <x:c r="AU406" t="str">
        <x:v>T11</x:v>
      </x:c>
      <x:c r="AV406" t="str">
        <x:v>Ocorrência adicional sintética; perfil inspirado em CH-20260908-011</x:v>
      </x:c>
    </x:row>
    <x:row r="407">
      <x:c r="A407" t="str">
        <x:v>CH-20260908-044</x:v>
      </x:c>
      <x:c r="B407" t="str">
        <x:v>Falha de Nivelamento</x:v>
      </x:c>
      <x:c r="C407" t="str">
        <x:v>Cabine desnivelada</x:v>
      </x:c>
      <x:c r="D407" t="str">
        <x:v>Cabine parou fora do nível do pavimento.</x:v>
      </x:c>
      <x:c r="E407" t="str">
        <x:v>Concluído</x:v>
      </x:c>
      <x:c r="F407" t="str">
        <x:v>IoT</x:v>
      </x:c>
      <x:c r="G407" t="str">
        <x:v>E-144</x:v>
      </x:c>
      <x:c r="H407" t="str">
        <x:v>Elevador Social</x:v>
      </x:c>
      <x:c r="I407" t="str">
        <x:v>Microprocessado</x:v>
      </x:c>
      <x:c r="J407" t="str">
        <x:v>Gearless</x:v>
      </x:c>
      <x:c r="K407" t="str">
        <x:v>OTIS</x:v>
      </x:c>
      <x:c r="L407" t="str">
        <x:v>ROT-014</x:v>
      </x:c>
      <x:c r="M407" t="str">
        <x:v>Sensor de Nível</x:v>
      </x:c>
      <x:c r="N407" t="str">
        <x:v>Sensor</x:v>
      </x:c>
      <x:c r="O407" t="str">
        <x:v>Leitura inconsistente</x:v>
      </x:c>
      <x:c r="P407" t="str">
        <x:v>Falha de nivelamento</x:v>
      </x:c>
      <x:c r="Q407" t="str">
        <x:v>Diagnóstico e teste funcional simulados em Sensor de Nível; encerramento demonstrativo, sem movimentação de estoque comprovada.</x:v>
      </x:c>
      <x:c r="R407" t="str">
        <x:v>Universidade Central</x:v>
      </x:c>
      <x:c r="S407" t="str">
        <x:v>Não</x:v>
      </x:c>
      <x:c r="T407" t="str">
        <x:v>Sim</x:v>
      </x:c>
      <x:c r="U407" t="str">
        <x:v>CT-2026-006</x:v>
      </x:c>
      <x:c r="V407" t="str">
        <x:v>SP-Leste</x:v>
      </x:c>
      <x:c r="W407" t="str">
        <x:v>Paulo Mendes</x:v>
      </x:c>
      <x:c r="X407" t="str">
        <x:v>Supervisor B</x:v>
      </x:c>
      <x:c r="Y407" t="str">
        <x:v>Rota Leste 06</x:v>
      </x:c>
      <x:c r="Z407" t="str">
        <x:v>Av. Central, 850 - São Paulo/SP</x:v>
      </x:c>
      <x:c r="AA407" t="str">
        <x:v>São Paulo</x:v>
      </x:c>
      <x:c r="AB407" s="50" t="n">
        <x:v>46273.575694444444</x:v>
      </x:c>
      <x:c r="AC407" s="50" t="n">
        <x:v>46273.57708333333</x:v>
      </x:c>
      <x:c r="AD407" s="50" t="n">
        <x:v>46273.58125</x:v>
      </x:c>
      <x:c r="AE407" s="50" t="n">
        <x:v>46273.59722222222</x:v>
      </x:c>
      <x:c r="AF407" s="50" t="n">
        <x:v>46273.691666666666</x:v>
      </x:c>
      <x:c r="AG407" t="n">
        <x:v>31</x:v>
      </x:c>
      <x:c r="AH407" t="n">
        <x:v>131</x:v>
      </x:c>
      <x:c r="AI407" t="str">
        <x:v>Não</x:v>
      </x:c>
      <x:c r="AJ407" t="str">
        <x:v>Não</x:v>
      </x:c>
      <x:c r="AK407" t="n">
        <x:v>120</x:v>
      </x:c>
      <x:c r="AL407" t="n">
        <x:v>0</x:v>
      </x:c>
      <x:c r="AM407" s="64" t="n">
        <x:v>1.35</x:v>
      </x:c>
      <x:c r="AN407" t="n">
        <x:v>1</x:v>
      </x:c>
      <x:c r="AO407" t="str">
        <x:v>Vermelho</x:v>
      </x:c>
      <x:c r="AP407" t="str">
        <x:v>SLA sintético excedido (tempo acumulado ≥ 100% do SLA)</x:v>
      </x:c>
      <x:c r="AQ407" t="str">
        <x:v>Encerramento demonstrativo de Sensor de Nível; verificar fechamento e histórico para aprendizado. Sem despacho automático.</x:v>
      </x:c>
      <x:c r="AR407" s="62" t="n">
        <x:v>767</x:v>
      </x:c>
      <x:c r="AS407" t="str">
        <x:v>Baixo</x:v>
      </x:c>
      <x:c r="AT407" s="50" t="n">
        <x:v>46273.708333333336</x:v>
      </x:c>
      <x:c r="AU407" t="str">
        <x:v>T11</x:v>
      </x:c>
      <x:c r="AV407" t="str">
        <x:v>Ocorrência adicional sintética; perfil inspirado em CH-20260908-018</x:v>
      </x:c>
    </x:row>
    <x:row r="408">
      <x:c r="A408" t="str">
        <x:v>CH-20260908-045</x:v>
      </x:c>
      <x:c r="B408" t="str">
        <x:v>Passageiro Preso</x:v>
      </x:c>
      <x:c r="C408" t="str">
        <x:v>Elevador parado entre andares</x:v>
      </x:c>
      <x:c r="D408" t="str">
        <x:v>Cabine imobilizada com passageiro no interior.</x:v>
      </x:c>
      <x:c r="E408" t="str">
        <x:v>Concluído</x:v>
      </x:c>
      <x:c r="F408" t="str">
        <x:v>Central de Atendimento</x:v>
      </x:c>
      <x:c r="G408" t="str">
        <x:v>E-145</x:v>
      </x:c>
      <x:c r="H408" t="str">
        <x:v>Elevador Social</x:v>
      </x:c>
      <x:c r="I408" t="str">
        <x:v>Microprocessado</x:v>
      </x:c>
      <x:c r="J408" t="str">
        <x:v>Gearless</x:v>
      </x:c>
      <x:c r="K408" t="str">
        <x:v>OTIS</x:v>
      </x:c>
      <x:c r="L408" t="str">
        <x:v>ROT-001</x:v>
      </x:c>
      <x:c r="M408" t="str">
        <x:v>Tração</x:v>
      </x:c>
      <x:c r="N408" t="str">
        <x:v>Freio</x:v>
      </x:c>
      <x:c r="O408" t="str">
        <x:v>Travamento</x:v>
      </x:c>
      <x:c r="P408" t="str">
        <x:v>Parada total</x:v>
      </x:c>
      <x:c r="Q408" t="str">
        <x:v>Diagnóstico e teste funcional simulados em Tração; encerramento demonstrativo, sem movimentação de estoque comprovada.</x:v>
      </x:c>
      <x:c r="R408" t="str">
        <x:v>Hospital São Paulo</x:v>
      </x:c>
      <x:c r="S408" t="str">
        <x:v>Sim</x:v>
      </x:c>
      <x:c r="T408" t="str">
        <x:v>Sim</x:v>
      </x:c>
      <x:c r="U408" t="str">
        <x:v>CT-2026-001</x:v>
      </x:c>
      <x:c r="V408" t="str">
        <x:v>SP-Centro</x:v>
      </x:c>
      <x:c r="W408" t="str">
        <x:v>João Silva</x:v>
      </x:c>
      <x:c r="X408" t="str">
        <x:v>Supervisor A</x:v>
      </x:c>
      <x:c r="Y408" t="str">
        <x:v>Rota Centro 01</x:v>
      </x:c>
      <x:c r="Z408" t="str">
        <x:v>Av. Paulista, 1000 - São Paulo/SP</x:v>
      </x:c>
      <x:c r="AA408" t="str">
        <x:v>São Paulo</x:v>
      </x:c>
      <x:c r="AB408" s="50" t="n">
        <x:v>46273.58819444444</x:v>
      </x:c>
      <x:c r="AC408" s="50" t="n">
        <x:v>46273.59027777778</x:v>
      </x:c>
      <x:c r="AD408" s="50" t="n">
        <x:v>46273.595138888886</x:v>
      </x:c>
      <x:c r="AE408" s="50" t="n">
        <x:v>46273.61875</x:v>
      </x:c>
      <x:c r="AF408" s="50" t="n">
        <x:v>46273.65902777778</x:v>
      </x:c>
      <x:c r="AG408" t="n">
        <x:v>44</x:v>
      </x:c>
      <x:c r="AH408" t="n">
        <x:v>53</x:v>
      </x:c>
      <x:c r="AI408" t="str">
        <x:v>Sim</x:v>
      </x:c>
      <x:c r="AJ408" t="str">
        <x:v>Sim</x:v>
      </x:c>
      <x:c r="AK408" t="n">
        <x:v>60</x:v>
      </x:c>
      <x:c r="AL408" t="n">
        <x:v>0</x:v>
      </x:c>
      <x:c r="AM408" s="64" t="n">
        <x:v>1.6167</x:v>
      </x:c>
      <x:c r="AN408" t="n">
        <x:v>0</x:v>
      </x:c>
      <x:c r="AO408" t="str">
        <x:v>Vermelho</x:v>
      </x:c>
      <x:c r="AP408" t="str">
        <x:v>SLA sintético excedido (tempo acumulado ≥ 100% do SLA)</x:v>
      </x:c>
      <x:c r="AQ408" t="str">
        <x:v>Encerramento demonstrativo de Tração; verificar fechamento e histórico para aprendizado. Sem despacho automático.</x:v>
      </x:c>
      <x:c r="AR408" s="62" t="n">
        <x:v>1074.5</x:v>
      </x:c>
      <x:c r="AS408" t="str">
        <x:v>Médio</x:v>
      </x:c>
      <x:c r="AT408" s="50" t="n">
        <x:v>46273.708333333336</x:v>
      </x:c>
      <x:c r="AU408" t="str">
        <x:v>T11</x:v>
      </x:c>
      <x:c r="AV408" t="str">
        <x:v>Ocorrência adicional sintética; perfil inspirado em CH-20260908-001</x:v>
      </x:c>
    </x:row>
    <x:row r="409">
      <x:c r="A409" t="str">
        <x:v>CH-20260908-046</x:v>
      </x:c>
      <x:c r="B409" t="str">
        <x:v>Parada Intermitente</x:v>
      </x:c>
      <x:c r="C409" t="str">
        <x:v>Paradas aleatórias</x:v>
      </x:c>
      <x:c r="D409" t="str">
        <x:v>Equipamento interrompe operação de forma intermitente.</x:v>
      </x:c>
      <x:c r="E409" t="str">
        <x:v>Concluído</x:v>
      </x:c>
      <x:c r="F409" t="str">
        <x:v>Monitoramento Remoto</x:v>
      </x:c>
      <x:c r="G409" t="str">
        <x:v>E-146</x:v>
      </x:c>
      <x:c r="H409" t="str">
        <x:v>Elevador Social</x:v>
      </x:c>
      <x:c r="I409" t="str">
        <x:v>Microprocessado</x:v>
      </x:c>
      <x:c r="J409" t="str">
        <x:v>Gearless</x:v>
      </x:c>
      <x:c r="K409" t="str">
        <x:v>OTIS</x:v>
      </x:c>
      <x:c r="L409" t="str">
        <x:v>ROT-074</x:v>
      </x:c>
      <x:c r="M409" t="str">
        <x:v>Painel/Comando</x:v>
      </x:c>
      <x:c r="N409" t="str">
        <x:v>Placa</x:v>
      </x:c>
      <x:c r="O409" t="str">
        <x:v>Intermitência</x:v>
      </x:c>
      <x:c r="P409" t="str">
        <x:v>Falha intermitente</x:v>
      </x:c>
      <x:c r="Q409" t="str">
        <x:v>Diagnóstico e teste funcional simulados em Painel/Comando; encerramento demonstrativo, sem movimentação de estoque comprovada.</x:v>
      </x:c>
      <x:c r="R409" t="str">
        <x:v>Shopping Center Norte</x:v>
      </x:c>
      <x:c r="S409" t="str">
        <x:v>Não</x:v>
      </x:c>
      <x:c r="T409" t="str">
        <x:v>Sim</x:v>
      </x:c>
      <x:c r="U409" t="str">
        <x:v>CT-2026-002</x:v>
      </x:c>
      <x:c r="V409" t="str">
        <x:v>SP-Norte</x:v>
      </x:c>
      <x:c r="W409" t="str">
        <x:v>Marcos Lima</x:v>
      </x:c>
      <x:c r="X409" t="str">
        <x:v>Supervisor D</x:v>
      </x:c>
      <x:c r="Y409" t="str">
        <x:v>Rota Norte 02</x:v>
      </x:c>
      <x:c r="Z409" t="str">
        <x:v>Av. Otto Baumgart, 245 - São Paulo/SP</x:v>
      </x:c>
      <x:c r="AA409" t="str">
        <x:v>São Paulo</x:v>
      </x:c>
      <x:c r="AB409" s="50" t="n">
        <x:v>46273.597916666666</x:v>
      </x:c>
      <x:c r="AC409" s="50" t="n">
        <x:v>46273.600694444445</x:v>
      </x:c>
      <x:c r="AD409" s="50" t="n">
        <x:v>46273.60625</x:v>
      </x:c>
      <x:c r="AE409" s="50" t="n">
        <x:v>46273.6375</x:v>
      </x:c>
      <x:c r="AF409" s="50" t="n">
        <x:v>46273.68958333333</x:v>
      </x:c>
      <x:c r="AG409" t="n">
        <x:v>57</x:v>
      </x:c>
      <x:c r="AH409" t="n">
        <x:v>70</x:v>
      </x:c>
      <x:c r="AI409" t="str">
        <x:v>Não</x:v>
      </x:c>
      <x:c r="AJ409" t="str">
        <x:v>Sim</x:v>
      </x:c>
      <x:c r="AK409" t="n">
        <x:v>90</x:v>
      </x:c>
      <x:c r="AL409" t="n">
        <x:v>0</x:v>
      </x:c>
      <x:c r="AM409" s="64" t="n">
        <x:v>1.4111</x:v>
      </x:c>
      <x:c r="AN409" t="n">
        <x:v>4</x:v>
      </x:c>
      <x:c r="AO409" t="str">
        <x:v>Vermelho</x:v>
      </x:c>
      <x:c r="AP409" t="str">
        <x:v>SLA sintético excedido (tempo acumulado ≥ 100% do SLA)</x:v>
      </x:c>
      <x:c r="AQ409" t="str">
        <x:v>Encerramento demonstrativo de Painel/Comando; verificar fechamento e histórico para aprendizado. Sem despacho automático.</x:v>
      </x:c>
      <x:c r="AR409" s="62" t="n">
        <x:v>1668</x:v>
      </x:c>
      <x:c r="AS409" t="str">
        <x:v>Alto</x:v>
      </x:c>
      <x:c r="AT409" s="50" t="n">
        <x:v>46273.708333333336</x:v>
      </x:c>
      <x:c r="AU409" t="str">
        <x:v>T11</x:v>
      </x:c>
      <x:c r="AV409" t="str">
        <x:v>Ocorrência adicional sintética; perfil inspirado em CH-20260908-008</x:v>
      </x:c>
    </x:row>
    <x:row r="410">
      <x:c r="A410" t="str">
        <x:v>CH-20260908-047</x:v>
      </x:c>
      <x:c r="B410" t="str">
        <x:v>Botão de Chamada</x:v>
      </x:c>
      <x:c r="C410" t="str">
        <x:v>Botão não responde</x:v>
      </x:c>
      <x:c r="D410" t="str">
        <x:v>Botão de chamada não registra comando.</x:v>
      </x:c>
      <x:c r="E410" t="str">
        <x:v>Em atendimento</x:v>
      </x:c>
      <x:c r="F410" t="str">
        <x:v>Aplicativo Cliente</x:v>
      </x:c>
      <x:c r="G410" t="str">
        <x:v>E-147</x:v>
      </x:c>
      <x:c r="H410" t="str">
        <x:v>Elevador Social</x:v>
      </x:c>
      <x:c r="I410" t="str">
        <x:v>Microprocessado</x:v>
      </x:c>
      <x:c r="J410" t="str">
        <x:v>Gearless</x:v>
      </x:c>
      <x:c r="K410" t="str">
        <x:v>OTIS</x:v>
      </x:c>
      <x:c r="L410" t="str">
        <x:v>ROT-063</x:v>
      </x:c>
      <x:c r="M410" t="str">
        <x:v>Botoeira</x:v>
      </x:c>
      <x:c r="N410" t="str">
        <x:v>Contato</x:v>
      </x:c>
      <x:c r="O410" t="str">
        <x:v>Mau contato</x:v>
      </x:c>
      <x:c r="P410" t="str">
        <x:v>Falha de comando</x:v>
      </x:c>
      <x:c r="Q410"/>
      <x:c r="R410" t="str">
        <x:v>Edifício Corporate</x:v>
      </x:c>
      <x:c r="S410" t="str">
        <x:v>Não</x:v>
      </x:c>
      <x:c r="T410" t="str">
        <x:v>Sim</x:v>
      </x:c>
      <x:c r="U410" t="str">
        <x:v>CT-2026-003</x:v>
      </x:c>
      <x:c r="V410" t="str">
        <x:v>SP-Oeste</x:v>
      </x:c>
      <x:c r="W410" t="str">
        <x:v>Ana Costa</x:v>
      </x:c>
      <x:c r="X410" t="str">
        <x:v>Supervisor C</x:v>
      </x:c>
      <x:c r="Y410" t="str">
        <x:v>Rota Oeste 03</x:v>
      </x:c>
      <x:c r="Z410" t="str">
        <x:v>Av. Faria Lima, 3500 - São Paulo/SP</x:v>
      </x:c>
      <x:c r="AA410" t="str">
        <x:v>São Paulo</x:v>
      </x:c>
      <x:c r="AB410" s="50" t="n">
        <x:v>46273.60763888889</x:v>
      </x:c>
      <x:c r="AC410" s="50" t="n">
        <x:v>46273.61111111111</x:v>
      </x:c>
      <x:c r="AD410" s="50" t="n">
        <x:v>46273.61736111111</x:v>
      </x:c>
      <x:c r="AE410" s="50" t="n">
        <x:v>46273.65625</x:v>
      </x:c>
      <x:c r="AF410" s="50"/>
      <x:c r="AG410" t="n">
        <x:v>70</x:v>
      </x:c>
      <x:c r="AH410"/>
      <x:c r="AI410" t="str">
        <x:v>Não</x:v>
      </x:c>
      <x:c r="AJ410" t="str">
        <x:v>Não</x:v>
      </x:c>
      <x:c r="AK410" t="n">
        <x:v>120</x:v>
      </x:c>
      <x:c r="AL410" t="n">
        <x:v>0</x:v>
      </x:c>
      <x:c r="AM410" s="64" t="n">
        <x:v>1.2083</x:v>
      </x:c>
      <x:c r="AN410" t="n">
        <x:v>2</x:v>
      </x:c>
      <x:c r="AO410" t="str">
        <x:v>Vermelho</x:v>
      </x:c>
      <x:c r="AP410" t="str">
        <x:v>SLA sintético excedido (tempo acumulado ≥ 100% do SLA)</x:v>
      </x:c>
      <x:c r="AQ410" t="str">
        <x:v>Priorizar avaliação do chamado em Botoeira; SLA demonstrativo comprometido. Supervisor decide o encaminhamento.</x:v>
      </x:c>
      <x:c r="AR410" s="62" t="n">
        <x:v>1008.5</x:v>
      </x:c>
      <x:c r="AS410" t="str">
        <x:v>Baixo</x:v>
      </x:c>
      <x:c r="AT410" s="50" t="n">
        <x:v>46273.708333333336</x:v>
      </x:c>
      <x:c r="AU410" t="str">
        <x:v>T11</x:v>
      </x:c>
      <x:c r="AV410" t="str">
        <x:v>Ocorrência adicional sintética; perfil inspirado em CH-20260908-015</x:v>
      </x:c>
    </x:row>
    <x:row r="411">
      <x:c r="A411" t="str">
        <x:v>CH-20260908-048</x:v>
      </x:c>
      <x:c r="B411" t="str">
        <x:v>Iluminação de Cabine</x:v>
      </x:c>
      <x:c r="C411" t="str">
        <x:v>Iluminação inoperante</x:v>
      </x:c>
      <x:c r="D411" t="str">
        <x:v>Cabine com iluminação parcial ou total indisponível.</x:v>
      </x:c>
      <x:c r="E411" t="str">
        <x:v>Em atendimento</x:v>
      </x:c>
      <x:c r="F411" t="str">
        <x:v>IoT</x:v>
      </x:c>
      <x:c r="G411" t="str">
        <x:v>E-148</x:v>
      </x:c>
      <x:c r="H411" t="str">
        <x:v>Elevador Social</x:v>
      </x:c>
      <x:c r="I411" t="str">
        <x:v>Microprocessado</x:v>
      </x:c>
      <x:c r="J411" t="str">
        <x:v>Gearless</x:v>
      </x:c>
      <x:c r="K411" t="str">
        <x:v>OTIS</x:v>
      </x:c>
      <x:c r="L411" t="str">
        <x:v>ROT-052</x:v>
      </x:c>
      <x:c r="M411" t="str">
        <x:v>Elétrica</x:v>
      </x:c>
      <x:c r="N411" t="str">
        <x:v>Fonte</x:v>
      </x:c>
      <x:c r="O411" t="str">
        <x:v>Sem alimentação</x:v>
      </x:c>
      <x:c r="P411" t="str">
        <x:v>Falha elétrica</x:v>
      </x:c>
      <x:c r="Q411"/>
      <x:c r="R411" t="str">
        <x:v>Condomínio Alameda</x:v>
      </x:c>
      <x:c r="S411" t="str">
        <x:v>Não</x:v>
      </x:c>
      <x:c r="T411" t="str">
        <x:v>Não</x:v>
      </x:c>
      <x:c r="U411" t="str">
        <x:v>CT-2026-004</x:v>
      </x:c>
      <x:c r="V411" t="str">
        <x:v>SP-Sul</x:v>
      </x:c>
      <x:c r="W411" t="str">
        <x:v>Carlos Souza</x:v>
      </x:c>
      <x:c r="X411" t="str">
        <x:v>Supervisor B</x:v>
      </x:c>
      <x:c r="Y411" t="str">
        <x:v>Rota Sul 04</x:v>
      </x:c>
      <x:c r="Z411" t="str">
        <x:v>R. das Acácias, 420 - São Paulo/SP</x:v>
      </x:c>
      <x:c r="AA411" t="str">
        <x:v>São Paulo</x:v>
      </x:c>
      <x:c r="AB411" s="50" t="n">
        <x:v>46273.61736111111</x:v>
      </x:c>
      <x:c r="AC411" s="50" t="n">
        <x:v>46273.61875</x:v>
      </x:c>
      <x:c r="AD411" s="50" t="n">
        <x:v>46273.62152777778</x:v>
      </x:c>
      <x:c r="AE411" s="50" t="n">
        <x:v>46273.63958333333</x:v>
      </x:c>
      <x:c r="AF411" s="50"/>
      <x:c r="AG411" t="n">
        <x:v>32</x:v>
      </x:c>
      <x:c r="AH411"/>
      <x:c r="AI411" t="str">
        <x:v>Não</x:v>
      </x:c>
      <x:c r="AJ411" t="str">
        <x:v>Não</x:v>
      </x:c>
      <x:c r="AK411" t="n">
        <x:v>180</x:v>
      </x:c>
      <x:c r="AL411" t="n">
        <x:v>0</x:v>
      </x:c>
      <x:c r="AM411" s="64" t="n">
        <x:v>0.7278</x:v>
      </x:c>
      <x:c r="AN411" t="n">
        <x:v>0</x:v>
      </x:c>
      <x:c r="AO411" t="str">
        <x:v>Amarelo</x:v>
      </x:c>
      <x:c r="AP411" t="str">
        <x:v>atenção: tempo acumulado ≥ 55% do SLA</x:v>
      </x:c>
      <x:c r="AQ411" t="str">
        <x:v>Acompanhar sinais em Elétrica; correlacionar histórico e SLA antes de recomendar intervenção.</x:v>
      </x:c>
      <x:c r="AR411" s="62" t="n">
        <x:v>897</x:v>
      </x:c>
      <x:c r="AS411" t="str">
        <x:v>Médio</x:v>
      </x:c>
      <x:c r="AT411" s="50" t="n">
        <x:v>46273.708333333336</x:v>
      </x:c>
      <x:c r="AU411" t="str">
        <x:v>T11</x:v>
      </x:c>
      <x:c r="AV411" t="str">
        <x:v>Ocorrência adicional sintética; perfil inspirado em CH-20260908-022</x:v>
      </x:c>
    </x:row>
    <x:row r="412">
      <x:c r="A412" t="str">
        <x:v>CH-20260908-049</x:v>
      </x:c>
      <x:c r="B412" t="str">
        <x:v>Falha de Tração</x:v>
      </x:c>
      <x:c r="C412" t="str">
        <x:v>Movimento irregular</x:v>
      </x:c>
      <x:c r="D412" t="str">
        <x:v>Equipamento apresenta perda de tração.</x:v>
      </x:c>
      <x:c r="E412" t="str">
        <x:v>Em atendimento</x:v>
      </x:c>
      <x:c r="F412" t="str">
        <x:v>Central de Atendimento</x:v>
      </x:c>
      <x:c r="G412" t="str">
        <x:v>E-149</x:v>
      </x:c>
      <x:c r="H412" t="str">
        <x:v>Elevador Social</x:v>
      </x:c>
      <x:c r="I412" t="str">
        <x:v>Microprocessado</x:v>
      </x:c>
      <x:c r="J412" t="str">
        <x:v>Gearless</x:v>
      </x:c>
      <x:c r="K412" t="str">
        <x:v>OTIS</x:v>
      </x:c>
      <x:c r="L412" t="str">
        <x:v>ROT-041</x:v>
      </x:c>
      <x:c r="M412" t="str">
        <x:v>Máquina de Tração</x:v>
      </x:c>
      <x:c r="N412" t="str">
        <x:v>Inversor</x:v>
      </x:c>
      <x:c r="O412" t="str">
        <x:v>Oscilação</x:v>
      </x:c>
      <x:c r="P412" t="str">
        <x:v>Falha de movimento</x:v>
      </x:c>
      <x:c r="Q412"/>
      <x:c r="R412" t="str">
        <x:v>Aeroporto Terminal 3</x:v>
      </x:c>
      <x:c r="S412" t="str">
        <x:v>Sim</x:v>
      </x:c>
      <x:c r="T412" t="str">
        <x:v>Sim</x:v>
      </x:c>
      <x:c r="U412" t="str">
        <x:v>CT-2026-005</x:v>
      </x:c>
      <x:c r="V412" t="str">
        <x:v>GRU</x:v>
      </x:c>
      <x:c r="W412" t="str">
        <x:v>Renata Alves</x:v>
      </x:c>
      <x:c r="X412" t="str">
        <x:v>Supervisor A</x:v>
      </x:c>
      <x:c r="Y412" t="str">
        <x:v>Rota GRU 05</x:v>
      </x:c>
      <x:c r="Z412" t="str">
        <x:v>Rod. Hélio Smidt, s/n - Guarulhos/SP</x:v>
      </x:c>
      <x:c r="AA412" t="str">
        <x:v>São Paulo</x:v>
      </x:c>
      <x:c r="AB412" s="50" t="n">
        <x:v>46273.63125</x:v>
      </x:c>
      <x:c r="AC412" s="50" t="n">
        <x:v>46273.63333333333</x:v>
      </x:c>
      <x:c r="AD412" s="50" t="n">
        <x:v>46273.63680555556</x:v>
      </x:c>
      <x:c r="AE412" s="50" t="n">
        <x:v>46273.6625</x:v>
      </x:c>
      <x:c r="AF412" s="50"/>
      <x:c r="AG412" t="n">
        <x:v>45</x:v>
      </x:c>
      <x:c r="AH412"/>
      <x:c r="AI412" t="str">
        <x:v>Não</x:v>
      </x:c>
      <x:c r="AJ412" t="str">
        <x:v>Sim</x:v>
      </x:c>
      <x:c r="AK412" t="n">
        <x:v>45</x:v>
      </x:c>
      <x:c r="AL412" t="n">
        <x:v>0</x:v>
      </x:c>
      <x:c r="AM412" s="64" t="n">
        <x:v>2.4667</x:v>
      </x:c>
      <x:c r="AN412" t="n">
        <x:v>1</x:v>
      </x:c>
      <x:c r="AO412" t="str">
        <x:v>Vermelho</x:v>
      </x:c>
      <x:c r="AP412" t="str">
        <x:v>SLA sintético excedido (tempo acumulado ≥ 100% do SLA)</x:v>
      </x:c>
      <x:c r="AQ412" t="str">
        <x:v>Priorizar avaliação do chamado em Máquina de Tração; SLA demonstrativo comprometido. Supervisor decide o encaminhamento.</x:v>
      </x:c>
      <x:c r="AR412" s="62" t="n">
        <x:v>1297.5</x:v>
      </x:c>
      <x:c r="AS412" t="str">
        <x:v>Alto</x:v>
      </x:c>
      <x:c r="AT412" s="50" t="n">
        <x:v>46273.708333333336</x:v>
      </x:c>
      <x:c r="AU412" t="str">
        <x:v>T11</x:v>
      </x:c>
      <x:c r="AV412" t="str">
        <x:v>Ocorrência adicional sintética; perfil inspirado em CH-20260908-005</x:v>
      </x:c>
    </x:row>
    <x:row r="413">
      <x:c r="A413" t="str">
        <x:v>CH-20260908-050</x:v>
      </x:c>
      <x:c r="B413" t="str">
        <x:v>Painel sem comunicação</x:v>
      </x:c>
      <x:c r="C413" t="str">
        <x:v>Falha de comunicação</x:v>
      </x:c>
      <x:c r="D413" t="str">
        <x:v>Painel não responde aos comandos.</x:v>
      </x:c>
      <x:c r="E413" t="str">
        <x:v>Em atendimento</x:v>
      </x:c>
      <x:c r="F413" t="str">
        <x:v>Monitoramento Remoto</x:v>
      </x:c>
      <x:c r="G413" t="str">
        <x:v>E-132</x:v>
      </x:c>
      <x:c r="H413" t="str">
        <x:v>Elevador Social</x:v>
      </x:c>
      <x:c r="I413" t="str">
        <x:v>Microprocessado</x:v>
      </x:c>
      <x:c r="J413" t="str">
        <x:v>Gearless</x:v>
      </x:c>
      <x:c r="K413" t="str">
        <x:v>OTIS</x:v>
      </x:c>
      <x:c r="L413" t="str">
        <x:v>ROT-033</x:v>
      </x:c>
      <x:c r="M413" t="str">
        <x:v>Painel/Comando</x:v>
      </x:c>
      <x:c r="N413" t="str">
        <x:v>Interface</x:v>
      </x:c>
      <x:c r="O413" t="str">
        <x:v>Sem comunicação</x:v>
      </x:c>
      <x:c r="P413" t="str">
        <x:v>Falha lógica</x:v>
      </x:c>
      <x:c r="Q413"/>
      <x:c r="R413" t="str">
        <x:v>Universidade Central</x:v>
      </x:c>
      <x:c r="S413" t="str">
        <x:v>Não</x:v>
      </x:c>
      <x:c r="T413" t="str">
        <x:v>Sim</x:v>
      </x:c>
      <x:c r="U413" t="str">
        <x:v>CT-2026-006</x:v>
      </x:c>
      <x:c r="V413" t="str">
        <x:v>SP-Leste</x:v>
      </x:c>
      <x:c r="W413" t="str">
        <x:v>Paulo Mendes</x:v>
      </x:c>
      <x:c r="X413" t="str">
        <x:v>Supervisor D</x:v>
      </x:c>
      <x:c r="Y413" t="str">
        <x:v>Rota Leste 06</x:v>
      </x:c>
      <x:c r="Z413" t="str">
        <x:v>Av. Central, 850 - São Paulo/SP</x:v>
      </x:c>
      <x:c r="AA413" t="str">
        <x:v>São Paulo</x:v>
      </x:c>
      <x:c r="AB413" s="50" t="n">
        <x:v>46273.64375</x:v>
      </x:c>
      <x:c r="AC413" s="50" t="n">
        <x:v>46273.646527777775</x:v>
      </x:c>
      <x:c r="AD413" s="50" t="n">
        <x:v>46273.65069444444</x:v>
      </x:c>
      <x:c r="AE413" s="50" t="n">
        <x:v>46273.68402777778</x:v>
      </x:c>
      <x:c r="AF413" s="50"/>
      <x:c r="AG413" t="n">
        <x:v>58</x:v>
      </x:c>
      <x:c r="AH413"/>
      <x:c r="AI413" t="str">
        <x:v>Não</x:v>
      </x:c>
      <x:c r="AJ413" t="str">
        <x:v>Não</x:v>
      </x:c>
      <x:c r="AK413" t="n">
        <x:v>120</x:v>
      </x:c>
      <x:c r="AL413" t="n">
        <x:v>0</x:v>
      </x:c>
      <x:c r="AM413" s="64" t="n">
        <x:v>0.775</x:v>
      </x:c>
      <x:c r="AN413" t="n">
        <x:v>4</x:v>
      </x:c>
      <x:c r="AO413" t="str">
        <x:v>Amarelo</x:v>
      </x:c>
      <x:c r="AP413" t="str">
        <x:v>atenção: tempo acumulado ≥ 55% do SLA</x:v>
      </x:c>
      <x:c r="AQ413" t="str">
        <x:v>Acompanhar sinais em Painel/Comando; correlacionar histórico e SLA antes de recomendar intervenção.</x:v>
      </x:c>
      <x:c r="AR413" s="62" t="n">
        <x:v>1357</x:v>
      </x:c>
      <x:c r="AS413" t="str">
        <x:v>Alto</x:v>
      </x:c>
      <x:c r="AT413" s="50" t="n">
        <x:v>46273.708333333336</x:v>
      </x:c>
      <x:c r="AU413" t="str">
        <x:v>T11</x:v>
      </x:c>
      <x:c r="AV413" t="str">
        <x:v>Ocorrência adicional sintética; perfil inspirado em CH-20260908-012</x:v>
      </x:c>
    </x:row>
    <x:row r="414">
      <x:c r="A414" t="str">
        <x:v>CH-20260908-051</x:v>
      </x:c>
      <x:c r="B414" t="str">
        <x:v>Porta não fecha</x:v>
      </x:c>
      <x:c r="C414" t="str">
        <x:v>Falha no fechamento</x:v>
      </x:c>
      <x:c r="D414" t="str">
        <x:v>Porta permanece aberta e impede partida.</x:v>
      </x:c>
      <x:c r="E414" t="str">
        <x:v>Em atendimento</x:v>
      </x:c>
      <x:c r="F414" t="str">
        <x:v>Aplicativo Cliente</x:v>
      </x:c>
      <x:c r="G414" t="str">
        <x:v>E-151</x:v>
      </x:c>
      <x:c r="H414" t="str">
        <x:v>Elevador Social</x:v>
      </x:c>
      <x:c r="I414" t="str">
        <x:v>Microprocessado</x:v>
      </x:c>
      <x:c r="J414" t="str">
        <x:v>Gearless</x:v>
      </x:c>
      <x:c r="K414" t="str">
        <x:v>OTIS</x:v>
      </x:c>
      <x:c r="L414" t="str">
        <x:v>ROT-021</x:v>
      </x:c>
      <x:c r="M414" t="str">
        <x:v>Operador de Porta</x:v>
      </x:c>
      <x:c r="N414" t="str">
        <x:v>Sensor de porta</x:v>
      </x:c>
      <x:c r="O414" t="str">
        <x:v>Falha de leitura</x:v>
      </x:c>
      <x:c r="P414" t="str">
        <x:v>Porta aberta</x:v>
      </x:c>
      <x:c r="Q414"/>
      <x:c r="R414" t="str">
        <x:v>Hospital São Paulo</x:v>
      </x:c>
      <x:c r="S414" t="str">
        <x:v>Sim</x:v>
      </x:c>
      <x:c r="T414" t="str">
        <x:v>Sim</x:v>
      </x:c>
      <x:c r="U414" t="str">
        <x:v>CT-2026-001</x:v>
      </x:c>
      <x:c r="V414" t="str">
        <x:v>SP-Centro</x:v>
      </x:c>
      <x:c r="W414" t="str">
        <x:v>João Silva</x:v>
      </x:c>
      <x:c r="X414" t="str">
        <x:v>Supervisor C</x:v>
      </x:c>
      <x:c r="Y414" t="str">
        <x:v>Rota Centro 01</x:v>
      </x:c>
      <x:c r="Z414" t="str">
        <x:v>Av. Paulista, 1000 - São Paulo/SP</x:v>
      </x:c>
      <x:c r="AA414" t="str">
        <x:v>São Paulo</x:v>
      </x:c>
      <x:c r="AB414" s="50" t="n">
        <x:v>46273.65694444445</x:v>
      </x:c>
      <x:c r="AC414" s="50" t="n">
        <x:v>46273.660416666666</x:v>
      </x:c>
      <x:c r="AD414" s="50" t="n">
        <x:v>46273.66527777778</x:v>
      </x:c>
      <x:c r="AE414" s="50" t="n">
        <x:v>46273.67083333333</x:v>
      </x:c>
      <x:c r="AF414" s="50"/>
      <x:c r="AG414" t="n">
        <x:v>20</x:v>
      </x:c>
      <x:c r="AH414"/>
      <x:c r="AI414" t="str">
        <x:v>Não</x:v>
      </x:c>
      <x:c r="AJ414" t="str">
        <x:v>Não</x:v>
      </x:c>
      <x:c r="AK414" t="n">
        <x:v>60</x:v>
      </x:c>
      <x:c r="AL414" t="n">
        <x:v>0</x:v>
      </x:c>
      <x:c r="AM414" s="64" t="n">
        <x:v>1.2333</x:v>
      </x:c>
      <x:c r="AN414" t="n">
        <x:v>2</x:v>
      </x:c>
      <x:c r="AO414" t="str">
        <x:v>Vermelho</x:v>
      </x:c>
      <x:c r="AP414" t="str">
        <x:v>SLA sintético excedido (tempo acumulado ≥ 100% do SLA)</x:v>
      </x:c>
      <x:c r="AQ414" t="str">
        <x:v>Priorizar avaliação do chamado em Operador de Porta; SLA demonstrativo comprometido. Supervisor decide o encaminhamento.</x:v>
      </x:c>
      <x:c r="AR414" s="62" t="n">
        <x:v>833.5</x:v>
      </x:c>
      <x:c r="AS414" t="str">
        <x:v>Baixo</x:v>
      </x:c>
      <x:c r="AT414" s="50" t="n">
        <x:v>46273.708333333336</x:v>
      </x:c>
      <x:c r="AU414" t="str">
        <x:v>T11</x:v>
      </x:c>
      <x:c r="AV414" t="str">
        <x:v>Ocorrência adicional sintética; perfil inspirado em CH-20260908-019</x:v>
      </x:c>
    </x:row>
    <x:row r="415">
      <x:c r="A415" t="str">
        <x:v>CH-20260908-052</x:v>
      </x:c>
      <x:c r="B415" t="str">
        <x:v>Falha de Nivelamento</x:v>
      </x:c>
      <x:c r="C415" t="str">
        <x:v>Cabine desnivelada</x:v>
      </x:c>
      <x:c r="D415" t="str">
        <x:v>Cabine parou fora do nível do pavimento.</x:v>
      </x:c>
      <x:c r="E415" t="str">
        <x:v>Em atendimento</x:v>
      </x:c>
      <x:c r="F415" t="str">
        <x:v>IoT</x:v>
      </x:c>
      <x:c r="G415" t="str">
        <x:v>E-152</x:v>
      </x:c>
      <x:c r="H415" t="str">
        <x:v>Elevador Social</x:v>
      </x:c>
      <x:c r="I415" t="str">
        <x:v>Microprocessado</x:v>
      </x:c>
      <x:c r="J415" t="str">
        <x:v>Gearless</x:v>
      </x:c>
      <x:c r="K415" t="str">
        <x:v>OTIS</x:v>
      </x:c>
      <x:c r="L415" t="str">
        <x:v>ROT-014</x:v>
      </x:c>
      <x:c r="M415" t="str">
        <x:v>Sensor de Nível</x:v>
      </x:c>
      <x:c r="N415" t="str">
        <x:v>Sensor</x:v>
      </x:c>
      <x:c r="O415" t="str">
        <x:v>Leitura inconsistente</x:v>
      </x:c>
      <x:c r="P415" t="str">
        <x:v>Falha de nivelamento</x:v>
      </x:c>
      <x:c r="Q415"/>
      <x:c r="R415" t="str">
        <x:v>Shopping Center Norte</x:v>
      </x:c>
      <x:c r="S415" t="str">
        <x:v>Não</x:v>
      </x:c>
      <x:c r="T415" t="str">
        <x:v>Sim</x:v>
      </x:c>
      <x:c r="U415" t="str">
        <x:v>CT-2026-002</x:v>
      </x:c>
      <x:c r="V415" t="str">
        <x:v>SP-Norte</x:v>
      </x:c>
      <x:c r="W415" t="str">
        <x:v>Marcos Lima</x:v>
      </x:c>
      <x:c r="X415" t="str">
        <x:v>Supervisor B</x:v>
      </x:c>
      <x:c r="Y415" t="str">
        <x:v>Rota Norte 02</x:v>
      </x:c>
      <x:c r="Z415" t="str">
        <x:v>Av. Otto Baumgart, 245 - São Paulo/SP</x:v>
      </x:c>
      <x:c r="AA415" t="str">
        <x:v>São Paulo</x:v>
      </x:c>
      <x:c r="AB415" s="50" t="n">
        <x:v>46273.67152777778</x:v>
      </x:c>
      <x:c r="AC415" s="50" t="n">
        <x:v>46273.67291666667</x:v>
      </x:c>
      <x:c r="AD415" s="50" t="n">
        <x:v>46273.67847222222</x:v>
      </x:c>
      <x:c r="AE415" s="50" t="n">
        <x:v>46273.694444444445</x:v>
      </x:c>
      <x:c r="AF415" s="50"/>
      <x:c r="AG415" t="n">
        <x:v>33</x:v>
      </x:c>
      <x:c r="AH415"/>
      <x:c r="AI415" t="str">
        <x:v>Não</x:v>
      </x:c>
      <x:c r="AJ415" t="str">
        <x:v>Não</x:v>
      </x:c>
      <x:c r="AK415" t="n">
        <x:v>90</x:v>
      </x:c>
      <x:c r="AL415" t="n">
        <x:v>0</x:v>
      </x:c>
      <x:c r="AM415" s="64" t="n">
        <x:v>0.5889</x:v>
      </x:c>
      <x:c r="AN415" t="n">
        <x:v>1</x:v>
      </x:c>
      <x:c r="AO415" t="str">
        <x:v>Amarelo</x:v>
      </x:c>
      <x:c r="AP415" t="str">
        <x:v>atenção: tempo acumulado ≥ 55% do SLA</x:v>
      </x:c>
      <x:c r="AQ415" t="str">
        <x:v>Acompanhar sinais em Sensor de Nível; correlacionar histórico e SLA antes de recomendar intervenção.</x:v>
      </x:c>
      <x:c r="AR415" s="62" t="n">
        <x:v>818</x:v>
      </x:c>
      <x:c r="AS415" t="str">
        <x:v>Baixo</x:v>
      </x:c>
      <x:c r="AT415" s="50" t="n">
        <x:v>46273.708333333336</x:v>
      </x:c>
      <x:c r="AU415" t="str">
        <x:v>T11</x:v>
      </x:c>
      <x:c r="AV415" t="str">
        <x:v>Ocorrência adicional sintética; perfil inspirado em CH-20260908-002</x:v>
      </x:c>
    </x:row>
    <x:row r="416">
      <x:c r="A416" t="str">
        <x:v>CH-20260908-053</x:v>
      </x:c>
      <x:c r="B416" t="str">
        <x:v>Passageiro Preso</x:v>
      </x:c>
      <x:c r="C416" t="str">
        <x:v>Elevador parado entre andares</x:v>
      </x:c>
      <x:c r="D416" t="str">
        <x:v>Cabine imobilizada com passageiro no interior.</x:v>
      </x:c>
      <x:c r="E416" t="str">
        <x:v>Técnico a caminho</x:v>
      </x:c>
      <x:c r="F416" t="str">
        <x:v>Central de Atendimento</x:v>
      </x:c>
      <x:c r="G416" t="str">
        <x:v>E-153</x:v>
      </x:c>
      <x:c r="H416" t="str">
        <x:v>Elevador Social</x:v>
      </x:c>
      <x:c r="I416" t="str">
        <x:v>Microprocessado</x:v>
      </x:c>
      <x:c r="J416" t="str">
        <x:v>Gearless</x:v>
      </x:c>
      <x:c r="K416" t="str">
        <x:v>OTIS</x:v>
      </x:c>
      <x:c r="L416" t="str">
        <x:v>ROT-001</x:v>
      </x:c>
      <x:c r="M416" t="str">
        <x:v>Tração</x:v>
      </x:c>
      <x:c r="N416" t="str">
        <x:v>Freio</x:v>
      </x:c>
      <x:c r="O416" t="str">
        <x:v>Travamento</x:v>
      </x:c>
      <x:c r="P416" t="str">
        <x:v>Parada total</x:v>
      </x:c>
      <x:c r="Q416"/>
      <x:c r="R416" t="str">
        <x:v>Edifício Corporate</x:v>
      </x:c>
      <x:c r="S416" t="str">
        <x:v>Não</x:v>
      </x:c>
      <x:c r="T416" t="str">
        <x:v>Sim</x:v>
      </x:c>
      <x:c r="U416" t="str">
        <x:v>CT-2026-003</x:v>
      </x:c>
      <x:c r="V416" t="str">
        <x:v>SP-Oeste</x:v>
      </x:c>
      <x:c r="W416" t="str">
        <x:v>Ana Costa</x:v>
      </x:c>
      <x:c r="X416" t="str">
        <x:v>Supervisor A</x:v>
      </x:c>
      <x:c r="Y416" t="str">
        <x:v>Rota Oeste 03</x:v>
      </x:c>
      <x:c r="Z416" t="str">
        <x:v>Av. Faria Lima, 3500 - São Paulo/SP</x:v>
      </x:c>
      <x:c r="AA416" t="str">
        <x:v>São Paulo</x:v>
      </x:c>
      <x:c r="AB416" s="50" t="n">
        <x:v>46273.68125</x:v>
      </x:c>
      <x:c r="AC416" s="50" t="n">
        <x:v>46273.683333333334</x:v>
      </x:c>
      <x:c r="AD416" s="50" t="n">
        <x:v>46273.68958333333</x:v>
      </x:c>
      <x:c r="AE416" s="50"/>
      <x:c r="AF416" s="50"/>
      <x:c r="AG416"/>
      <x:c r="AH416"/>
      <x:c r="AI416" t="str">
        <x:v>Sim</x:v>
      </x:c>
      <x:c r="AJ416" t="str">
        <x:v>Sim</x:v>
      </x:c>
      <x:c r="AK416" t="n">
        <x:v>120</x:v>
      </x:c>
      <x:c r="AL416" t="n">
        <x:v>7</x:v>
      </x:c>
      <x:c r="AM416" s="64" t="n">
        <x:v>0.325</x:v>
      </x:c>
      <x:c r="AN416" t="n">
        <x:v>0</x:v>
      </x:c>
      <x:c r="AO416" t="str">
        <x:v>Amarelo</x:v>
      </x:c>
      <x:c r="AP416" t="str">
        <x:v>atenção: condição operacional sensível</x:v>
      </x:c>
      <x:c r="AQ416" t="str">
        <x:v>Acompanhar sinais em Tração; correlacionar histórico e SLA antes de recomendar intervenção.</x:v>
      </x:c>
      <x:c r="AR416" s="62" t="n">
        <x:v>1162.5</x:v>
      </x:c>
      <x:c r="AS416" t="str">
        <x:v>Médio</x:v>
      </x:c>
      <x:c r="AT416" s="50" t="n">
        <x:v>46273.708333333336</x:v>
      </x:c>
      <x:c r="AU416" t="str">
        <x:v>T11</x:v>
      </x:c>
      <x:c r="AV416" t="str">
        <x:v>Ocorrência adicional sintética; perfil inspirado em CH-20260908-009</x:v>
      </x:c>
    </x:row>
    <x:row r="417">
      <x:c r="A417" t="str">
        <x:v>CH-20260908-054</x:v>
      </x:c>
      <x:c r="B417" t="str">
        <x:v>Parada Intermitente</x:v>
      </x:c>
      <x:c r="C417" t="str">
        <x:v>Paradas aleatórias</x:v>
      </x:c>
      <x:c r="D417" t="str">
        <x:v>Equipamento interrompe operação de forma intermitente.</x:v>
      </x:c>
      <x:c r="E417" t="str">
        <x:v>Técnico a caminho</x:v>
      </x:c>
      <x:c r="F417" t="str">
        <x:v>Monitoramento Remoto</x:v>
      </x:c>
      <x:c r="G417" t="str">
        <x:v>E-142</x:v>
      </x:c>
      <x:c r="H417" t="str">
        <x:v>Elevador Social</x:v>
      </x:c>
      <x:c r="I417" t="str">
        <x:v>Microprocessado</x:v>
      </x:c>
      <x:c r="J417" t="str">
        <x:v>Gearless</x:v>
      </x:c>
      <x:c r="K417" t="str">
        <x:v>OTIS</x:v>
      </x:c>
      <x:c r="L417" t="str">
        <x:v>ROT-074</x:v>
      </x:c>
      <x:c r="M417" t="str">
        <x:v>Painel/Comando</x:v>
      </x:c>
      <x:c r="N417" t="str">
        <x:v>Placa</x:v>
      </x:c>
      <x:c r="O417" t="str">
        <x:v>Intermitência</x:v>
      </x:c>
      <x:c r="P417" t="str">
        <x:v>Falha intermitente</x:v>
      </x:c>
      <x:c r="Q417"/>
      <x:c r="R417" t="str">
        <x:v>Condomínio Alameda</x:v>
      </x:c>
      <x:c r="S417" t="str">
        <x:v>Não</x:v>
      </x:c>
      <x:c r="T417" t="str">
        <x:v>Não</x:v>
      </x:c>
      <x:c r="U417" t="str">
        <x:v>CT-2026-004</x:v>
      </x:c>
      <x:c r="V417" t="str">
        <x:v>SP-Sul</x:v>
      </x:c>
      <x:c r="W417" t="str">
        <x:v>Carlos Souza</x:v>
      </x:c>
      <x:c r="X417" t="str">
        <x:v>Supervisor D</x:v>
      </x:c>
      <x:c r="Y417" t="str">
        <x:v>Rota Sul 04</x:v>
      </x:c>
      <x:c r="Z417" t="str">
        <x:v>R. das Acácias, 420 - São Paulo/SP</x:v>
      </x:c>
      <x:c r="AA417" t="str">
        <x:v>São Paulo</x:v>
      </x:c>
      <x:c r="AB417" s="50" t="n">
        <x:v>46273.69097222222</x:v>
      </x:c>
      <x:c r="AC417" s="50" t="n">
        <x:v>46273.69375</x:v>
      </x:c>
      <x:c r="AD417" s="50" t="n">
        <x:v>46273.69652777778</x:v>
      </x:c>
      <x:c r="AE417" s="50"/>
      <x:c r="AF417" s="50"/>
      <x:c r="AG417"/>
      <x:c r="AH417"/>
      <x:c r="AI417" t="str">
        <x:v>Não</x:v>
      </x:c>
      <x:c r="AJ417" t="str">
        <x:v>Sim</x:v>
      </x:c>
      <x:c r="AK417" t="n">
        <x:v>180</x:v>
      </x:c>
      <x:c r="AL417" t="n">
        <x:v>34</x:v>
      </x:c>
      <x:c r="AM417" s="64" t="n">
        <x:v>0.1389</x:v>
      </x:c>
      <x:c r="AN417" t="n">
        <x:v>5</x:v>
      </x:c>
      <x:c r="AO417" t="str">
        <x:v>Laranja</x:v>
      </x:c>
      <x:c r="AP417" t="str">
        <x:v>janela de intervenção: recorrência ≥ 4/30d e equipamento parado</x:v>
      </x:c>
      <x:c r="AQ417" t="str">
        <x:v>Janela de intervenção em Painel/Comando; revisar recorrências (5/30d) e contexto antes de escalar.</x:v>
      </x:c>
      <x:c r="AR417" s="62" t="n">
        <x:v>1795</x:v>
      </x:c>
      <x:c r="AS417" t="str">
        <x:v>Alto</x:v>
      </x:c>
      <x:c r="AT417" s="50" t="n">
        <x:v>46273.708333333336</x:v>
      </x:c>
      <x:c r="AU417" t="str">
        <x:v>T11</x:v>
      </x:c>
      <x:c r="AV417" t="str">
        <x:v>Ocorrência adicional sintética; perfil inspirado em CH-20260908-016</x:v>
      </x:c>
    </x:row>
    <x:row r="418">
      <x:c r="A418" t="str">
        <x:v>CH-20260908-055</x:v>
      </x:c>
      <x:c r="B418" t="str">
        <x:v>Botão de Chamada</x:v>
      </x:c>
      <x:c r="C418" t="str">
        <x:v>Botão não responde</x:v>
      </x:c>
      <x:c r="D418" t="str">
        <x:v>Botão de chamada não registra comando.</x:v>
      </x:c>
      <x:c r="E418" t="str">
        <x:v>Técnico a caminho</x:v>
      </x:c>
      <x:c r="F418" t="str">
        <x:v>Aplicativo Cliente</x:v>
      </x:c>
      <x:c r="G418" t="str">
        <x:v>E-155</x:v>
      </x:c>
      <x:c r="H418" t="str">
        <x:v>Elevador Social</x:v>
      </x:c>
      <x:c r="I418" t="str">
        <x:v>Microprocessado</x:v>
      </x:c>
      <x:c r="J418" t="str">
        <x:v>Gearless</x:v>
      </x:c>
      <x:c r="K418" t="str">
        <x:v>OTIS</x:v>
      </x:c>
      <x:c r="L418" t="str">
        <x:v>ROT-063</x:v>
      </x:c>
      <x:c r="M418" t="str">
        <x:v>Botoeira</x:v>
      </x:c>
      <x:c r="N418" t="str">
        <x:v>Contato</x:v>
      </x:c>
      <x:c r="O418" t="str">
        <x:v>Mau contato</x:v>
      </x:c>
      <x:c r="P418" t="str">
        <x:v>Falha de comando</x:v>
      </x:c>
      <x:c r="Q418"/>
      <x:c r="R418" t="str">
        <x:v>Aeroporto Terminal 3</x:v>
      </x:c>
      <x:c r="S418" t="str">
        <x:v>Sim</x:v>
      </x:c>
      <x:c r="T418" t="str">
        <x:v>Sim</x:v>
      </x:c>
      <x:c r="U418" t="str">
        <x:v>CT-2026-005</x:v>
      </x:c>
      <x:c r="V418" t="str">
        <x:v>GRU</x:v>
      </x:c>
      <x:c r="W418" t="str">
        <x:v>Renata Alves</x:v>
      </x:c>
      <x:c r="X418" t="str">
        <x:v>Supervisor C</x:v>
      </x:c>
      <x:c r="Y418" t="str">
        <x:v>Rota GRU 05</x:v>
      </x:c>
      <x:c r="Z418" t="str">
        <x:v>Rod. Hélio Smidt, s/n - Guarulhos/SP</x:v>
      </x:c>
      <x:c r="AA418" t="str">
        <x:v>São Paulo</x:v>
      </x:c>
      <x:c r="AB418" s="50" t="n">
        <x:v>46273.700694444444</x:v>
      </x:c>
      <x:c r="AC418" s="50" t="n">
        <x:v>46273.70416666667</x:v>
      </x:c>
      <x:c r="AD418" s="50" t="n">
        <x:v>46273.70763888889</x:v>
      </x:c>
      <x:c r="AE418" s="50"/>
      <x:c r="AF418" s="50"/>
      <x:c r="AG418"/>
      <x:c r="AH418"/>
      <x:c r="AI418" t="str">
        <x:v>Não</x:v>
      </x:c>
      <x:c r="AJ418" t="str">
        <x:v>Não</x:v>
      </x:c>
      <x:c r="AK418" t="n">
        <x:v>45</x:v>
      </x:c>
      <x:c r="AL418" t="n">
        <x:v>10</x:v>
      </x:c>
      <x:c r="AM418" s="64" t="n">
        <x:v>0.2444</x:v>
      </x:c>
      <x:c r="AN418" t="n">
        <x:v>2</x:v>
      </x:c>
      <x:c r="AO418" t="str">
        <x:v>Amarelo</x:v>
      </x:c>
      <x:c r="AP418" t="str">
        <x:v>atenção: recorrências em 30 dias</x:v>
      </x:c>
      <x:c r="AQ418" t="str">
        <x:v>Acompanhar sinais em Botoeira; correlacionar histórico e SLA antes de recomendar intervenção.</x:v>
      </x:c>
      <x:c r="AR418" s="62" t="n">
        <x:v>814.5</x:v>
      </x:c>
      <x:c r="AS418" t="str">
        <x:v>Baixo</x:v>
      </x:c>
      <x:c r="AT418" s="50" t="n">
        <x:v>46273.708333333336</x:v>
      </x:c>
      <x:c r="AU418" t="str">
        <x:v>T11</x:v>
      </x:c>
      <x:c r="AV418" t="str">
        <x:v>Ocorrência adicional sintética; perfil inspirado em CH-20260908-023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5" hidden="0" customWidth="1"/>
    <x:col min="5" max="5" width="20" hidden="0" customWidth="1"/>
    <x:col min="6" max="6" width="23" hidden="0" customWidth="1"/>
    <x:col min="7" max="7" width="25" hidden="0" customWidth="1"/>
    <x:col min="8" max="8" width="100" hidden="0" customWidth="1"/>
  </x:cols>
  <x:sheetData>
    <x:row r="1" ht="29" customHeight="1">
      <x:c r="A1" s="45" t="str">
        <x:v>ID_Snapshot</x:v>
      </x:c>
      <x:c r="B1" s="45" t="str">
        <x:v>Horario_Observacao</x:v>
      </x:c>
      <x:c r="C1" s="45" t="str">
        <x:v>ID_Chamado</x:v>
      </x:c>
      <x:c r="D1" s="45" t="str">
        <x:v>Unidade</x:v>
      </x:c>
      <x:c r="E1" s="45" t="str">
        <x:v>Tipo_Mudanca</x:v>
      </x:c>
      <x:c r="F1" s="45" t="str">
        <x:v>Valor_Anterior</x:v>
      </x:c>
      <x:c r="G1" s="45" t="str">
        <x:v>Valor_Atual</x:v>
      </x:c>
      <x:c r="H1" s="45" t="str">
        <x:v>Evidencia_Explicacao</x:v>
      </x:c>
    </x:row>
    <x:row r="2" ht="22" customHeight="1">
      <x:c r="A2" t="str">
        <x:v>T00</x:v>
      </x:c>
      <x:c r="B2" s="50" t="n">
        <x:v>46273.333333333336</x:v>
      </x:c>
      <x:c r="C2" t="str">
        <x:v>CH-20260908-001</x:v>
      </x:c>
      <x:c r="D2" t="str">
        <x:v>E-101</x:v>
      </x:c>
      <x:c r="E2" t="str">
        <x:v>NOVO</x:v>
      </x:c>
      <x:c r="F2"/>
      <x:c r="G2" t="str">
        <x:v>Em atendimento</x:v>
      </x:c>
      <x:c r="H2" t="str">
        <x:v>Chamado passa a integrar o estado T00; Passageiro Preso / Tração.</x:v>
      </x:c>
    </x:row>
    <x:row r="3" ht="22" customHeight="1">
      <x:c r="A3" t="str">
        <x:v>T00</x:v>
      </x:c>
      <x:c r="B3" s="50" t="n">
        <x:v>46273.333333333336</x:v>
      </x:c>
      <x:c r="C3" t="str">
        <x:v>CH-20260908-002</x:v>
      </x:c>
      <x:c r="D3" t="str">
        <x:v>E-102</x:v>
      </x:c>
      <x:c r="E3" t="str">
        <x:v>NOVO</x:v>
      </x:c>
      <x:c r="F3"/>
      <x:c r="G3" t="str">
        <x:v>Técnico a caminho</x:v>
      </x:c>
      <x:c r="H3" t="str">
        <x:v>Chamado passa a integrar o estado T00; Falha de Nivelamento / Sensor de Nível.</x:v>
      </x:c>
    </x:row>
    <x:row r="4" ht="22" customHeight="1">
      <x:c r="A4" t="str">
        <x:v>T00</x:v>
      </x:c>
      <x:c r="B4" s="50" t="n">
        <x:v>46273.333333333336</x:v>
      </x:c>
      <x:c r="C4" t="str">
        <x:v>CH-20260908-003</x:v>
      </x:c>
      <x:c r="D4" t="str">
        <x:v>E-103</x:v>
      </x:c>
      <x:c r="E4" t="str">
        <x:v>NOVO</x:v>
      </x:c>
      <x:c r="F4"/>
      <x:c r="G4" t="str">
        <x:v>Técnico a caminho</x:v>
      </x:c>
      <x:c r="H4" t="str">
        <x:v>Chamado passa a integrar o estado T00; Porta não fecha / Operador de Porta.</x:v>
      </x:c>
    </x:row>
    <x:row r="5" ht="22" customHeight="1">
      <x:c r="A5" t="str">
        <x:v>T00</x:v>
      </x:c>
      <x:c r="B5" s="50" t="n">
        <x:v>46273.333333333336</x:v>
      </x:c>
      <x:c r="C5" t="str">
        <x:v>CH-20260908-004</x:v>
      </x:c>
      <x:c r="D5" t="str">
        <x:v>E-104</x:v>
      </x:c>
      <x:c r="E5" t="str">
        <x:v>NOVO</x:v>
      </x:c>
      <x:c r="F5"/>
      <x:c r="G5" t="str">
        <x:v>Técnico a caminho</x:v>
      </x:c>
      <x:c r="H5" t="str">
        <x:v>Chamado passa a integrar o estado T00; Painel sem comunicação / Painel/Comando.</x:v>
      </x:c>
    </x:row>
    <x:row r="6" ht="22" customHeight="1">
      <x:c r="A6" t="str">
        <x:v>T00</x:v>
      </x:c>
      <x:c r="B6" s="50" t="n">
        <x:v>46273.333333333336</x:v>
      </x:c>
      <x:c r="C6" t="str">
        <x:v>CH-20260908-005</x:v>
      </x:c>
      <x:c r="D6" t="str">
        <x:v>E-105</x:v>
      </x:c>
      <x:c r="E6" t="str">
        <x:v>NOVO</x:v>
      </x:c>
      <x:c r="F6"/>
      <x:c r="G6" t="str">
        <x:v>Em atendimento</x:v>
      </x:c>
      <x:c r="H6" t="str">
        <x:v>Chamado passa a integrar o estado T00; Falha de Tração / Máquina de Tração.</x:v>
      </x:c>
    </x:row>
    <x:row r="7" ht="22" customHeight="1">
      <x:c r="A7" t="str">
        <x:v>T00</x:v>
      </x:c>
      <x:c r="B7" s="50" t="n">
        <x:v>46273.333333333336</x:v>
      </x:c>
      <x:c r="C7" t="str">
        <x:v>CH-20260908-006</x:v>
      </x:c>
      <x:c r="D7" t="str">
        <x:v>E-106</x:v>
      </x:c>
      <x:c r="E7" t="str">
        <x:v>NOVO</x:v>
      </x:c>
      <x:c r="F7"/>
      <x:c r="G7" t="str">
        <x:v>Técnico a caminho</x:v>
      </x:c>
      <x:c r="H7" t="str">
        <x:v>Chamado passa a integrar o estado T00; Iluminação de Cabine / Elétrica.</x:v>
      </x:c>
    </x:row>
    <x:row r="8" ht="22" customHeight="1">
      <x:c r="A8" t="str">
        <x:v>T00</x:v>
      </x:c>
      <x:c r="B8" s="50" t="n">
        <x:v>46273.333333333336</x:v>
      </x:c>
      <x:c r="C8" t="str">
        <x:v>CH-20260908-007</x:v>
      </x:c>
      <x:c r="D8" t="str">
        <x:v>E-107</x:v>
      </x:c>
      <x:c r="E8" t="str">
        <x:v>NOVO</x:v>
      </x:c>
      <x:c r="F8"/>
      <x:c r="G8" t="str">
        <x:v>Técnico a caminho</x:v>
      </x:c>
      <x:c r="H8" t="str">
        <x:v>Chamado passa a integrar o estado T00; Botão de Chamada / Botoeira.</x:v>
      </x:c>
    </x:row>
    <x:row r="9" ht="22" customHeight="1">
      <x:c r="A9" t="str">
        <x:v>T00</x:v>
      </x:c>
      <x:c r="B9" s="50" t="n">
        <x:v>46273.333333333336</x:v>
      </x:c>
      <x:c r="C9" t="str">
        <x:v>CH-20260908-008</x:v>
      </x:c>
      <x:c r="D9" t="str">
        <x:v>E-108</x:v>
      </x:c>
      <x:c r="E9" t="str">
        <x:v>NOVO</x:v>
      </x:c>
      <x:c r="F9"/>
      <x:c r="G9" t="str">
        <x:v>Contactado</x:v>
      </x:c>
      <x:c r="H9" t="str">
        <x:v>Chamado passa a integrar o estado T00; Parada Intermitente / Painel/Comando.</x:v>
      </x:c>
    </x:row>
    <x:row r="10" ht="22" customHeight="1">
      <x:c r="A10" t="str">
        <x:v>T00</x:v>
      </x:c>
      <x:c r="B10" s="50" t="n">
        <x:v>46273.333333333336</x:v>
      </x:c>
      <x:c r="C10" t="str">
        <x:v>CH-20260908-009</x:v>
      </x:c>
      <x:c r="D10" t="str">
        <x:v>E-109</x:v>
      </x:c>
      <x:c r="E10" t="str">
        <x:v>NOVO</x:v>
      </x:c>
      <x:c r="F10"/>
      <x:c r="G10" t="str">
        <x:v>Aberto</x:v>
      </x:c>
      <x:c r="H10" t="str">
        <x:v>Chamado passa a integrar o estado T00; Passageiro Preso / Tração.</x:v>
      </x:c>
    </x:row>
    <x:row r="11" ht="22" customHeight="1">
      <x:c r="A11" t="str">
        <x:v>T00</x:v>
      </x:c>
      <x:c r="B11" s="50" t="n">
        <x:v>46273.333333333336</x:v>
      </x:c>
      <x:c r="C11" t="str">
        <x:v>CH-20260908-010</x:v>
      </x:c>
      <x:c r="D11" t="str">
        <x:v>E-110</x:v>
      </x:c>
      <x:c r="E11" t="str">
        <x:v>NOVO</x:v>
      </x:c>
      <x:c r="F11"/>
      <x:c r="G11" t="str">
        <x:v>Aberto</x:v>
      </x:c>
      <x:c r="H11" t="str">
        <x:v>Chamado passa a integrar o estado T00; Falha de Nivelamento / Sensor de Nível.</x:v>
      </x:c>
    </x:row>
    <x:row r="12" ht="22" customHeight="1">
      <x:c r="A12" t="str">
        <x:v>T01</x:v>
      </x:c>
      <x:c r="B12" s="50" t="n">
        <x:v>46273.354166666664</x:v>
      </x:c>
      <x:c r="C12" t="str">
        <x:v>CH-20260908-001</x:v>
      </x:c>
      <x:c r="D12" t="str">
        <x:v>E-101</x:v>
      </x:c>
      <x:c r="E12" t="str">
        <x:v>STATUS</x:v>
      </x:c>
      <x:c r="F12" t="str">
        <x:v>Em atendimento</x:v>
      </x:c>
      <x:c r="G12" t="str">
        <x:v>Concluído</x:v>
      </x:c>
      <x:c r="H12" t="str">
        <x:v>Conclusão simulada registrada.</x:v>
      </x:c>
    </x:row>
    <x:row r="13" ht="22" customHeight="1">
      <x:c r="A13" t="str">
        <x:v>T01</x:v>
      </x:c>
      <x:c r="B13" s="50" t="n">
        <x:v>46273.354166666664</x:v>
      </x:c>
      <x:c r="C13" t="str">
        <x:v>CH-20260908-002</x:v>
      </x:c>
      <x:c r="D13" t="str">
        <x:v>E-102</x:v>
      </x:c>
      <x:c r="E13" t="str">
        <x:v>STATUS</x:v>
      </x:c>
      <x:c r="F13" t="str">
        <x:v>Técnico a caminho</x:v>
      </x:c>
      <x:c r="G13" t="str">
        <x:v>Em atendimento</x:v>
      </x:c>
      <x:c r="H13" t="str">
        <x:v>Evolução operacional registrada no estado.</x:v>
      </x:c>
    </x:row>
    <x:row r="14" ht="22" customHeight="1">
      <x:c r="A14" t="str">
        <x:v>T01</x:v>
      </x:c>
      <x:c r="B14" s="50" t="n">
        <x:v>46273.354166666664</x:v>
      </x:c>
      <x:c r="C14" t="str">
        <x:v>CH-20260908-002</x:v>
      </x:c>
      <x:c r="D14" t="str">
        <x:v>E-102</x:v>
      </x:c>
      <x:c r="E14" t="str">
        <x:v>CRITICIDADE</x:v>
      </x:c>
      <x:c r="F14" t="str">
        <x:v>Verde</x:v>
      </x:c>
      <x:c r="G14" t="str">
        <x:v>Amarelo</x:v>
      </x:c>
      <x:c r="H14" t="str">
        <x:v>SLA acima de 55%</x:v>
      </x:c>
    </x:row>
    <x:row r="15" ht="22" customHeight="1">
      <x:c r="A15" t="str">
        <x:v>T01</x:v>
      </x:c>
      <x:c r="B15" s="50" t="n">
        <x:v>46273.354166666664</x:v>
      </x:c>
      <x:c r="C15" t="str">
        <x:v>CH-20260908-003</x:v>
      </x:c>
      <x:c r="D15" t="str">
        <x:v>E-103</x:v>
      </x:c>
      <x:c r="E15" t="str">
        <x:v>STATUS</x:v>
      </x:c>
      <x:c r="F15" t="str">
        <x:v>Técnico a caminho</x:v>
      </x:c>
      <x:c r="G15" t="str">
        <x:v>Em atendimento</x:v>
      </x:c>
      <x:c r="H15" t="str">
        <x:v>Evolução operacional registrada no estado.</x:v>
      </x:c>
    </x:row>
    <x:row r="16" ht="22" customHeight="1">
      <x:c r="A16" t="str">
        <x:v>T01</x:v>
      </x:c>
      <x:c r="B16" s="50" t="n">
        <x:v>46273.354166666664</x:v>
      </x:c>
      <x:c r="C16" t="str">
        <x:v>CH-20260908-004</x:v>
      </x:c>
      <x:c r="D16" t="str">
        <x:v>E-104</x:v>
      </x:c>
      <x:c r="E16" t="str">
        <x:v>STATUS</x:v>
      </x:c>
      <x:c r="F16" t="str">
        <x:v>Técnico a caminho</x:v>
      </x:c>
      <x:c r="G16" t="str">
        <x:v>Em atendimento</x:v>
      </x:c>
      <x:c r="H16" t="str">
        <x:v>Evolução operacional registrada no estado.</x:v>
      </x:c>
    </x:row>
    <x:row r="17" ht="22" customHeight="1">
      <x:c r="A17" t="str">
        <x:v>T01</x:v>
      </x:c>
      <x:c r="B17" s="50" t="n">
        <x:v>46273.354166666664</x:v>
      </x:c>
      <x:c r="C17" t="str">
        <x:v>CH-20260908-005</x:v>
      </x:c>
      <x:c r="D17" t="str">
        <x:v>E-105</x:v>
      </x:c>
      <x:c r="E17" t="str">
        <x:v>CRITICIDADE</x:v>
      </x:c>
      <x:c r="F17" t="str">
        <x:v>Amarelo</x:v>
      </x:c>
      <x:c r="G17" t="str">
        <x:v>Vermelho</x:v>
      </x:c>
      <x:c r="H17" t="str">
        <x:v>SLA estourado; carro parado</x:v>
      </x:c>
    </x:row>
    <x:row r="18" ht="22" customHeight="1">
      <x:c r="A18" t="str">
        <x:v>T01</x:v>
      </x:c>
      <x:c r="B18" s="50" t="n">
        <x:v>46273.354166666664</x:v>
      </x:c>
      <x:c r="C18" t="str">
        <x:v>CH-20260908-006</x:v>
      </x:c>
      <x:c r="D18" t="str">
        <x:v>E-106</x:v>
      </x:c>
      <x:c r="E18" t="str">
        <x:v>STATUS</x:v>
      </x:c>
      <x:c r="F18" t="str">
        <x:v>Técnico a caminho</x:v>
      </x:c>
      <x:c r="G18" t="str">
        <x:v>Concluído</x:v>
      </x:c>
      <x:c r="H18" t="str">
        <x:v>Conclusão simulada registrada.</x:v>
      </x:c>
    </x:row>
    <x:row r="19" ht="22" customHeight="1">
      <x:c r="A19" t="str">
        <x:v>T01</x:v>
      </x:c>
      <x:c r="B19" s="50" t="n">
        <x:v>46273.354166666664</x:v>
      </x:c>
      <x:c r="C19" t="str">
        <x:v>CH-20260908-007</x:v>
      </x:c>
      <x:c r="D19" t="str">
        <x:v>E-107</x:v>
      </x:c>
      <x:c r="E19" t="str">
        <x:v>STATUS</x:v>
      </x:c>
      <x:c r="F19" t="str">
        <x:v>Técnico a caminho</x:v>
      </x:c>
      <x:c r="G19" t="str">
        <x:v>Em atendimento</x:v>
      </x:c>
      <x:c r="H19" t="str">
        <x:v>Evolução operacional registrada no estado.</x:v>
      </x:c>
    </x:row>
    <x:row r="20" ht="22" customHeight="1">
      <x:c r="A20" t="str">
        <x:v>T01</x:v>
      </x:c>
      <x:c r="B20" s="50" t="n">
        <x:v>46273.354166666664</x:v>
      </x:c>
      <x:c r="C20" t="str">
        <x:v>CH-20260908-008</x:v>
      </x:c>
      <x:c r="D20" t="str">
        <x:v>E-108</x:v>
      </x:c>
      <x:c r="E20" t="str">
        <x:v>STATUS</x:v>
      </x:c>
      <x:c r="F20" t="str">
        <x:v>Contactado</x:v>
      </x:c>
      <x:c r="G20" t="str">
        <x:v>Técnico a caminho</x:v>
      </x:c>
      <x:c r="H20" t="str">
        <x:v>Evolução operacional registrada no estado.</x:v>
      </x:c>
    </x:row>
    <x:row r="21" ht="22" customHeight="1">
      <x:c r="A21" t="str">
        <x:v>T01</x:v>
      </x:c>
      <x:c r="B21" s="50" t="n">
        <x:v>46273.354166666664</x:v>
      </x:c>
      <x:c r="C21" t="str">
        <x:v>CH-20260908-009</x:v>
      </x:c>
      <x:c r="D21" t="str">
        <x:v>E-109</x:v>
      </x:c>
      <x:c r="E21" t="str">
        <x:v>STATUS</x:v>
      </x:c>
      <x:c r="F21" t="str">
        <x:v>Aberto</x:v>
      </x:c>
      <x:c r="G21" t="str">
        <x:v>Técnico a caminho</x:v>
      </x:c>
      <x:c r="H21" t="str">
        <x:v>Evolução operacional registrada no estado.</x:v>
      </x:c>
    </x:row>
    <x:row r="22" ht="22" customHeight="1">
      <x:c r="A22" t="str">
        <x:v>T01</x:v>
      </x:c>
      <x:c r="B22" s="50" t="n">
        <x:v>46273.354166666664</x:v>
      </x:c>
      <x:c r="C22" t="str">
        <x:v>CH-20260908-010</x:v>
      </x:c>
      <x:c r="D22" t="str">
        <x:v>E-110</x:v>
      </x:c>
      <x:c r="E22" t="str">
        <x:v>STATUS</x:v>
      </x:c>
      <x:c r="F22" t="str">
        <x:v>Aberto</x:v>
      </x:c>
      <x:c r="G22" t="str">
        <x:v>Em atendimento</x:v>
      </x:c>
      <x:c r="H22" t="str">
        <x:v>Evolução operacional registrada no estado.</x:v>
      </x:c>
    </x:row>
    <x:row r="23" ht="22" customHeight="1">
      <x:c r="A23" t="str">
        <x:v>T01</x:v>
      </x:c>
      <x:c r="B23" s="50" t="n">
        <x:v>46273.354166666664</x:v>
      </x:c>
      <x:c r="C23" t="str">
        <x:v>CH-20260908-011</x:v>
      </x:c>
      <x:c r="D23" t="str">
        <x:v>E-111</x:v>
      </x:c>
      <x:c r="E23" t="str">
        <x:v>NOVO</x:v>
      </x:c>
      <x:c r="F23"/>
      <x:c r="G23" t="str">
        <x:v>Em atendimento</x:v>
      </x:c>
      <x:c r="H23" t="str">
        <x:v>Chamado passa a integrar o estado T01; Porta não fecha / Operador de Porta.</x:v>
      </x:c>
    </x:row>
    <x:row r="24" ht="22" customHeight="1">
      <x:c r="A24" t="str">
        <x:v>T01</x:v>
      </x:c>
      <x:c r="B24" s="50" t="n">
        <x:v>46273.354166666664</x:v>
      </x:c>
      <x:c r="C24" t="str">
        <x:v>CH-20260908-012</x:v>
      </x:c>
      <x:c r="D24" t="str">
        <x:v>E-112</x:v>
      </x:c>
      <x:c r="E24" t="str">
        <x:v>NOVO</x:v>
      </x:c>
      <x:c r="F24"/>
      <x:c r="G24" t="str">
        <x:v>Técnico a caminho</x:v>
      </x:c>
      <x:c r="H24" t="str">
        <x:v>Chamado passa a integrar o estado T01; Painel sem comunicação / Painel/Comando.</x:v>
      </x:c>
    </x:row>
    <x:row r="25" ht="22" customHeight="1">
      <x:c r="A25" t="str">
        <x:v>T01</x:v>
      </x:c>
      <x:c r="B25" s="50" t="n">
        <x:v>46273.354166666664</x:v>
      </x:c>
      <x:c r="C25" t="str">
        <x:v>CH-20260908-013</x:v>
      </x:c>
      <x:c r="D25" t="str">
        <x:v>E-113</x:v>
      </x:c>
      <x:c r="E25" t="str">
        <x:v>NOVO</x:v>
      </x:c>
      <x:c r="F25"/>
      <x:c r="G25" t="str">
        <x:v>Técnico a caminho</x:v>
      </x:c>
      <x:c r="H25" t="str">
        <x:v>Chamado passa a integrar o estado T01; Falha de Tração / Máquina de Tração.</x:v>
      </x:c>
    </x:row>
    <x:row r="26" ht="22" customHeight="1">
      <x:c r="A26" t="str">
        <x:v>T01</x:v>
      </x:c>
      <x:c r="B26" s="50" t="n">
        <x:v>46273.354166666664</x:v>
      </x:c>
      <x:c r="C26" t="str">
        <x:v>CH-20260908-014</x:v>
      </x:c>
      <x:c r="D26" t="str">
        <x:v>E-114</x:v>
      </x:c>
      <x:c r="E26" t="str">
        <x:v>NOVO</x:v>
      </x:c>
      <x:c r="F26"/>
      <x:c r="G26" t="str">
        <x:v>Técnico a caminho</x:v>
      </x:c>
      <x:c r="H26" t="str">
        <x:v>Chamado passa a integrar o estado T01; Iluminação de Cabine / Elétrica.</x:v>
      </x:c>
    </x:row>
    <x:row r="27" ht="22" customHeight="1">
      <x:c r="A27" t="str">
        <x:v>T01</x:v>
      </x:c>
      <x:c r="B27" s="50" t="n">
        <x:v>46273.354166666664</x:v>
      </x:c>
      <x:c r="C27" t="str">
        <x:v>CH-20260908-015</x:v>
      </x:c>
      <x:c r="D27" t="str">
        <x:v>E-115</x:v>
      </x:c>
      <x:c r="E27" t="str">
        <x:v>NOVO</x:v>
      </x:c>
      <x:c r="F27"/>
      <x:c r="G27" t="str">
        <x:v>Técnico a caminho</x:v>
      </x:c>
      <x:c r="H27" t="str">
        <x:v>Chamado passa a integrar o estado T01; Botão de Chamada / Botoeira.</x:v>
      </x:c>
    </x:row>
    <x:row r="28" ht="22" customHeight="1">
      <x:c r="A28" t="str">
        <x:v>T01</x:v>
      </x:c>
      <x:c r="B28" s="50" t="n">
        <x:v>46273.354166666664</x:v>
      </x:c>
      <x:c r="C28" t="str">
        <x:v>CH-20260908-016</x:v>
      </x:c>
      <x:c r="D28" t="str">
        <x:v>E-116</x:v>
      </x:c>
      <x:c r="E28" t="str">
        <x:v>NOVO</x:v>
      </x:c>
      <x:c r="F28"/>
      <x:c r="G28" t="str">
        <x:v>Contactado</x:v>
      </x:c>
      <x:c r="H28" t="str">
        <x:v>Chamado passa a integrar o estado T01; Parada Intermitente / Painel/Comando.</x:v>
      </x:c>
    </x:row>
    <x:row r="29" ht="22" customHeight="1">
      <x:c r="A29" t="str">
        <x:v>T02</x:v>
      </x:c>
      <x:c r="B29" s="50" t="n">
        <x:v>46273.395833333336</x:v>
      </x:c>
      <x:c r="C29" t="str">
        <x:v>CH-20260908-002</x:v>
      </x:c>
      <x:c r="D29" t="str">
        <x:v>E-102</x:v>
      </x:c>
      <x:c r="E29" t="str">
        <x:v>STATUS</x:v>
      </x:c>
      <x:c r="F29" t="str">
        <x:v>Em atendimento</x:v>
      </x:c>
      <x:c r="G29" t="str">
        <x:v>Concluído</x:v>
      </x:c>
      <x:c r="H29" t="str">
        <x:v>Conclusão simulada registrada.</x:v>
      </x:c>
    </x:row>
    <x:row r="30" ht="22" customHeight="1">
      <x:c r="A30" t="str">
        <x:v>T02</x:v>
      </x:c>
      <x:c r="B30" s="50" t="n">
        <x:v>46273.395833333336</x:v>
      </x:c>
      <x:c r="C30" t="str">
        <x:v>CH-20260908-003</x:v>
      </x:c>
      <x:c r="D30" t="str">
        <x:v>E-103</x:v>
      </x:c>
      <x:c r="E30" t="str">
        <x:v>STATUS</x:v>
      </x:c>
      <x:c r="F30" t="str">
        <x:v>Em atendimento</x:v>
      </x:c>
      <x:c r="G30" t="str">
        <x:v>Concluído</x:v>
      </x:c>
      <x:c r="H30" t="str">
        <x:v>Conclusão simulada registrada.</x:v>
      </x:c>
    </x:row>
    <x:row r="31" ht="22" customHeight="1">
      <x:c r="A31" t="str">
        <x:v>T02</x:v>
      </x:c>
      <x:c r="B31" s="50" t="n">
        <x:v>46273.395833333336</x:v>
      </x:c>
      <x:c r="C31" t="str">
        <x:v>CH-20260908-004</x:v>
      </x:c>
      <x:c r="D31" t="str">
        <x:v>E-104</x:v>
      </x:c>
      <x:c r="E31" t="str">
        <x:v>STATUS</x:v>
      </x:c>
      <x:c r="F31" t="str">
        <x:v>Em atendimento</x:v>
      </x:c>
      <x:c r="G31" t="str">
        <x:v>Concluído</x:v>
      </x:c>
      <x:c r="H31" t="str">
        <x:v>Conclusão simulada registrada.</x:v>
      </x:c>
    </x:row>
    <x:row r="32" ht="22" customHeight="1">
      <x:c r="A32" t="str">
        <x:v>T02</x:v>
      </x:c>
      <x:c r="B32" s="50" t="n">
        <x:v>46273.395833333336</x:v>
      </x:c>
      <x:c r="C32" t="str">
        <x:v>CH-20260908-004</x:v>
      </x:c>
      <x:c r="D32" t="str">
        <x:v>E-104</x:v>
      </x:c>
      <x:c r="E32" t="str">
        <x:v>CRITICIDADE</x:v>
      </x:c>
      <x:c r="F32" t="str">
        <x:v>Amarelo</x:v>
      </x:c>
      <x:c r="G32" t="str">
        <x:v>Verde</x:v>
      </x:c>
      <x:c r="H32" t="str">
        <x:v>3 recorrências/30d; SLA acima de 55%</x:v>
      </x:c>
    </x:row>
    <x:row r="33" ht="22" customHeight="1">
      <x:c r="A33" t="str">
        <x:v>T02</x:v>
      </x:c>
      <x:c r="B33" s="50" t="n">
        <x:v>46273.395833333336</x:v>
      </x:c>
      <x:c r="C33" t="str">
        <x:v>CH-20260908-005</x:v>
      </x:c>
      <x:c r="D33" t="str">
        <x:v>E-105</x:v>
      </x:c>
      <x:c r="E33" t="str">
        <x:v>STATUS</x:v>
      </x:c>
      <x:c r="F33" t="str">
        <x:v>Em atendimento</x:v>
      </x:c>
      <x:c r="G33" t="str">
        <x:v>Concluído</x:v>
      </x:c>
      <x:c r="H33" t="str">
        <x:v>Conclusão simulada registrada.</x:v>
      </x:c>
    </x:row>
    <x:row r="34" ht="22" customHeight="1">
      <x:c r="A34" t="str">
        <x:v>T02</x:v>
      </x:c>
      <x:c r="B34" s="50" t="n">
        <x:v>46273.395833333336</x:v>
      </x:c>
      <x:c r="C34" t="str">
        <x:v>CH-20260908-007</x:v>
      </x:c>
      <x:c r="D34" t="str">
        <x:v>E-107</x:v>
      </x:c>
      <x:c r="E34" t="str">
        <x:v>STATUS</x:v>
      </x:c>
      <x:c r="F34" t="str">
        <x:v>Em atendimento</x:v>
      </x:c>
      <x:c r="G34" t="str">
        <x:v>Concluído</x:v>
      </x:c>
      <x:c r="H34" t="str">
        <x:v>Conclusão simulada registrada.</x:v>
      </x:c>
    </x:row>
    <x:row r="35" ht="22" customHeight="1">
      <x:c r="A35" t="str">
        <x:v>T02</x:v>
      </x:c>
      <x:c r="B35" s="50" t="n">
        <x:v>46273.395833333336</x:v>
      </x:c>
      <x:c r="C35" t="str">
        <x:v>CH-20260908-007</x:v>
      </x:c>
      <x:c r="D35" t="str">
        <x:v>E-107</x:v>
      </x:c>
      <x:c r="E35" t="str">
        <x:v>CRITICIDADE</x:v>
      </x:c>
      <x:c r="F35" t="str">
        <x:v>Amarelo</x:v>
      </x:c>
      <x:c r="G35" t="str">
        <x:v>Vermelho</x:v>
      </x:c>
      <x:c r="H35" t="str">
        <x:v>2 recorrências/30d; SLA estourado</x:v>
      </x:c>
    </x:row>
    <x:row r="36" ht="22" customHeight="1">
      <x:c r="A36" t="str">
        <x:v>T02</x:v>
      </x:c>
      <x:c r="B36" s="50" t="n">
        <x:v>46273.395833333336</x:v>
      </x:c>
      <x:c r="C36" t="str">
        <x:v>CH-20260908-008</x:v>
      </x:c>
      <x:c r="D36" t="str">
        <x:v>E-108</x:v>
      </x:c>
      <x:c r="E36" t="str">
        <x:v>STATUS</x:v>
      </x:c>
      <x:c r="F36" t="str">
        <x:v>Técnico a caminho</x:v>
      </x:c>
      <x:c r="G36" t="str">
        <x:v>Concluído</x:v>
      </x:c>
      <x:c r="H36" t="str">
        <x:v>Conclusão simulada registrada.</x:v>
      </x:c>
    </x:row>
    <x:row r="37" ht="22" customHeight="1">
      <x:c r="A37" t="str">
        <x:v>T02</x:v>
      </x:c>
      <x:c r="B37" s="50" t="n">
        <x:v>46273.395833333336</x:v>
      </x:c>
      <x:c r="C37" t="str">
        <x:v>CH-20260908-008</x:v>
      </x:c>
      <x:c r="D37" t="str">
        <x:v>E-108</x:v>
      </x:c>
      <x:c r="E37" t="str">
        <x:v>CRITICIDADE</x:v>
      </x:c>
      <x:c r="F37" t="str">
        <x:v>Amarelo</x:v>
      </x:c>
      <x:c r="G37" t="str">
        <x:v>Laranja</x:v>
      </x:c>
      <x:c r="H37" t="str">
        <x:v>4 recorrências/30d; SLA acima de 80%; carro parado</x:v>
      </x:c>
    </x:row>
    <x:row r="38" ht="22" customHeight="1">
      <x:c r="A38" t="str">
        <x:v>T02</x:v>
      </x:c>
      <x:c r="B38" s="50" t="n">
        <x:v>46273.395833333336</x:v>
      </x:c>
      <x:c r="C38" t="str">
        <x:v>CH-20260908-009</x:v>
      </x:c>
      <x:c r="D38" t="str">
        <x:v>E-109</x:v>
      </x:c>
      <x:c r="E38" t="str">
        <x:v>STATUS</x:v>
      </x:c>
      <x:c r="F38" t="str">
        <x:v>Técnico a caminho</x:v>
      </x:c>
      <x:c r="G38" t="str">
        <x:v>Concluído</x:v>
      </x:c>
      <x:c r="H38" t="str">
        <x:v>Conclusão simulada registrada.</x:v>
      </x:c>
    </x:row>
    <x:row r="39" ht="22" customHeight="1">
      <x:c r="A39" t="str">
        <x:v>T02</x:v>
      </x:c>
      <x:c r="B39" s="50" t="n">
        <x:v>46273.395833333336</x:v>
      </x:c>
      <x:c r="C39" t="str">
        <x:v>CH-20260908-009</x:v>
      </x:c>
      <x:c r="D39" t="str">
        <x:v>E-109</x:v>
      </x:c>
      <x:c r="E39" t="str">
        <x:v>CRITICIDADE</x:v>
      </x:c>
      <x:c r="F39" t="str">
        <x:v>Amarelo</x:v>
      </x:c>
      <x:c r="G39" t="str">
        <x:v>Verde</x:v>
      </x:c>
      <x:c r="H39" t="str">
        <x:v>passageiro preso; SLA acima de 55%; carro parado</x:v>
      </x:c>
    </x:row>
    <x:row r="40" ht="22" customHeight="1">
      <x:c r="A40" t="str">
        <x:v>T02</x:v>
      </x:c>
      <x:c r="B40" s="50" t="n">
        <x:v>46273.395833333336</x:v>
      </x:c>
      <x:c r="C40" t="str">
        <x:v>CH-20260908-010</x:v>
      </x:c>
      <x:c r="D40" t="str">
        <x:v>E-110</x:v>
      </x:c>
      <x:c r="E40" t="str">
        <x:v>STATUS</x:v>
      </x:c>
      <x:c r="F40" t="str">
        <x:v>Em atendimento</x:v>
      </x:c>
      <x:c r="G40" t="str">
        <x:v>Concluído</x:v>
      </x:c>
      <x:c r="H40" t="str">
        <x:v>Conclusão simulada registrada.</x:v>
      </x:c>
    </x:row>
    <x:row r="41" ht="22" customHeight="1">
      <x:c r="A41" t="str">
        <x:v>T02</x:v>
      </x:c>
      <x:c r="B41" s="50" t="n">
        <x:v>46273.395833333336</x:v>
      </x:c>
      <x:c r="C41" t="str">
        <x:v>CH-20260908-011</x:v>
      </x:c>
      <x:c r="D41" t="str">
        <x:v>E-111</x:v>
      </x:c>
      <x:c r="E41" t="str">
        <x:v>CRITICIDADE</x:v>
      </x:c>
      <x:c r="F41" t="str">
        <x:v>Amarelo</x:v>
      </x:c>
      <x:c r="G41" t="str">
        <x:v>Vermelho</x:v>
      </x:c>
      <x:c r="H41" t="str">
        <x:v>2 recorrências/30d; SLA estourado</x:v>
      </x:c>
    </x:row>
    <x:row r="42" ht="22" customHeight="1">
      <x:c r="A42" t="str">
        <x:v>T02</x:v>
      </x:c>
      <x:c r="B42" s="50" t="n">
        <x:v>46273.395833333336</x:v>
      </x:c>
      <x:c r="C42" t="str">
        <x:v>CH-20260908-012</x:v>
      </x:c>
      <x:c r="D42" t="str">
        <x:v>E-112</x:v>
      </x:c>
      <x:c r="E42" t="str">
        <x:v>STATUS</x:v>
      </x:c>
      <x:c r="F42" t="str">
        <x:v>Técnico a caminho</x:v>
      </x:c>
      <x:c r="G42" t="str">
        <x:v>Concluído</x:v>
      </x:c>
      <x:c r="H42" t="str">
        <x:v>Conclusão simulada registrada.</x:v>
      </x:c>
    </x:row>
    <x:row r="43" ht="22" customHeight="1">
      <x:c r="A43" t="str">
        <x:v>T02</x:v>
      </x:c>
      <x:c r="B43" s="50" t="n">
        <x:v>46273.395833333336</x:v>
      </x:c>
      <x:c r="C43" t="str">
        <x:v>CH-20260908-012</x:v>
      </x:c>
      <x:c r="D43" t="str">
        <x:v>E-112</x:v>
      </x:c>
      <x:c r="E43" t="str">
        <x:v>CRITICIDADE</x:v>
      </x:c>
      <x:c r="F43" t="str">
        <x:v>Amarelo</x:v>
      </x:c>
      <x:c r="G43" t="str">
        <x:v>Verde</x:v>
      </x:c>
      <x:c r="H43" t="str">
        <x:v>3 recorrências/30d</x:v>
      </x:c>
    </x:row>
    <x:row r="44" ht="22" customHeight="1">
      <x:c r="A44" t="str">
        <x:v>T02</x:v>
      </x:c>
      <x:c r="B44" s="50" t="n">
        <x:v>46273.395833333336</x:v>
      </x:c>
      <x:c r="C44" t="str">
        <x:v>CH-20260908-013</x:v>
      </x:c>
      <x:c r="D44" t="str">
        <x:v>E-113</x:v>
      </x:c>
      <x:c r="E44" t="str">
        <x:v>STATUS</x:v>
      </x:c>
      <x:c r="F44" t="str">
        <x:v>Técnico a caminho</x:v>
      </x:c>
      <x:c r="G44" t="str">
        <x:v>Em atendimento</x:v>
      </x:c>
      <x:c r="H44" t="str">
        <x:v>Evolução operacional registrada no estado.</x:v>
      </x:c>
    </x:row>
    <x:row r="45" ht="22" customHeight="1">
      <x:c r="A45" t="str">
        <x:v>T02</x:v>
      </x:c>
      <x:c r="B45" s="50" t="n">
        <x:v>46273.395833333336</x:v>
      </x:c>
      <x:c r="C45" t="str">
        <x:v>CH-20260908-013</x:v>
      </x:c>
      <x:c r="D45" t="str">
        <x:v>E-113</x:v>
      </x:c>
      <x:c r="E45" t="str">
        <x:v>CRITICIDADE</x:v>
      </x:c>
      <x:c r="F45" t="str">
        <x:v>Amarelo</x:v>
      </x:c>
      <x:c r="G45" t="str">
        <x:v>Vermelho</x:v>
      </x:c>
      <x:c r="H45" t="str">
        <x:v>SLA estourado; carro parado</x:v>
      </x:c>
    </x:row>
    <x:row r="46" ht="22" customHeight="1">
      <x:c r="A46" t="str">
        <x:v>T02</x:v>
      </x:c>
      <x:c r="B46" s="50" t="n">
        <x:v>46273.395833333336</x:v>
      </x:c>
      <x:c r="C46" t="str">
        <x:v>CH-20260908-014</x:v>
      </x:c>
      <x:c r="D46" t="str">
        <x:v>E-114</x:v>
      </x:c>
      <x:c r="E46" t="str">
        <x:v>STATUS</x:v>
      </x:c>
      <x:c r="F46" t="str">
        <x:v>Técnico a caminho</x:v>
      </x:c>
      <x:c r="G46" t="str">
        <x:v>Em atendimento</x:v>
      </x:c>
      <x:c r="H46" t="str">
        <x:v>Evolução operacional registrada no estado.</x:v>
      </x:c>
    </x:row>
    <x:row r="47" ht="22" customHeight="1">
      <x:c r="A47" t="str">
        <x:v>T02</x:v>
      </x:c>
      <x:c r="B47" s="50" t="n">
        <x:v>46273.395833333336</x:v>
      </x:c>
      <x:c r="C47" t="str">
        <x:v>CH-20260908-014</x:v>
      </x:c>
      <x:c r="D47" t="str">
        <x:v>E-114</x:v>
      </x:c>
      <x:c r="E47" t="str">
        <x:v>CRITICIDADE</x:v>
      </x:c>
      <x:c r="F47" t="str">
        <x:v>Verde</x:v>
      </x:c>
      <x:c r="G47" t="str">
        <x:v>Laranja</x:v>
      </x:c>
      <x:c r="H47" t="str">
        <x:v>SLA acima de 80%</x:v>
      </x:c>
    </x:row>
    <x:row r="48" ht="22" customHeight="1">
      <x:c r="A48" t="str">
        <x:v>T02</x:v>
      </x:c>
      <x:c r="B48" s="50" t="n">
        <x:v>46273.395833333336</x:v>
      </x:c>
      <x:c r="C48" t="str">
        <x:v>CH-20260908-015</x:v>
      </x:c>
      <x:c r="D48" t="str">
        <x:v>E-115</x:v>
      </x:c>
      <x:c r="E48" t="str">
        <x:v>STATUS</x:v>
      </x:c>
      <x:c r="F48" t="str">
        <x:v>Técnico a caminho</x:v>
      </x:c>
      <x:c r="G48" t="str">
        <x:v>Em atendimento</x:v>
      </x:c>
      <x:c r="H48" t="str">
        <x:v>Evolução operacional registrada no estado.</x:v>
      </x:c>
    </x:row>
    <x:row r="49" ht="22" customHeight="1">
      <x:c r="A49" t="str">
        <x:v>T02</x:v>
      </x:c>
      <x:c r="B49" s="50" t="n">
        <x:v>46273.395833333336</x:v>
      </x:c>
      <x:c r="C49" t="str">
        <x:v>CH-20260908-016</x:v>
      </x:c>
      <x:c r="D49" t="str">
        <x:v>E-116</x:v>
      </x:c>
      <x:c r="E49" t="str">
        <x:v>STATUS</x:v>
      </x:c>
      <x:c r="F49" t="str">
        <x:v>Contactado</x:v>
      </x:c>
      <x:c r="G49" t="str">
        <x:v>Em atendimento</x:v>
      </x:c>
      <x:c r="H49" t="str">
        <x:v>Evolução operacional registrada no estado.</x:v>
      </x:c>
    </x:row>
    <x:row r="50" ht="22" customHeight="1">
      <x:c r="A50" t="str">
        <x:v>T02</x:v>
      </x:c>
      <x:c r="B50" s="50" t="n">
        <x:v>46273.395833333336</x:v>
      </x:c>
      <x:c r="C50" t="str">
        <x:v>CH-20260908-017</x:v>
      </x:c>
      <x:c r="D50" t="str">
        <x:v>E-117</x:v>
      </x:c>
      <x:c r="E50" t="str">
        <x:v>NOVO</x:v>
      </x:c>
      <x:c r="F50"/>
      <x:c r="G50" t="str">
        <x:v>Concluído</x:v>
      </x:c>
      <x:c r="H50" t="str">
        <x:v>Chamado passa a integrar o estado T02; Passageiro Preso / Tração.</x:v>
      </x:c>
    </x:row>
    <x:row r="51" ht="22" customHeight="1">
      <x:c r="A51" t="str">
        <x:v>T02</x:v>
      </x:c>
      <x:c r="B51" s="50" t="n">
        <x:v>46273.395833333336</x:v>
      </x:c>
      <x:c r="C51" t="str">
        <x:v>CH-20260908-018</x:v>
      </x:c>
      <x:c r="D51" t="str">
        <x:v>E-118</x:v>
      </x:c>
      <x:c r="E51" t="str">
        <x:v>NOVO</x:v>
      </x:c>
      <x:c r="F51"/>
      <x:c r="G51" t="str">
        <x:v>Em atendimento</x:v>
      </x:c>
      <x:c r="H51" t="str">
        <x:v>Chamado passa a integrar o estado T02; Falha de Nivelamento / Sensor de Nível.</x:v>
      </x:c>
    </x:row>
    <x:row r="52" ht="22" customHeight="1">
      <x:c r="A52" t="str">
        <x:v>T02</x:v>
      </x:c>
      <x:c r="B52" s="50" t="n">
        <x:v>46273.395833333336</x:v>
      </x:c>
      <x:c r="C52" t="str">
        <x:v>CH-20260908-019</x:v>
      </x:c>
      <x:c r="D52" t="str">
        <x:v>E-119</x:v>
      </x:c>
      <x:c r="E52" t="str">
        <x:v>NOVO</x:v>
      </x:c>
      <x:c r="F52"/>
      <x:c r="G52" t="str">
        <x:v>Técnico a caminho</x:v>
      </x:c>
      <x:c r="H52" t="str">
        <x:v>Chamado passa a integrar o estado T02; Porta não fecha / Operador de Porta.</x:v>
      </x:c>
    </x:row>
    <x:row r="53" ht="22" customHeight="1">
      <x:c r="A53" t="str">
        <x:v>T02</x:v>
      </x:c>
      <x:c r="B53" s="50" t="n">
        <x:v>46273.395833333336</x:v>
      </x:c>
      <x:c r="C53" t="str">
        <x:v>CH-20260908-020</x:v>
      </x:c>
      <x:c r="D53" t="str">
        <x:v>E-120</x:v>
      </x:c>
      <x:c r="E53" t="str">
        <x:v>NOVO</x:v>
      </x:c>
      <x:c r="F53"/>
      <x:c r="G53" t="str">
        <x:v>Em atendimento</x:v>
      </x:c>
      <x:c r="H53" t="str">
        <x:v>Chamado passa a integrar o estado T02; Painel sem comunicação / Painel/Comando.</x:v>
      </x:c>
    </x:row>
    <x:row r="54" ht="22" customHeight="1">
      <x:c r="A54" t="str">
        <x:v>T02</x:v>
      </x:c>
      <x:c r="B54" s="50" t="n">
        <x:v>46273.395833333336</x:v>
      </x:c>
      <x:c r="C54" t="str">
        <x:v>CH-20260908-021</x:v>
      </x:c>
      <x:c r="D54" t="str">
        <x:v>E-121</x:v>
      </x:c>
      <x:c r="E54" t="str">
        <x:v>NOVO</x:v>
      </x:c>
      <x:c r="F54"/>
      <x:c r="G54" t="str">
        <x:v>Em atendimento</x:v>
      </x:c>
      <x:c r="H54" t="str">
        <x:v>Chamado passa a integrar o estado T02; Falha de Tração / Máquina de Tração.</x:v>
      </x:c>
    </x:row>
    <x:row r="55" ht="22" customHeight="1">
      <x:c r="A55" t="str">
        <x:v>T02</x:v>
      </x:c>
      <x:c r="B55" s="50" t="n">
        <x:v>46273.395833333336</x:v>
      </x:c>
      <x:c r="C55" t="str">
        <x:v>CH-20260908-022</x:v>
      </x:c>
      <x:c r="D55" t="str">
        <x:v>E-122</x:v>
      </x:c>
      <x:c r="E55" t="str">
        <x:v>NOVO</x:v>
      </x:c>
      <x:c r="F55"/>
      <x:c r="G55" t="str">
        <x:v>Técnico a caminho</x:v>
      </x:c>
      <x:c r="H55" t="str">
        <x:v>Chamado passa a integrar o estado T02; Iluminação de Cabine / Elétrica.</x:v>
      </x:c>
    </x:row>
    <x:row r="56" ht="22" customHeight="1">
      <x:c r="A56" t="str">
        <x:v>T02</x:v>
      </x:c>
      <x:c r="B56" s="50" t="n">
        <x:v>46273.395833333336</x:v>
      </x:c>
      <x:c r="C56" t="str">
        <x:v>CH-20260908-023</x:v>
      </x:c>
      <x:c r="D56" t="str">
        <x:v>E-123</x:v>
      </x:c>
      <x:c r="E56" t="str">
        <x:v>NOVO</x:v>
      </x:c>
      <x:c r="F56"/>
      <x:c r="G56" t="str">
        <x:v>Técnico a caminho</x:v>
      </x:c>
      <x:c r="H56" t="str">
        <x:v>Chamado passa a integrar o estado T02; Botão de Chamada / Botoeira.</x:v>
      </x:c>
    </x:row>
    <x:row r="57" ht="22" customHeight="1">
      <x:c r="A57" t="str">
        <x:v>T02</x:v>
      </x:c>
      <x:c r="B57" s="50" t="n">
        <x:v>46273.395833333336</x:v>
      </x:c>
      <x:c r="C57" t="str">
        <x:v>CH-20260908-024</x:v>
      </x:c>
      <x:c r="D57" t="str">
        <x:v>E-124</x:v>
      </x:c>
      <x:c r="E57" t="str">
        <x:v>NOVO</x:v>
      </x:c>
      <x:c r="F57"/>
      <x:c r="G57" t="str">
        <x:v>Técnico a caminho</x:v>
      </x:c>
      <x:c r="H57" t="str">
        <x:v>Chamado passa a integrar o estado T02; Parada Intermitente / Painel/Comando.</x:v>
      </x:c>
    </x:row>
    <x:row r="58" ht="22" customHeight="1">
      <x:c r="A58" t="str">
        <x:v>T03</x:v>
      </x:c>
      <x:c r="B58" s="50" t="n">
        <x:v>46273.427083333336</x:v>
      </x:c>
      <x:c r="C58" t="str">
        <x:v>CH-20260908-011</x:v>
      </x:c>
      <x:c r="D58" t="str">
        <x:v>E-111</x:v>
      </x:c>
      <x:c r="E58" t="str">
        <x:v>STATUS</x:v>
      </x:c>
      <x:c r="F58" t="str">
        <x:v>Em atendimento</x:v>
      </x:c>
      <x:c r="G58" t="str">
        <x:v>Concluído</x:v>
      </x:c>
      <x:c r="H58" t="str">
        <x:v>Conclusão simulada registrada.</x:v>
      </x:c>
    </x:row>
    <x:row r="59" ht="22" customHeight="1">
      <x:c r="A59" t="str">
        <x:v>T03</x:v>
      </x:c>
      <x:c r="B59" s="50" t="n">
        <x:v>46273.427083333336</x:v>
      </x:c>
      <x:c r="C59" t="str">
        <x:v>CH-20260908-014</x:v>
      </x:c>
      <x:c r="D59" t="str">
        <x:v>E-114</x:v>
      </x:c>
      <x:c r="E59" t="str">
        <x:v>CRITICIDADE</x:v>
      </x:c>
      <x:c r="F59" t="str">
        <x:v>Laranja</x:v>
      </x:c>
      <x:c r="G59" t="str">
        <x:v>Vermelho</x:v>
      </x:c>
      <x:c r="H59" t="str">
        <x:v>SLA sintético excedido (tempo acumulado ≥ 100% do SLA)</x:v>
      </x:c>
    </x:row>
    <x:row r="60" ht="22" customHeight="1">
      <x:c r="A60" t="str">
        <x:v>T03</x:v>
      </x:c>
      <x:c r="B60" s="50" t="n">
        <x:v>46273.427083333336</x:v>
      </x:c>
      <x:c r="C60" t="str">
        <x:v>CH-20260908-015</x:v>
      </x:c>
      <x:c r="D60" t="str">
        <x:v>E-115</x:v>
      </x:c>
      <x:c r="E60" t="str">
        <x:v>STATUS</x:v>
      </x:c>
      <x:c r="F60" t="str">
        <x:v>Em atendimento</x:v>
      </x:c>
      <x:c r="G60" t="str">
        <x:v>Concluído</x:v>
      </x:c>
      <x:c r="H60" t="str">
        <x:v>Conclusão simulada registrada.</x:v>
      </x:c>
    </x:row>
    <x:row r="61" ht="22" customHeight="1">
      <x:c r="A61" t="str">
        <x:v>T03</x:v>
      </x:c>
      <x:c r="B61" s="50" t="n">
        <x:v>46273.427083333336</x:v>
      </x:c>
      <x:c r="C61" t="str">
        <x:v>CH-20260908-015</x:v>
      </x:c>
      <x:c r="D61" t="str">
        <x:v>E-115</x:v>
      </x:c>
      <x:c r="E61" t="str">
        <x:v>CRITICIDADE</x:v>
      </x:c>
      <x:c r="F61" t="str">
        <x:v>Amarelo</x:v>
      </x:c>
      <x:c r="G61" t="str">
        <x:v>Laranja</x:v>
      </x:c>
      <x:c r="H61" t="str">
        <x:v>janela de intervenção: tempo acumulado ≥ 80% do SLA</x:v>
      </x:c>
    </x:row>
    <x:row r="62" ht="22" customHeight="1">
      <x:c r="A62" t="str">
        <x:v>T03</x:v>
      </x:c>
      <x:c r="B62" s="50" t="n">
        <x:v>46273.427083333336</x:v>
      </x:c>
      <x:c r="C62" t="str">
        <x:v>CH-20260908-016</x:v>
      </x:c>
      <x:c r="D62" t="str">
        <x:v>E-116</x:v>
      </x:c>
      <x:c r="E62" t="str">
        <x:v>CRITICIDADE</x:v>
      </x:c>
      <x:c r="F62" t="str">
        <x:v>Amarelo</x:v>
      </x:c>
      <x:c r="G62" t="str">
        <x:v>Laranja</x:v>
      </x:c>
      <x:c r="H62" t="str">
        <x:v>janela de intervenção: recorrência ≥ 4/30d e equipamento parado</x:v>
      </x:c>
    </x:row>
    <x:row r="63" ht="22" customHeight="1">
      <x:c r="A63" t="str">
        <x:v>T03</x:v>
      </x:c>
      <x:c r="B63" s="50" t="n">
        <x:v>46273.427083333336</x:v>
      </x:c>
      <x:c r="C63" t="str">
        <x:v>CH-20260908-018</x:v>
      </x:c>
      <x:c r="D63" t="str">
        <x:v>E-118</x:v>
      </x:c>
      <x:c r="E63" t="str">
        <x:v>CRITICIDADE</x:v>
      </x:c>
      <x:c r="F63" t="str">
        <x:v>Verde</x:v>
      </x:c>
      <x:c r="G63" t="str">
        <x:v>Laranja</x:v>
      </x:c>
      <x:c r="H63" t="str">
        <x:v>janela de intervenção: tempo acumulado ≥ 80% do SLA</x:v>
      </x:c>
    </x:row>
    <x:row r="64" ht="22" customHeight="1">
      <x:c r="A64" t="str">
        <x:v>T03</x:v>
      </x:c>
      <x:c r="B64" s="50" t="n">
        <x:v>46273.427083333336</x:v>
      </x:c>
      <x:c r="C64" t="str">
        <x:v>CH-20260908-019</x:v>
      </x:c>
      <x:c r="D64" t="str">
        <x:v>E-119</x:v>
      </x:c>
      <x:c r="E64" t="str">
        <x:v>STATUS</x:v>
      </x:c>
      <x:c r="F64" t="str">
        <x:v>Técnico a caminho</x:v>
      </x:c>
      <x:c r="G64" t="str">
        <x:v>Em atendimento</x:v>
      </x:c>
      <x:c r="H64" t="str">
        <x:v>Evolução operacional registrada no estado.</x:v>
      </x:c>
    </x:row>
    <x:row r="65" ht="22" customHeight="1">
      <x:c r="A65" t="str">
        <x:v>T03</x:v>
      </x:c>
      <x:c r="B65" s="50" t="n">
        <x:v>46273.427083333336</x:v>
      </x:c>
      <x:c r="C65" t="str">
        <x:v>CH-20260908-019</x:v>
      </x:c>
      <x:c r="D65" t="str">
        <x:v>E-119</x:v>
      </x:c>
      <x:c r="E65" t="str">
        <x:v>CRITICIDADE</x:v>
      </x:c>
      <x:c r="F65" t="str">
        <x:v>Laranja</x:v>
      </x:c>
      <x:c r="G65" t="str">
        <x:v>Vermelho</x:v>
      </x:c>
      <x:c r="H65" t="str">
        <x:v>SLA sintético excedido (tempo acumulado ≥ 100% do SLA)</x:v>
      </x:c>
    </x:row>
    <x:row r="66" ht="22" customHeight="1">
      <x:c r="A66" t="str">
        <x:v>T03</x:v>
      </x:c>
      <x:c r="B66" s="50" t="n">
        <x:v>46273.427083333336</x:v>
      </x:c>
      <x:c r="C66" t="str">
        <x:v>CH-20260908-020</x:v>
      </x:c>
      <x:c r="D66" t="str">
        <x:v>E-120</x:v>
      </x:c>
      <x:c r="E66" t="str">
        <x:v>CRITICIDADE</x:v>
      </x:c>
      <x:c r="F66" t="str">
        <x:v>Amarelo</x:v>
      </x:c>
      <x:c r="G66" t="str">
        <x:v>Laranja</x:v>
      </x:c>
      <x:c r="H66" t="str">
        <x:v>janela de intervenção: tempo acumulado ≥ 80% do SLA</x:v>
      </x:c>
    </x:row>
    <x:row r="67" ht="22" customHeight="1">
      <x:c r="A67" t="str">
        <x:v>T03</x:v>
      </x:c>
      <x:c r="B67" s="50" t="n">
        <x:v>46273.427083333336</x:v>
      </x:c>
      <x:c r="C67" t="str">
        <x:v>CH-20260908-022</x:v>
      </x:c>
      <x:c r="D67" t="str">
        <x:v>E-122</x:v>
      </x:c>
      <x:c r="E67" t="str">
        <x:v>STATUS</x:v>
      </x:c>
      <x:c r="F67" t="str">
        <x:v>Técnico a caminho</x:v>
      </x:c>
      <x:c r="G67" t="str">
        <x:v>Em atendimento</x:v>
      </x:c>
      <x:c r="H67" t="str">
        <x:v>Evolução operacional registrada no estado.</x:v>
      </x:c>
    </x:row>
    <x:row r="68" ht="22" customHeight="1">
      <x:c r="A68" t="str">
        <x:v>T03</x:v>
      </x:c>
      <x:c r="B68" s="50" t="n">
        <x:v>46273.427083333336</x:v>
      </x:c>
      <x:c r="C68" t="str">
        <x:v>CH-20260908-023</x:v>
      </x:c>
      <x:c r="D68" t="str">
        <x:v>E-123</x:v>
      </x:c>
      <x:c r="E68" t="str">
        <x:v>STATUS</x:v>
      </x:c>
      <x:c r="F68" t="str">
        <x:v>Técnico a caminho</x:v>
      </x:c>
      <x:c r="G68" t="str">
        <x:v>Em atendimento</x:v>
      </x:c>
      <x:c r="H68" t="str">
        <x:v>Evolução operacional registrada no estado.</x:v>
      </x:c>
    </x:row>
    <x:row r="69" ht="22" customHeight="1">
      <x:c r="A69" t="str">
        <x:v>T03</x:v>
      </x:c>
      <x:c r="B69" s="50" t="n">
        <x:v>46273.427083333336</x:v>
      </x:c>
      <x:c r="C69" t="str">
        <x:v>CH-20260908-023</x:v>
      </x:c>
      <x:c r="D69" t="str">
        <x:v>E-123</x:v>
      </x:c>
      <x:c r="E69" t="str">
        <x:v>CRITICIDADE</x:v>
      </x:c>
      <x:c r="F69" t="str">
        <x:v>Amarelo</x:v>
      </x:c>
      <x:c r="G69" t="str">
        <x:v>Vermelho</x:v>
      </x:c>
      <x:c r="H69" t="str">
        <x:v>SLA sintético excedido (tempo acumulado ≥ 100% do SLA)</x:v>
      </x:c>
    </x:row>
    <x:row r="70" ht="22" customHeight="1">
      <x:c r="A70" t="str">
        <x:v>T03</x:v>
      </x:c>
      <x:c r="B70" s="50" t="n">
        <x:v>46273.427083333336</x:v>
      </x:c>
      <x:c r="C70" t="str">
        <x:v>CH-20260908-024</x:v>
      </x:c>
      <x:c r="D70" t="str">
        <x:v>E-124</x:v>
      </x:c>
      <x:c r="E70" t="str">
        <x:v>STATUS</x:v>
      </x:c>
      <x:c r="F70" t="str">
        <x:v>Técnico a caminho</x:v>
      </x:c>
      <x:c r="G70" t="str">
        <x:v>Em atendimento</x:v>
      </x:c>
      <x:c r="H70" t="str">
        <x:v>Evolução operacional registrada no estado.</x:v>
      </x:c>
    </x:row>
    <x:row r="71" ht="22" customHeight="1">
      <x:c r="A71" t="str">
        <x:v>T03</x:v>
      </x:c>
      <x:c r="B71" s="50" t="n">
        <x:v>46273.427083333336</x:v>
      </x:c>
      <x:c r="C71" t="str">
        <x:v>CH-20260908-024</x:v>
      </x:c>
      <x:c r="D71" t="str">
        <x:v>E-124</x:v>
      </x:c>
      <x:c r="E71" t="str">
        <x:v>CRITICIDADE</x:v>
      </x:c>
      <x:c r="F71" t="str">
        <x:v>Amarelo</x:v>
      </x:c>
      <x:c r="G71" t="str">
        <x:v>Laranja</x:v>
      </x:c>
      <x:c r="H71" t="str">
        <x:v>janela de intervenção: recorrência ≥ 4/30d e equipamento parado</x:v>
      </x:c>
    </x:row>
    <x:row r="72" ht="22" customHeight="1">
      <x:c r="A72" t="str">
        <x:v>T03</x:v>
      </x:c>
      <x:c r="B72" s="50" t="n">
        <x:v>46273.427083333336</x:v>
      </x:c>
      <x:c r="C72" t="str">
        <x:v>CH-20260908-025</x:v>
      </x:c>
      <x:c r="D72" t="str">
        <x:v>E-125</x:v>
      </x:c>
      <x:c r="E72" t="str">
        <x:v>NOVO</x:v>
      </x:c>
      <x:c r="F72"/>
      <x:c r="G72" t="str">
        <x:v>Em atendimento</x:v>
      </x:c>
      <x:c r="H72" t="str">
        <x:v>Chamado passa a integrar o estado T03; Falha de Tração / Máquina de Tração.</x:v>
      </x:c>
    </x:row>
    <x:row r="73" ht="22" customHeight="1">
      <x:c r="A73" t="str">
        <x:v>T03</x:v>
      </x:c>
      <x:c r="B73" s="50" t="n">
        <x:v>46273.427083333336</x:v>
      </x:c>
      <x:c r="C73" t="str">
        <x:v>CH-20260908-026</x:v>
      </x:c>
      <x:c r="D73" t="str">
        <x:v>E-126</x:v>
      </x:c>
      <x:c r="E73" t="str">
        <x:v>NOVO</x:v>
      </x:c>
      <x:c r="F73"/>
      <x:c r="G73" t="str">
        <x:v>Técnico a caminho</x:v>
      </x:c>
      <x:c r="H73" t="str">
        <x:v>Chamado passa a integrar o estado T03; Painel sem comunicação / Painel/Comando.</x:v>
      </x:c>
    </x:row>
    <x:row r="74" ht="22" customHeight="1">
      <x:c r="A74" t="str">
        <x:v>T03</x:v>
      </x:c>
      <x:c r="B74" s="50" t="n">
        <x:v>46273.427083333336</x:v>
      </x:c>
      <x:c r="C74" t="str">
        <x:v>CH-20260908-027</x:v>
      </x:c>
      <x:c r="D74" t="str">
        <x:v>E-127</x:v>
      </x:c>
      <x:c r="E74" t="str">
        <x:v>NOVO</x:v>
      </x:c>
      <x:c r="F74"/>
      <x:c r="G74" t="str">
        <x:v>Contactado</x:v>
      </x:c>
      <x:c r="H74" t="str">
        <x:v>Chamado passa a integrar o estado T03; Porta não fecha / Operador de Porta.</x:v>
      </x:c>
    </x:row>
    <x:row r="75" ht="22" customHeight="1">
      <x:c r="A75" t="str">
        <x:v>T04</x:v>
      </x:c>
      <x:c r="B75" s="50" t="n">
        <x:v>46273.458333333336</x:v>
      </x:c>
      <x:c r="C75" t="str">
        <x:v>CH-20260908-013</x:v>
      </x:c>
      <x:c r="D75" t="str">
        <x:v>E-113</x:v>
      </x:c>
      <x:c r="E75" t="str">
        <x:v>STATUS</x:v>
      </x:c>
      <x:c r="F75" t="str">
        <x:v>Em atendimento</x:v>
      </x:c>
      <x:c r="G75" t="str">
        <x:v>Concluído</x:v>
      </x:c>
      <x:c r="H75" t="str">
        <x:v>Conclusão simulada registrada.</x:v>
      </x:c>
    </x:row>
    <x:row r="76" ht="22" customHeight="1">
      <x:c r="A76" t="str">
        <x:v>T04</x:v>
      </x:c>
      <x:c r="B76" s="50" t="n">
        <x:v>46273.458333333336</x:v>
      </x:c>
      <x:c r="C76" t="str">
        <x:v>CH-20260908-014</x:v>
      </x:c>
      <x:c r="D76" t="str">
        <x:v>E-114</x:v>
      </x:c>
      <x:c r="E76" t="str">
        <x:v>STATUS</x:v>
      </x:c>
      <x:c r="F76" t="str">
        <x:v>Em atendimento</x:v>
      </x:c>
      <x:c r="G76" t="str">
        <x:v>Concluído</x:v>
      </x:c>
      <x:c r="H76" t="str">
        <x:v>Conclusão simulada registrada.</x:v>
      </x:c>
    </x:row>
    <x:row r="77" ht="22" customHeight="1">
      <x:c r="A77" t="str">
        <x:v>T04</x:v>
      </x:c>
      <x:c r="B77" s="50" t="n">
        <x:v>46273.458333333336</x:v>
      </x:c>
      <x:c r="C77" t="str">
        <x:v>CH-20260908-018</x:v>
      </x:c>
      <x:c r="D77" t="str">
        <x:v>E-118</x:v>
      </x:c>
      <x:c r="E77" t="str">
        <x:v>STATUS</x:v>
      </x:c>
      <x:c r="F77" t="str">
        <x:v>Em atendimento</x:v>
      </x:c>
      <x:c r="G77" t="str">
        <x:v>Concluído</x:v>
      </x:c>
      <x:c r="H77" t="str">
        <x:v>Conclusão simulada registrada.</x:v>
      </x:c>
    </x:row>
    <x:row r="78" ht="22" customHeight="1">
      <x:c r="A78" t="str">
        <x:v>T04</x:v>
      </x:c>
      <x:c r="B78" s="50" t="n">
        <x:v>46273.458333333336</x:v>
      </x:c>
      <x:c r="C78" t="str">
        <x:v>CH-20260908-020</x:v>
      </x:c>
      <x:c r="D78" t="str">
        <x:v>E-120</x:v>
      </x:c>
      <x:c r="E78" t="str">
        <x:v>CRITICIDADE</x:v>
      </x:c>
      <x:c r="F78" t="str">
        <x:v>Laranja</x:v>
      </x:c>
      <x:c r="G78" t="str">
        <x:v>Vermelho</x:v>
      </x:c>
      <x:c r="H78" t="str">
        <x:v>SLA sintético excedido (tempo acumulado ≥ 100% do SLA)</x:v>
      </x:c>
    </x:row>
    <x:row r="79" ht="22" customHeight="1">
      <x:c r="A79" t="str">
        <x:v>T04</x:v>
      </x:c>
      <x:c r="B79" s="50" t="n">
        <x:v>46273.458333333336</x:v>
      </x:c>
      <x:c r="C79" t="str">
        <x:v>CH-20260908-021</x:v>
      </x:c>
      <x:c r="D79" t="str">
        <x:v>E-121</x:v>
      </x:c>
      <x:c r="E79" t="str">
        <x:v>STATUS</x:v>
      </x:c>
      <x:c r="F79" t="str">
        <x:v>Em atendimento</x:v>
      </x:c>
      <x:c r="G79" t="str">
        <x:v>Concluído</x:v>
      </x:c>
      <x:c r="H79" t="str">
        <x:v>Conclusão simulada registrada.</x:v>
      </x:c>
    </x:row>
    <x:row r="80" ht="22" customHeight="1">
      <x:c r="A80" t="str">
        <x:v>T04</x:v>
      </x:c>
      <x:c r="B80" s="50" t="n">
        <x:v>46273.458333333336</x:v>
      </x:c>
      <x:c r="C80" t="str">
        <x:v>CH-20260908-021</x:v>
      </x:c>
      <x:c r="D80" t="str">
        <x:v>E-121</x:v>
      </x:c>
      <x:c r="E80" t="str">
        <x:v>CRITICIDADE</x:v>
      </x:c>
      <x:c r="F80" t="str">
        <x:v>Amarelo</x:v>
      </x:c>
      <x:c r="G80" t="str">
        <x:v>Laranja</x:v>
      </x:c>
      <x:c r="H80" t="str">
        <x:v>janela de intervenção: tempo acumulado ≥ 80% do SLA</x:v>
      </x:c>
    </x:row>
    <x:row r="81" ht="22" customHeight="1">
      <x:c r="A81" t="str">
        <x:v>T04</x:v>
      </x:c>
      <x:c r="B81" s="50" t="n">
        <x:v>46273.458333333336</x:v>
      </x:c>
      <x:c r="C81" t="str">
        <x:v>CH-20260908-022</x:v>
      </x:c>
      <x:c r="D81" t="str">
        <x:v>E-122</x:v>
      </x:c>
      <x:c r="E81" t="str">
        <x:v>CRITICIDADE</x:v>
      </x:c>
      <x:c r="F81" t="str">
        <x:v>Verde</x:v>
      </x:c>
      <x:c r="G81" t="str">
        <x:v>Amarelo</x:v>
      </x:c>
      <x:c r="H81" t="str">
        <x:v>atenção: tempo acumulado ≥ 55% do SLA</x:v>
      </x:c>
    </x:row>
    <x:row r="82" ht="22" customHeight="1">
      <x:c r="A82" t="str">
        <x:v>T04</x:v>
      </x:c>
      <x:c r="B82" s="50" t="n">
        <x:v>46273.458333333336</x:v>
      </x:c>
      <x:c r="C82" t="str">
        <x:v>CH-20260908-025</x:v>
      </x:c>
      <x:c r="D82" t="str">
        <x:v>E-125</x:v>
      </x:c>
      <x:c r="E82" t="str">
        <x:v>STATUS</x:v>
      </x:c>
      <x:c r="F82" t="str">
        <x:v>Em atendimento</x:v>
      </x:c>
      <x:c r="G82" t="str">
        <x:v>Concluído</x:v>
      </x:c>
      <x:c r="H82" t="str">
        <x:v>Conclusão simulada registrada.</x:v>
      </x:c>
    </x:row>
    <x:row r="83" ht="22" customHeight="1">
      <x:c r="A83" t="str">
        <x:v>T04</x:v>
      </x:c>
      <x:c r="B83" s="50" t="n">
        <x:v>46273.458333333336</x:v>
      </x:c>
      <x:c r="C83" t="str">
        <x:v>CH-20260908-025</x:v>
      </x:c>
      <x:c r="D83" t="str">
        <x:v>E-125</x:v>
      </x:c>
      <x:c r="E83" t="str">
        <x:v>CRITICIDADE</x:v>
      </x:c>
      <x:c r="F83" t="str">
        <x:v>Laranja</x:v>
      </x:c>
      <x:c r="G83" t="str">
        <x:v>Vermelho</x:v>
      </x:c>
      <x:c r="H83" t="str">
        <x:v>SLA sintético excedido (tempo acumulado ≥ 100% do SLA)</x:v>
      </x:c>
    </x:row>
    <x:row r="84" ht="22" customHeight="1">
      <x:c r="A84" t="str">
        <x:v>T04</x:v>
      </x:c>
      <x:c r="B84" s="50" t="n">
        <x:v>46273.458333333336</x:v>
      </x:c>
      <x:c r="C84" t="str">
        <x:v>CH-20260908-026</x:v>
      </x:c>
      <x:c r="D84" t="str">
        <x:v>E-126</x:v>
      </x:c>
      <x:c r="E84" t="str">
        <x:v>STATUS</x:v>
      </x:c>
      <x:c r="F84" t="str">
        <x:v>Técnico a caminho</x:v>
      </x:c>
      <x:c r="G84" t="str">
        <x:v>Em atendimento</x:v>
      </x:c>
      <x:c r="H84" t="str">
        <x:v>Evolução operacional registrada no estado.</x:v>
      </x:c>
    </x:row>
    <x:row r="85" ht="22" customHeight="1">
      <x:c r="A85" t="str">
        <x:v>T04</x:v>
      </x:c>
      <x:c r="B85" s="50" t="n">
        <x:v>46273.458333333336</x:v>
      </x:c>
      <x:c r="C85" t="str">
        <x:v>CH-20260908-027</x:v>
      </x:c>
      <x:c r="D85" t="str">
        <x:v>E-127</x:v>
      </x:c>
      <x:c r="E85" t="str">
        <x:v>STATUS</x:v>
      </x:c>
      <x:c r="F85" t="str">
        <x:v>Contactado</x:v>
      </x:c>
      <x:c r="G85" t="str">
        <x:v>Técnico a caminho</x:v>
      </x:c>
      <x:c r="H85" t="str">
        <x:v>Evolução operacional registrada no estado.</x:v>
      </x:c>
    </x:row>
    <x:row r="86" ht="22" customHeight="1">
      <x:c r="A86" t="str">
        <x:v>T04</x:v>
      </x:c>
      <x:c r="B86" s="50" t="n">
        <x:v>46273.458333333336</x:v>
      </x:c>
      <x:c r="C86" t="str">
        <x:v>CH-20260908-027</x:v>
      </x:c>
      <x:c r="D86" t="str">
        <x:v>E-127</x:v>
      </x:c>
      <x:c r="E86" t="str">
        <x:v>CRITICIDADE</x:v>
      </x:c>
      <x:c r="F86" t="str">
        <x:v>Amarelo</x:v>
      </x:c>
      <x:c r="G86" t="str">
        <x:v>Laranja</x:v>
      </x:c>
      <x:c r="H86" t="str">
        <x:v>janela de intervenção: tempo acumulado ≥ 80% do SLA</x:v>
      </x:c>
    </x:row>
    <x:row r="87" ht="22" customHeight="1">
      <x:c r="A87" t="str">
        <x:v>T04</x:v>
      </x:c>
      <x:c r="B87" s="50" t="n">
        <x:v>46273.458333333336</x:v>
      </x:c>
      <x:c r="C87" t="str">
        <x:v>CH-20260908-028</x:v>
      </x:c>
      <x:c r="D87" t="str">
        <x:v>E-128</x:v>
      </x:c>
      <x:c r="E87" t="str">
        <x:v>NOVO</x:v>
      </x:c>
      <x:c r="F87"/>
      <x:c r="G87" t="str">
        <x:v>Em atendimento</x:v>
      </x:c>
      <x:c r="H87" t="str">
        <x:v>Chamado passa a integrar o estado T04; Falha de Nivelamento / Sensor de Nível.</x:v>
      </x:c>
    </x:row>
    <x:row r="88" ht="22" customHeight="1">
      <x:c r="A88" t="str">
        <x:v>T04</x:v>
      </x:c>
      <x:c r="B88" s="50" t="n">
        <x:v>46273.458333333336</x:v>
      </x:c>
      <x:c r="C88" t="str">
        <x:v>CH-20260908-029</x:v>
      </x:c>
      <x:c r="D88" t="str">
        <x:v>E-108</x:v>
      </x:c>
      <x:c r="E88" t="str">
        <x:v>NOVO</x:v>
      </x:c>
      <x:c r="F88"/>
      <x:c r="G88" t="str">
        <x:v>Técnico a caminho</x:v>
      </x:c>
      <x:c r="H88" t="str">
        <x:v>Chamado passa a integrar o estado T04; Passageiro Preso / Tração.</x:v>
      </x:c>
    </x:row>
    <x:row r="89" ht="22" customHeight="1">
      <x:c r="A89" t="str">
        <x:v>T04</x:v>
      </x:c>
      <x:c r="B89" s="50" t="n">
        <x:v>46273.458333333336</x:v>
      </x:c>
      <x:c r="C89" t="str">
        <x:v>CH-20260908-030</x:v>
      </x:c>
      <x:c r="D89" t="str">
        <x:v>E-130</x:v>
      </x:c>
      <x:c r="E89" t="str">
        <x:v>NOVO</x:v>
      </x:c>
      <x:c r="F89"/>
      <x:c r="G89" t="str">
        <x:v>Técnico a caminho</x:v>
      </x:c>
      <x:c r="H89" t="str">
        <x:v>Chamado passa a integrar o estado T04; Parada Intermitente / Painel/Comando.</x:v>
      </x:c>
    </x:row>
    <x:row r="90" ht="22" customHeight="1">
      <x:c r="A90" t="str">
        <x:v>T05</x:v>
      </x:c>
      <x:c r="B90" s="50" t="n">
        <x:v>46273.489583333336</x:v>
      </x:c>
      <x:c r="C90" t="str">
        <x:v>CH-20260908-016</x:v>
      </x:c>
      <x:c r="D90" t="str">
        <x:v>E-116</x:v>
      </x:c>
      <x:c r="E90" t="str">
        <x:v>STATUS</x:v>
      </x:c>
      <x:c r="F90" t="str">
        <x:v>Em atendimento</x:v>
      </x:c>
      <x:c r="G90" t="str">
        <x:v>Concluído</x:v>
      </x:c>
      <x:c r="H90" t="str">
        <x:v>Conclusão simulada registrada.</x:v>
      </x:c>
    </x:row>
    <x:row r="91" ht="22" customHeight="1">
      <x:c r="A91" t="str">
        <x:v>T05</x:v>
      </x:c>
      <x:c r="B91" s="50" t="n">
        <x:v>46273.489583333336</x:v>
      </x:c>
      <x:c r="C91" t="str">
        <x:v>CH-20260908-019</x:v>
      </x:c>
      <x:c r="D91" t="str">
        <x:v>E-119</x:v>
      </x:c>
      <x:c r="E91" t="str">
        <x:v>STATUS</x:v>
      </x:c>
      <x:c r="F91" t="str">
        <x:v>Em atendimento</x:v>
      </x:c>
      <x:c r="G91" t="str">
        <x:v>Concluído</x:v>
      </x:c>
      <x:c r="H91" t="str">
        <x:v>Conclusão simulada registrada.</x:v>
      </x:c>
    </x:row>
    <x:row r="92" ht="22" customHeight="1">
      <x:c r="A92" t="str">
        <x:v>T05</x:v>
      </x:c>
      <x:c r="B92" s="50" t="n">
        <x:v>46273.489583333336</x:v>
      </x:c>
      <x:c r="C92" t="str">
        <x:v>CH-20260908-020</x:v>
      </x:c>
      <x:c r="D92" t="str">
        <x:v>E-120</x:v>
      </x:c>
      <x:c r="E92" t="str">
        <x:v>STATUS</x:v>
      </x:c>
      <x:c r="F92" t="str">
        <x:v>Em atendimento</x:v>
      </x:c>
      <x:c r="G92" t="str">
        <x:v>Concluído</x:v>
      </x:c>
      <x:c r="H92" t="str">
        <x:v>Conclusão simulada registrada.</x:v>
      </x:c>
    </x:row>
    <x:row r="93" ht="22" customHeight="1">
      <x:c r="A93" t="str">
        <x:v>T05</x:v>
      </x:c>
      <x:c r="B93" s="50" t="n">
        <x:v>46273.489583333336</x:v>
      </x:c>
      <x:c r="C93" t="str">
        <x:v>CH-20260908-022</x:v>
      </x:c>
      <x:c r="D93" t="str">
        <x:v>E-122</x:v>
      </x:c>
      <x:c r="E93" t="str">
        <x:v>STATUS</x:v>
      </x:c>
      <x:c r="F93" t="str">
        <x:v>Em atendimento</x:v>
      </x:c>
      <x:c r="G93" t="str">
        <x:v>Concluído</x:v>
      </x:c>
      <x:c r="H93" t="str">
        <x:v>Conclusão simulada registrada.</x:v>
      </x:c>
    </x:row>
    <x:row r="94" ht="22" customHeight="1">
      <x:c r="A94" t="str">
        <x:v>T05</x:v>
      </x:c>
      <x:c r="B94" s="50" t="n">
        <x:v>46273.489583333336</x:v>
      </x:c>
      <x:c r="C94" t="str">
        <x:v>CH-20260908-022</x:v>
      </x:c>
      <x:c r="D94" t="str">
        <x:v>E-122</x:v>
      </x:c>
      <x:c r="E94" t="str">
        <x:v>CRITICIDADE</x:v>
      </x:c>
      <x:c r="F94" t="str">
        <x:v>Amarelo</x:v>
      </x:c>
      <x:c r="G94" t="str">
        <x:v>Laranja</x:v>
      </x:c>
      <x:c r="H94" t="str">
        <x:v>janela de intervenção: tempo acumulado ≥ 80% do SLA</x:v>
      </x:c>
    </x:row>
    <x:row r="95" ht="22" customHeight="1">
      <x:c r="A95" t="str">
        <x:v>T05</x:v>
      </x:c>
      <x:c r="B95" s="50" t="n">
        <x:v>46273.489583333336</x:v>
      </x:c>
      <x:c r="C95" t="str">
        <x:v>CH-20260908-023</x:v>
      </x:c>
      <x:c r="D95" t="str">
        <x:v>E-123</x:v>
      </x:c>
      <x:c r="E95" t="str">
        <x:v>STATUS</x:v>
      </x:c>
      <x:c r="F95" t="str">
        <x:v>Em atendimento</x:v>
      </x:c>
      <x:c r="G95" t="str">
        <x:v>Concluído</x:v>
      </x:c>
      <x:c r="H95" t="str">
        <x:v>Conclusão simulada registrada.</x:v>
      </x:c>
    </x:row>
    <x:row r="96" ht="22" customHeight="1">
      <x:c r="A96" t="str">
        <x:v>T05</x:v>
      </x:c>
      <x:c r="B96" s="50" t="n">
        <x:v>46273.489583333336</x:v>
      </x:c>
      <x:c r="C96" t="str">
        <x:v>CH-20260908-024</x:v>
      </x:c>
      <x:c r="D96" t="str">
        <x:v>E-124</x:v>
      </x:c>
      <x:c r="E96" t="str">
        <x:v>CRITICIDADE</x:v>
      </x:c>
      <x:c r="F96" t="str">
        <x:v>Laranja</x:v>
      </x:c>
      <x:c r="G96" t="str">
        <x:v>Vermelho</x:v>
      </x:c>
      <x:c r="H96" t="str">
        <x:v>SLA sintético excedido (tempo acumulado ≥ 100% do SLA)</x:v>
      </x:c>
    </x:row>
    <x:row r="97" ht="22" customHeight="1">
      <x:c r="A97" t="str">
        <x:v>T05</x:v>
      </x:c>
      <x:c r="B97" s="50" t="n">
        <x:v>46273.489583333336</x:v>
      </x:c>
      <x:c r="C97" t="str">
        <x:v>CH-20260908-026</x:v>
      </x:c>
      <x:c r="D97" t="str">
        <x:v>E-126</x:v>
      </x:c>
      <x:c r="E97" t="str">
        <x:v>STATUS</x:v>
      </x:c>
      <x:c r="F97" t="str">
        <x:v>Em atendimento</x:v>
      </x:c>
      <x:c r="G97" t="str">
        <x:v>Concluído</x:v>
      </x:c>
      <x:c r="H97" t="str">
        <x:v>Conclusão simulada registrada.</x:v>
      </x:c>
    </x:row>
    <x:row r="98" ht="22" customHeight="1">
      <x:c r="A98" t="str">
        <x:v>T05</x:v>
      </x:c>
      <x:c r="B98" s="50" t="n">
        <x:v>46273.489583333336</x:v>
      </x:c>
      <x:c r="C98" t="str">
        <x:v>CH-20260908-026</x:v>
      </x:c>
      <x:c r="D98" t="str">
        <x:v>E-126</x:v>
      </x:c>
      <x:c r="E98" t="str">
        <x:v>CRITICIDADE</x:v>
      </x:c>
      <x:c r="F98" t="str">
        <x:v>Amarelo</x:v>
      </x:c>
      <x:c r="G98" t="str">
        <x:v>Laranja</x:v>
      </x:c>
      <x:c r="H98" t="str">
        <x:v>janela de intervenção: tempo acumulado ≥ 80% do SLA</x:v>
      </x:c>
    </x:row>
    <x:row r="99" ht="22" customHeight="1">
      <x:c r="A99" t="str">
        <x:v>T05</x:v>
      </x:c>
      <x:c r="B99" s="50" t="n">
        <x:v>46273.489583333336</x:v>
      </x:c>
      <x:c r="C99" t="str">
        <x:v>CH-20260908-027</x:v>
      </x:c>
      <x:c r="D99" t="str">
        <x:v>E-127</x:v>
      </x:c>
      <x:c r="E99" t="str">
        <x:v>STATUS</x:v>
      </x:c>
      <x:c r="F99" t="str">
        <x:v>Técnico a caminho</x:v>
      </x:c>
      <x:c r="G99" t="str">
        <x:v>Em atendimento</x:v>
      </x:c>
      <x:c r="H99" t="str">
        <x:v>Evolução operacional registrada no estado.</x:v>
      </x:c>
    </x:row>
    <x:row r="100" ht="22" customHeight="1">
      <x:c r="A100" t="str">
        <x:v>T05</x:v>
      </x:c>
      <x:c r="B100" s="50" t="n">
        <x:v>46273.489583333336</x:v>
      </x:c>
      <x:c r="C100" t="str">
        <x:v>CH-20260908-027</x:v>
      </x:c>
      <x:c r="D100" t="str">
        <x:v>E-127</x:v>
      </x:c>
      <x:c r="E100" t="str">
        <x:v>CRITICIDADE</x:v>
      </x:c>
      <x:c r="F100" t="str">
        <x:v>Laranja</x:v>
      </x:c>
      <x:c r="G100" t="str">
        <x:v>Vermelho</x:v>
      </x:c>
      <x:c r="H100" t="str">
        <x:v>SLA sintético excedido (tempo acumulado ≥ 100% do SLA)</x:v>
      </x:c>
    </x:row>
    <x:row r="101" ht="22" customHeight="1">
      <x:c r="A101" t="str">
        <x:v>T05</x:v>
      </x:c>
      <x:c r="B101" s="50" t="n">
        <x:v>46273.489583333336</x:v>
      </x:c>
      <x:c r="C101" t="str">
        <x:v>CH-20260908-028</x:v>
      </x:c>
      <x:c r="D101" t="str">
        <x:v>E-128</x:v>
      </x:c>
      <x:c r="E101" t="str">
        <x:v>CRITICIDADE</x:v>
      </x:c>
      <x:c r="F101" t="str">
        <x:v>Verde</x:v>
      </x:c>
      <x:c r="G101" t="str">
        <x:v>Laranja</x:v>
      </x:c>
      <x:c r="H101" t="str">
        <x:v>janela de intervenção: tempo acumulado ≥ 80% do SLA</x:v>
      </x:c>
    </x:row>
    <x:row r="102" ht="22" customHeight="1">
      <x:c r="A102" t="str">
        <x:v>T05</x:v>
      </x:c>
      <x:c r="B102" s="50" t="n">
        <x:v>46273.489583333336</x:v>
      </x:c>
      <x:c r="C102" t="str">
        <x:v>CH-20260908-029</x:v>
      </x:c>
      <x:c r="D102" t="str">
        <x:v>E-108</x:v>
      </x:c>
      <x:c r="E102" t="str">
        <x:v>STATUS</x:v>
      </x:c>
      <x:c r="F102" t="str">
        <x:v>Técnico a caminho</x:v>
      </x:c>
      <x:c r="G102" t="str">
        <x:v>Em atendimento</x:v>
      </x:c>
      <x:c r="H102" t="str">
        <x:v>Evolução operacional registrada no estado.</x:v>
      </x:c>
    </x:row>
    <x:row r="103" ht="22" customHeight="1">
      <x:c r="A103" t="str">
        <x:v>T05</x:v>
      </x:c>
      <x:c r="B103" s="50" t="n">
        <x:v>46273.489583333336</x:v>
      </x:c>
      <x:c r="C103" t="str">
        <x:v>CH-20260908-030</x:v>
      </x:c>
      <x:c r="D103" t="str">
        <x:v>E-130</x:v>
      </x:c>
      <x:c r="E103" t="str">
        <x:v>STATUS</x:v>
      </x:c>
      <x:c r="F103" t="str">
        <x:v>Técnico a caminho</x:v>
      </x:c>
      <x:c r="G103" t="str">
        <x:v>Em atendimento</x:v>
      </x:c>
      <x:c r="H103" t="str">
        <x:v>Evolução operacional registrada no estado.</x:v>
      </x:c>
    </x:row>
    <x:row r="104" ht="22" customHeight="1">
      <x:c r="A104" t="str">
        <x:v>T05</x:v>
      </x:c>
      <x:c r="B104" s="50" t="n">
        <x:v>46273.489583333336</x:v>
      </x:c>
      <x:c r="C104" t="str">
        <x:v>CH-20260908-031</x:v>
      </x:c>
      <x:c r="D104" t="str">
        <x:v>E-131</x:v>
      </x:c>
      <x:c r="E104" t="str">
        <x:v>NOVO</x:v>
      </x:c>
      <x:c r="F104"/>
      <x:c r="G104" t="str">
        <x:v>Técnico a caminho</x:v>
      </x:c>
      <x:c r="H104" t="str">
        <x:v>Chamado passa a integrar o estado T05; Botão de Chamada / Botoeira.</x:v>
      </x:c>
    </x:row>
    <x:row r="105" ht="22" customHeight="1">
      <x:c r="A105" t="str">
        <x:v>T05</x:v>
      </x:c>
      <x:c r="B105" s="50" t="n">
        <x:v>46273.489583333336</x:v>
      </x:c>
      <x:c r="C105" t="str">
        <x:v>CH-20260908-032</x:v>
      </x:c>
      <x:c r="D105" t="str">
        <x:v>E-132</x:v>
      </x:c>
      <x:c r="E105" t="str">
        <x:v>NOVO</x:v>
      </x:c>
      <x:c r="F105"/>
      <x:c r="G105" t="str">
        <x:v>Em atendimento</x:v>
      </x:c>
      <x:c r="H105" t="str">
        <x:v>Chamado passa a integrar o estado T05; Iluminação de Cabine / Elétrica.</x:v>
      </x:c>
    </x:row>
    <x:row r="106" ht="22" customHeight="1">
      <x:c r="A106" t="str">
        <x:v>T05</x:v>
      </x:c>
      <x:c r="B106" s="50" t="n">
        <x:v>46273.489583333336</x:v>
      </x:c>
      <x:c r="C106" t="str">
        <x:v>CH-20260908-033</x:v>
      </x:c>
      <x:c r="D106" t="str">
        <x:v>E-133</x:v>
      </x:c>
      <x:c r="E106" t="str">
        <x:v>NOVO</x:v>
      </x:c>
      <x:c r="F106"/>
      <x:c r="G106" t="str">
        <x:v>Técnico a caminho</x:v>
      </x:c>
      <x:c r="H106" t="str">
        <x:v>Chamado passa a integrar o estado T05; Falha de Tração / Máquina de Tração.</x:v>
      </x:c>
    </x:row>
    <x:row r="107" ht="22" customHeight="1">
      <x:c r="A107" t="str">
        <x:v>T05</x:v>
      </x:c>
      <x:c r="B107" s="50" t="n">
        <x:v>46273.489583333336</x:v>
      </x:c>
      <x:c r="C107" t="str">
        <x:v>CH-20260908-034</x:v>
      </x:c>
      <x:c r="D107" t="str">
        <x:v>E-134</x:v>
      </x:c>
      <x:c r="E107" t="str">
        <x:v>NOVO</x:v>
      </x:c>
      <x:c r="F107"/>
      <x:c r="G107" t="str">
        <x:v>Contactado</x:v>
      </x:c>
      <x:c r="H107" t="str">
        <x:v>Chamado passa a integrar o estado T05; Painel sem comunicação / Painel/Comando.</x:v>
      </x:c>
    </x:row>
    <x:row r="108" ht="22" customHeight="1">
      <x:c r="A108" t="str">
        <x:v>T06</x:v>
      </x:c>
      <x:c r="B108" s="50" t="n">
        <x:v>46273.520833333336</x:v>
      </x:c>
      <x:c r="C108" t="str">
        <x:v>CH-20260908-027</x:v>
      </x:c>
      <x:c r="D108" t="str">
        <x:v>E-127</x:v>
      </x:c>
      <x:c r="E108" t="str">
        <x:v>STATUS</x:v>
      </x:c>
      <x:c r="F108" t="str">
        <x:v>Em atendimento</x:v>
      </x:c>
      <x:c r="G108" t="str">
        <x:v>Concluído</x:v>
      </x:c>
      <x:c r="H108" t="str">
        <x:v>Conclusão simulada registrada.</x:v>
      </x:c>
    </x:row>
    <x:row r="109" ht="22" customHeight="1">
      <x:c r="A109" t="str">
        <x:v>T06</x:v>
      </x:c>
      <x:c r="B109" s="50" t="n">
        <x:v>46273.520833333336</x:v>
      </x:c>
      <x:c r="C109" t="str">
        <x:v>CH-20260908-028</x:v>
      </x:c>
      <x:c r="D109" t="str">
        <x:v>E-128</x:v>
      </x:c>
      <x:c r="E109" t="str">
        <x:v>CRITICIDADE</x:v>
      </x:c>
      <x:c r="F109" t="str">
        <x:v>Laranja</x:v>
      </x:c>
      <x:c r="G109" t="str">
        <x:v>Vermelho</x:v>
      </x:c>
      <x:c r="H109" t="str">
        <x:v>SLA sintético excedido (tempo acumulado ≥ 100% do SLA)</x:v>
      </x:c>
    </x:row>
    <x:row r="110" ht="22" customHeight="1">
      <x:c r="A110" t="str">
        <x:v>T06</x:v>
      </x:c>
      <x:c r="B110" s="50" t="n">
        <x:v>46273.520833333336</x:v>
      </x:c>
      <x:c r="C110" t="str">
        <x:v>CH-20260908-029</x:v>
      </x:c>
      <x:c r="D110" t="str">
        <x:v>E-108</x:v>
      </x:c>
      <x:c r="E110" t="str">
        <x:v>CRITICIDADE</x:v>
      </x:c>
      <x:c r="F110" t="str">
        <x:v>Amarelo</x:v>
      </x:c>
      <x:c r="G110" t="str">
        <x:v>Vermelho</x:v>
      </x:c>
      <x:c r="H110" t="str">
        <x:v>passageiro preso; tempo acumulado ≥ 85% do SLA</x:v>
      </x:c>
    </x:row>
    <x:row r="111" ht="22" customHeight="1">
      <x:c r="A111" t="str">
        <x:v>T06</x:v>
      </x:c>
      <x:c r="B111" s="50" t="n">
        <x:v>46273.520833333336</x:v>
      </x:c>
      <x:c r="C111" t="str">
        <x:v>CH-20260908-030</x:v>
      </x:c>
      <x:c r="D111" t="str">
        <x:v>E-130</x:v>
      </x:c>
      <x:c r="E111" t="str">
        <x:v>STATUS</x:v>
      </x:c>
      <x:c r="F111" t="str">
        <x:v>Em atendimento</x:v>
      </x:c>
      <x:c r="G111" t="str">
        <x:v>Concluído</x:v>
      </x:c>
      <x:c r="H111" t="str">
        <x:v>Conclusão simulada registrada.</x:v>
      </x:c>
    </x:row>
    <x:row r="112" ht="22" customHeight="1">
      <x:c r="A112" t="str">
        <x:v>T06</x:v>
      </x:c>
      <x:c r="B112" s="50" t="n">
        <x:v>46273.520833333336</x:v>
      </x:c>
      <x:c r="C112" t="str">
        <x:v>CH-20260908-031</x:v>
      </x:c>
      <x:c r="D112" t="str">
        <x:v>E-131</x:v>
      </x:c>
      <x:c r="E112" t="str">
        <x:v>STATUS</x:v>
      </x:c>
      <x:c r="F112" t="str">
        <x:v>Técnico a caminho</x:v>
      </x:c>
      <x:c r="G112" t="str">
        <x:v>Em atendimento</x:v>
      </x:c>
      <x:c r="H112" t="str">
        <x:v>Evolução operacional registrada no estado.</x:v>
      </x:c>
    </x:row>
    <x:row r="113" ht="22" customHeight="1">
      <x:c r="A113" t="str">
        <x:v>T06</x:v>
      </x:c>
      <x:c r="B113" s="50" t="n">
        <x:v>46273.520833333336</x:v>
      </x:c>
      <x:c r="C113" t="str">
        <x:v>CH-20260908-031</x:v>
      </x:c>
      <x:c r="D113" t="str">
        <x:v>E-131</x:v>
      </x:c>
      <x:c r="E113" t="str">
        <x:v>CRITICIDADE</x:v>
      </x:c>
      <x:c r="F113" t="str">
        <x:v>Laranja</x:v>
      </x:c>
      <x:c r="G113" t="str">
        <x:v>Vermelho</x:v>
      </x:c>
      <x:c r="H113" t="str">
        <x:v>SLA sintético excedido (tempo acumulado ≥ 100% do SLA)</x:v>
      </x:c>
    </x:row>
    <x:row r="114" ht="22" customHeight="1">
      <x:c r="A114" t="str">
        <x:v>T06</x:v>
      </x:c>
      <x:c r="B114" s="50" t="n">
        <x:v>46273.520833333336</x:v>
      </x:c>
      <x:c r="C114" t="str">
        <x:v>CH-20260908-032</x:v>
      </x:c>
      <x:c r="D114" t="str">
        <x:v>E-132</x:v>
      </x:c>
      <x:c r="E114" t="str">
        <x:v>CRITICIDADE</x:v>
      </x:c>
      <x:c r="F114" t="str">
        <x:v>Verde</x:v>
      </x:c>
      <x:c r="G114" t="str">
        <x:v>Amarelo</x:v>
      </x:c>
      <x:c r="H114" t="str">
        <x:v>atenção: tempo acumulado ≥ 55% do SLA</x:v>
      </x:c>
    </x:row>
    <x:row r="115" ht="22" customHeight="1">
      <x:c r="A115" t="str">
        <x:v>T06</x:v>
      </x:c>
      <x:c r="B115" s="50" t="n">
        <x:v>46273.520833333336</x:v>
      </x:c>
      <x:c r="C115" t="str">
        <x:v>CH-20260908-033</x:v>
      </x:c>
      <x:c r="D115" t="str">
        <x:v>E-133</x:v>
      </x:c>
      <x:c r="E115" t="str">
        <x:v>STATUS</x:v>
      </x:c>
      <x:c r="F115" t="str">
        <x:v>Técnico a caminho</x:v>
      </x:c>
      <x:c r="G115" t="str">
        <x:v>Em atendimento</x:v>
      </x:c>
      <x:c r="H115" t="str">
        <x:v>Evolução operacional registrada no estado.</x:v>
      </x:c>
    </x:row>
    <x:row r="116" ht="22" customHeight="1">
      <x:c r="A116" t="str">
        <x:v>T06</x:v>
      </x:c>
      <x:c r="B116" s="50" t="n">
        <x:v>46273.520833333336</x:v>
      </x:c>
      <x:c r="C116" t="str">
        <x:v>CH-20260908-033</x:v>
      </x:c>
      <x:c r="D116" t="str">
        <x:v>E-133</x:v>
      </x:c>
      <x:c r="E116" t="str">
        <x:v>CRITICIDADE</x:v>
      </x:c>
      <x:c r="F116" t="str">
        <x:v>Amarelo</x:v>
      </x:c>
      <x:c r="G116" t="str">
        <x:v>Vermelho</x:v>
      </x:c>
      <x:c r="H116" t="str">
        <x:v>SLA sintético excedido (tempo acumulado ≥ 100% do SLA)</x:v>
      </x:c>
    </x:row>
    <x:row r="117" ht="22" customHeight="1">
      <x:c r="A117" t="str">
        <x:v>T06</x:v>
      </x:c>
      <x:c r="B117" s="50" t="n">
        <x:v>46273.520833333336</x:v>
      </x:c>
      <x:c r="C117" t="str">
        <x:v>CH-20260908-034</x:v>
      </x:c>
      <x:c r="D117" t="str">
        <x:v>E-134</x:v>
      </x:c>
      <x:c r="E117" t="str">
        <x:v>STATUS</x:v>
      </x:c>
      <x:c r="F117" t="str">
        <x:v>Contactado</x:v>
      </x:c>
      <x:c r="G117" t="str">
        <x:v>Técnico a caminho</x:v>
      </x:c>
      <x:c r="H117" t="str">
        <x:v>Evolução operacional registrada no estado.</x:v>
      </x:c>
    </x:row>
    <x:row r="118" ht="22" customHeight="1">
      <x:c r="A118" t="str">
        <x:v>T06</x:v>
      </x:c>
      <x:c r="B118" s="50" t="n">
        <x:v>46273.520833333336</x:v>
      </x:c>
      <x:c r="C118" t="str">
        <x:v>CH-20260908-035</x:v>
      </x:c>
      <x:c r="D118" t="str">
        <x:v>E-135</x:v>
      </x:c>
      <x:c r="E118" t="str">
        <x:v>NOVO</x:v>
      </x:c>
      <x:c r="F118"/>
      <x:c r="G118" t="str">
        <x:v>Técnico a caminho</x:v>
      </x:c>
      <x:c r="H118" t="str">
        <x:v>Chamado passa a integrar o estado T06; Porta não fecha / Operador de Porta.</x:v>
      </x:c>
    </x:row>
    <x:row r="119" ht="22" customHeight="1">
      <x:c r="A119" t="str">
        <x:v>T06</x:v>
      </x:c>
      <x:c r="B119" s="50" t="n">
        <x:v>46273.520833333336</x:v>
      </x:c>
      <x:c r="C119" t="str">
        <x:v>CH-20260908-036</x:v>
      </x:c>
      <x:c r="D119" t="str">
        <x:v>E-113</x:v>
      </x:c>
      <x:c r="E119" t="str">
        <x:v>NOVO</x:v>
      </x:c>
      <x:c r="F119"/>
      <x:c r="G119" t="str">
        <x:v>Técnico a caminho</x:v>
      </x:c>
      <x:c r="H119" t="str">
        <x:v>Chamado passa a integrar o estado T06; Falha de Nivelamento / Sensor de Nível.</x:v>
      </x:c>
    </x:row>
    <x:row r="120" ht="22" customHeight="1">
      <x:c r="A120" t="str">
        <x:v>T06</x:v>
      </x:c>
      <x:c r="B120" s="50" t="n">
        <x:v>46273.520833333336</x:v>
      </x:c>
      <x:c r="C120" t="str">
        <x:v>CH-20260908-037</x:v>
      </x:c>
      <x:c r="D120" t="str">
        <x:v>E-137</x:v>
      </x:c>
      <x:c r="E120" t="str">
        <x:v>NOVO</x:v>
      </x:c>
      <x:c r="F120"/>
      <x:c r="G120" t="str">
        <x:v>Técnico a caminho</x:v>
      </x:c>
      <x:c r="H120" t="str">
        <x:v>Chamado passa a integrar o estado T06; Passageiro Preso / Tração.</x:v>
      </x:c>
    </x:row>
    <x:row r="121" ht="22" customHeight="1">
      <x:c r="A121" t="str">
        <x:v>T07</x:v>
      </x:c>
      <x:c r="B121" s="50" t="n">
        <x:v>46273.552083333336</x:v>
      </x:c>
      <x:c r="C121" t="str">
        <x:v>CH-20260908-024</x:v>
      </x:c>
      <x:c r="D121" t="str">
        <x:v>E-124</x:v>
      </x:c>
      <x:c r="E121" t="str">
        <x:v>STATUS</x:v>
      </x:c>
      <x:c r="F121" t="str">
        <x:v>Em atendimento</x:v>
      </x:c>
      <x:c r="G121" t="str">
        <x:v>Concluído</x:v>
      </x:c>
      <x:c r="H121" t="str">
        <x:v>Conclusão simulada registrada.</x:v>
      </x:c>
    </x:row>
    <x:row r="122" ht="22" customHeight="1">
      <x:c r="A122" t="str">
        <x:v>T07</x:v>
      </x:c>
      <x:c r="B122" s="50" t="n">
        <x:v>46273.552083333336</x:v>
      </x:c>
      <x:c r="C122" t="str">
        <x:v>CH-20260908-029</x:v>
      </x:c>
      <x:c r="D122" t="str">
        <x:v>E-108</x:v>
      </x:c>
      <x:c r="E122" t="str">
        <x:v>STATUS</x:v>
      </x:c>
      <x:c r="F122" t="str">
        <x:v>Em atendimento</x:v>
      </x:c>
      <x:c r="G122" t="str">
        <x:v>Concluído</x:v>
      </x:c>
      <x:c r="H122" t="str">
        <x:v>Conclusão simulada registrada.</x:v>
      </x:c>
    </x:row>
    <x:row r="123" ht="22" customHeight="1">
      <x:c r="A123" t="str">
        <x:v>T07</x:v>
      </x:c>
      <x:c r="B123" s="50" t="n">
        <x:v>46273.552083333336</x:v>
      </x:c>
      <x:c r="C123" t="str">
        <x:v>CH-20260908-031</x:v>
      </x:c>
      <x:c r="D123" t="str">
        <x:v>E-131</x:v>
      </x:c>
      <x:c r="E123" t="str">
        <x:v>STATUS</x:v>
      </x:c>
      <x:c r="F123" t="str">
        <x:v>Em atendimento</x:v>
      </x:c>
      <x:c r="G123" t="str">
        <x:v>Concluído</x:v>
      </x:c>
      <x:c r="H123" t="str">
        <x:v>Conclusão simulada registrada.</x:v>
      </x:c>
    </x:row>
    <x:row r="124" ht="22" customHeight="1">
      <x:c r="A124" t="str">
        <x:v>T07</x:v>
      </x:c>
      <x:c r="B124" s="50" t="n">
        <x:v>46273.552083333336</x:v>
      </x:c>
      <x:c r="C124" t="str">
        <x:v>CH-20260908-032</x:v>
      </x:c>
      <x:c r="D124" t="str">
        <x:v>E-132</x:v>
      </x:c>
      <x:c r="E124" t="str">
        <x:v>STATUS</x:v>
      </x:c>
      <x:c r="F124" t="str">
        <x:v>Em atendimento</x:v>
      </x:c>
      <x:c r="G124" t="str">
        <x:v>Concluído</x:v>
      </x:c>
      <x:c r="H124" t="str">
        <x:v>Conclusão simulada registrada.</x:v>
      </x:c>
    </x:row>
    <x:row r="125" ht="22" customHeight="1">
      <x:c r="A125" t="str">
        <x:v>T07</x:v>
      </x:c>
      <x:c r="B125" s="50" t="n">
        <x:v>46273.552083333336</x:v>
      </x:c>
      <x:c r="C125" t="str">
        <x:v>CH-20260908-032</x:v>
      </x:c>
      <x:c r="D125" t="str">
        <x:v>E-132</x:v>
      </x:c>
      <x:c r="E125" t="str">
        <x:v>CRITICIDADE</x:v>
      </x:c>
      <x:c r="F125" t="str">
        <x:v>Amarelo</x:v>
      </x:c>
      <x:c r="G125" t="str">
        <x:v>Laranja</x:v>
      </x:c>
      <x:c r="H125" t="str">
        <x:v>janela de intervenção: tempo acumulado ≥ 80% do SLA</x:v>
      </x:c>
    </x:row>
    <x:row r="126" ht="22" customHeight="1">
      <x:c r="A126" t="str">
        <x:v>T07</x:v>
      </x:c>
      <x:c r="B126" s="50" t="n">
        <x:v>46273.552083333336</x:v>
      </x:c>
      <x:c r="C126" t="str">
        <x:v>CH-20260908-034</x:v>
      </x:c>
      <x:c r="D126" t="str">
        <x:v>E-134</x:v>
      </x:c>
      <x:c r="E126" t="str">
        <x:v>STATUS</x:v>
      </x:c>
      <x:c r="F126" t="str">
        <x:v>Técnico a caminho</x:v>
      </x:c>
      <x:c r="G126" t="str">
        <x:v>Em atendimento</x:v>
      </x:c>
      <x:c r="H126" t="str">
        <x:v>Evolução operacional registrada no estado.</x:v>
      </x:c>
    </x:row>
    <x:row r="127" ht="22" customHeight="1">
      <x:c r="A127" t="str">
        <x:v>T07</x:v>
      </x:c>
      <x:c r="B127" s="50" t="n">
        <x:v>46273.552083333336</x:v>
      </x:c>
      <x:c r="C127" t="str">
        <x:v>CH-20260908-034</x:v>
      </x:c>
      <x:c r="D127" t="str">
        <x:v>E-134</x:v>
      </x:c>
      <x:c r="E127" t="str">
        <x:v>CRITICIDADE</x:v>
      </x:c>
      <x:c r="F127" t="str">
        <x:v>Amarelo</x:v>
      </x:c>
      <x:c r="G127" t="str">
        <x:v>Vermelho</x:v>
      </x:c>
      <x:c r="H127" t="str">
        <x:v>SLA sintético excedido (tempo acumulado ≥ 100% do SLA)</x:v>
      </x:c>
    </x:row>
    <x:row r="128" ht="22" customHeight="1">
      <x:c r="A128" t="str">
        <x:v>T07</x:v>
      </x:c>
      <x:c r="B128" s="50" t="n">
        <x:v>46273.552083333336</x:v>
      </x:c>
      <x:c r="C128" t="str">
        <x:v>CH-20260908-035</x:v>
      </x:c>
      <x:c r="D128" t="str">
        <x:v>E-135</x:v>
      </x:c>
      <x:c r="E128" t="str">
        <x:v>STATUS</x:v>
      </x:c>
      <x:c r="F128" t="str">
        <x:v>Técnico a caminho</x:v>
      </x:c>
      <x:c r="G128" t="str">
        <x:v>Em atendimento</x:v>
      </x:c>
      <x:c r="H128" t="str">
        <x:v>Evolução operacional registrada no estado.</x:v>
      </x:c>
    </x:row>
    <x:row r="129" ht="22" customHeight="1">
      <x:c r="A129" t="str">
        <x:v>T07</x:v>
      </x:c>
      <x:c r="B129" s="50" t="n">
        <x:v>46273.552083333336</x:v>
      </x:c>
      <x:c r="C129" t="str">
        <x:v>CH-20260908-036</x:v>
      </x:c>
      <x:c r="D129" t="str">
        <x:v>E-113</x:v>
      </x:c>
      <x:c r="E129" t="str">
        <x:v>STATUS</x:v>
      </x:c>
      <x:c r="F129" t="str">
        <x:v>Técnico a caminho</x:v>
      </x:c>
      <x:c r="G129" t="str">
        <x:v>Em atendimento</x:v>
      </x:c>
      <x:c r="H129" t="str">
        <x:v>Evolução operacional registrada no estado.</x:v>
      </x:c>
    </x:row>
    <x:row r="130" ht="22" customHeight="1">
      <x:c r="A130" t="str">
        <x:v>T07</x:v>
      </x:c>
      <x:c r="B130" s="50" t="n">
        <x:v>46273.552083333336</x:v>
      </x:c>
      <x:c r="C130" t="str">
        <x:v>CH-20260908-037</x:v>
      </x:c>
      <x:c r="D130" t="str">
        <x:v>E-137</x:v>
      </x:c>
      <x:c r="E130" t="str">
        <x:v>STATUS</x:v>
      </x:c>
      <x:c r="F130" t="str">
        <x:v>Técnico a caminho</x:v>
      </x:c>
      <x:c r="G130" t="str">
        <x:v>Em atendimento</x:v>
      </x:c>
      <x:c r="H130" t="str">
        <x:v>Evolução operacional registrada no estado.</x:v>
      </x:c>
    </x:row>
    <x:row r="131" ht="22" customHeight="1">
      <x:c r="A131" t="str">
        <x:v>T07</x:v>
      </x:c>
      <x:c r="B131" s="50" t="n">
        <x:v>46273.552083333336</x:v>
      </x:c>
      <x:c r="C131" t="str">
        <x:v>CH-20260908-037</x:v>
      </x:c>
      <x:c r="D131" t="str">
        <x:v>E-137</x:v>
      </x:c>
      <x:c r="E131" t="str">
        <x:v>CRITICIDADE</x:v>
      </x:c>
      <x:c r="F131" t="str">
        <x:v>Amarelo</x:v>
      </x:c>
      <x:c r="G131" t="str">
        <x:v>Vermelho</x:v>
      </x:c>
      <x:c r="H131" t="str">
        <x:v>SLA sintético excedido (tempo acumulado ≥ 100% do SLA)</x:v>
      </x:c>
    </x:row>
    <x:row r="132" ht="22" customHeight="1">
      <x:c r="A132" t="str">
        <x:v>T07</x:v>
      </x:c>
      <x:c r="B132" s="50" t="n">
        <x:v>46273.552083333336</x:v>
      </x:c>
      <x:c r="C132" t="str">
        <x:v>CH-20260908-038</x:v>
      </x:c>
      <x:c r="D132" t="str">
        <x:v>E-138</x:v>
      </x:c>
      <x:c r="E132" t="str">
        <x:v>NOVO</x:v>
      </x:c>
      <x:c r="F132"/>
      <x:c r="G132" t="str">
        <x:v>Técnico a caminho</x:v>
      </x:c>
      <x:c r="H132" t="str">
        <x:v>Chamado passa a integrar o estado T07; Parada Intermitente / Painel/Comando.</x:v>
      </x:c>
    </x:row>
    <x:row r="133" ht="22" customHeight="1">
      <x:c r="A133" t="str">
        <x:v>T07</x:v>
      </x:c>
      <x:c r="B133" s="50" t="n">
        <x:v>46273.552083333336</x:v>
      </x:c>
      <x:c r="C133" t="str">
        <x:v>CH-20260908-039</x:v>
      </x:c>
      <x:c r="D133" t="str">
        <x:v>E-139</x:v>
      </x:c>
      <x:c r="E133" t="str">
        <x:v>NOVO</x:v>
      </x:c>
      <x:c r="F133"/>
      <x:c r="G133" t="str">
        <x:v>Técnico a caminho</x:v>
      </x:c>
      <x:c r="H133" t="str">
        <x:v>Chamado passa a integrar o estado T07; Botão de Chamada / Botoeira.</x:v>
      </x:c>
    </x:row>
    <x:row r="134" ht="22" customHeight="1">
      <x:c r="A134" t="str">
        <x:v>T07</x:v>
      </x:c>
      <x:c r="B134" s="50" t="n">
        <x:v>46273.552083333336</x:v>
      </x:c>
      <x:c r="C134" t="str">
        <x:v>CH-20260908-040</x:v>
      </x:c>
      <x:c r="D134" t="str">
        <x:v>E-140</x:v>
      </x:c>
      <x:c r="E134" t="str">
        <x:v>NOVO</x:v>
      </x:c>
      <x:c r="F134"/>
      <x:c r="G134" t="str">
        <x:v>Técnico a caminho</x:v>
      </x:c>
      <x:c r="H134" t="str">
        <x:v>Chamado passa a integrar o estado T07; Iluminação de Cabine / Elétrica.</x:v>
      </x:c>
    </x:row>
    <x:row r="135" ht="22" customHeight="1">
      <x:c r="A135" t="str">
        <x:v>T07</x:v>
      </x:c>
      <x:c r="B135" s="50" t="n">
        <x:v>46273.552083333336</x:v>
      </x:c>
      <x:c r="C135" t="str">
        <x:v>CH-20260908-041</x:v>
      </x:c>
      <x:c r="D135" t="str">
        <x:v>E-141</x:v>
      </x:c>
      <x:c r="E135" t="str">
        <x:v>NOVO</x:v>
      </x:c>
      <x:c r="F135"/>
      <x:c r="G135" t="str">
        <x:v>Contactado</x:v>
      </x:c>
      <x:c r="H135" t="str">
        <x:v>Chamado passa a integrar o estado T07; Falha de Tração / Máquina de Tração.</x:v>
      </x:c>
    </x:row>
    <x:row r="136" ht="22" customHeight="1">
      <x:c r="A136" t="str">
        <x:v>T08</x:v>
      </x:c>
      <x:c r="B136" s="50" t="n">
        <x:v>46273.583333333336</x:v>
      </x:c>
      <x:c r="C136" t="str">
        <x:v>CH-20260908-035</x:v>
      </x:c>
      <x:c r="D136" t="str">
        <x:v>E-135</x:v>
      </x:c>
      <x:c r="E136" t="str">
        <x:v>CRITICIDADE</x:v>
      </x:c>
      <x:c r="F136" t="str">
        <x:v>Amarelo</x:v>
      </x:c>
      <x:c r="G136" t="str">
        <x:v>Vermelho</x:v>
      </x:c>
      <x:c r="H136" t="str">
        <x:v>SLA sintético excedido (tempo acumulado ≥ 100% do SLA)</x:v>
      </x:c>
    </x:row>
    <x:row r="137" ht="22" customHeight="1">
      <x:c r="A137" t="str">
        <x:v>T08</x:v>
      </x:c>
      <x:c r="B137" s="50" t="n">
        <x:v>46273.583333333336</x:v>
      </x:c>
      <x:c r="C137" t="str">
        <x:v>CH-20260908-036</x:v>
      </x:c>
      <x:c r="D137" t="str">
        <x:v>E-113</x:v>
      </x:c>
      <x:c r="E137" t="str">
        <x:v>STATUS</x:v>
      </x:c>
      <x:c r="F137" t="str">
        <x:v>Em atendimento</x:v>
      </x:c>
      <x:c r="G137" t="str">
        <x:v>Concluído</x:v>
      </x:c>
      <x:c r="H137" t="str">
        <x:v>Conclusão simulada registrada.</x:v>
      </x:c>
    </x:row>
    <x:row r="138" ht="22" customHeight="1">
      <x:c r="A138" t="str">
        <x:v>T08</x:v>
      </x:c>
      <x:c r="B138" s="50" t="n">
        <x:v>46273.583333333336</x:v>
      </x:c>
      <x:c r="C138" t="str">
        <x:v>CH-20260908-038</x:v>
      </x:c>
      <x:c r="D138" t="str">
        <x:v>E-138</x:v>
      </x:c>
      <x:c r="E138" t="str">
        <x:v>STATUS</x:v>
      </x:c>
      <x:c r="F138" t="str">
        <x:v>Técnico a caminho</x:v>
      </x:c>
      <x:c r="G138" t="str">
        <x:v>Em atendimento</x:v>
      </x:c>
      <x:c r="H138" t="str">
        <x:v>Evolução operacional registrada no estado.</x:v>
      </x:c>
    </x:row>
    <x:row r="139" ht="22" customHeight="1">
      <x:c r="A139" t="str">
        <x:v>T08</x:v>
      </x:c>
      <x:c r="B139" s="50" t="n">
        <x:v>46273.583333333336</x:v>
      </x:c>
      <x:c r="C139" t="str">
        <x:v>CH-20260908-039</x:v>
      </x:c>
      <x:c r="D139" t="str">
        <x:v>E-139</x:v>
      </x:c>
      <x:c r="E139" t="str">
        <x:v>STATUS</x:v>
      </x:c>
      <x:c r="F139" t="str">
        <x:v>Técnico a caminho</x:v>
      </x:c>
      <x:c r="G139" t="str">
        <x:v>Em atendimento</x:v>
      </x:c>
      <x:c r="H139" t="str">
        <x:v>Evolução operacional registrada no estado.</x:v>
      </x:c>
    </x:row>
    <x:row r="140" ht="22" customHeight="1">
      <x:c r="A140" t="str">
        <x:v>T08</x:v>
      </x:c>
      <x:c r="B140" s="50" t="n">
        <x:v>46273.583333333336</x:v>
      </x:c>
      <x:c r="C140" t="str">
        <x:v>CH-20260908-039</x:v>
      </x:c>
      <x:c r="D140" t="str">
        <x:v>E-139</x:v>
      </x:c>
      <x:c r="E140" t="str">
        <x:v>CRITICIDADE</x:v>
      </x:c>
      <x:c r="F140" t="str">
        <x:v>Amarelo</x:v>
      </x:c>
      <x:c r="G140" t="str">
        <x:v>Vermelho</x:v>
      </x:c>
      <x:c r="H140" t="str">
        <x:v>SLA sintético excedido (tempo acumulado ≥ 100% do SLA)</x:v>
      </x:c>
    </x:row>
    <x:row r="141" ht="22" customHeight="1">
      <x:c r="A141" t="str">
        <x:v>T08</x:v>
      </x:c>
      <x:c r="B141" s="50" t="n">
        <x:v>46273.583333333336</x:v>
      </x:c>
      <x:c r="C141" t="str">
        <x:v>CH-20260908-040</x:v>
      </x:c>
      <x:c r="D141" t="str">
        <x:v>E-140</x:v>
      </x:c>
      <x:c r="E141" t="str">
        <x:v>STATUS</x:v>
      </x:c>
      <x:c r="F141" t="str">
        <x:v>Técnico a caminho</x:v>
      </x:c>
      <x:c r="G141" t="str">
        <x:v>Em atendimento</x:v>
      </x:c>
      <x:c r="H141" t="str">
        <x:v>Evolução operacional registrada no estado.</x:v>
      </x:c>
    </x:row>
    <x:row r="142" ht="22" customHeight="1">
      <x:c r="A142" t="str">
        <x:v>T08</x:v>
      </x:c>
      <x:c r="B142" s="50" t="n">
        <x:v>46273.583333333336</x:v>
      </x:c>
      <x:c r="C142" t="str">
        <x:v>CH-20260908-040</x:v>
      </x:c>
      <x:c r="D142" t="str">
        <x:v>E-140</x:v>
      </x:c>
      <x:c r="E142" t="str">
        <x:v>CRITICIDADE</x:v>
      </x:c>
      <x:c r="F142" t="str">
        <x:v>Verde</x:v>
      </x:c>
      <x:c r="G142" t="str">
        <x:v>Amarelo</x:v>
      </x:c>
      <x:c r="H142" t="str">
        <x:v>atenção: tempo acumulado ≥ 55% do SLA</x:v>
      </x:c>
    </x:row>
    <x:row r="143" ht="22" customHeight="1">
      <x:c r="A143" t="str">
        <x:v>T08</x:v>
      </x:c>
      <x:c r="B143" s="50" t="n">
        <x:v>46273.583333333336</x:v>
      </x:c>
      <x:c r="C143" t="str">
        <x:v>CH-20260908-041</x:v>
      </x:c>
      <x:c r="D143" t="str">
        <x:v>E-141</x:v>
      </x:c>
      <x:c r="E143" t="str">
        <x:v>STATUS</x:v>
      </x:c>
      <x:c r="F143" t="str">
        <x:v>Contactado</x:v>
      </x:c>
      <x:c r="G143" t="str">
        <x:v>Em atendimento</x:v>
      </x:c>
      <x:c r="H143" t="str">
        <x:v>Evolução operacional registrada no estado.</x:v>
      </x:c>
    </x:row>
    <x:row r="144" ht="22" customHeight="1">
      <x:c r="A144" t="str">
        <x:v>T08</x:v>
      </x:c>
      <x:c r="B144" s="50" t="n">
        <x:v>46273.583333333336</x:v>
      </x:c>
      <x:c r="C144" t="str">
        <x:v>CH-20260908-042</x:v>
      </x:c>
      <x:c r="D144" t="str">
        <x:v>E-142</x:v>
      </x:c>
      <x:c r="E144" t="str">
        <x:v>NOVO</x:v>
      </x:c>
      <x:c r="F144"/>
      <x:c r="G144" t="str">
        <x:v>Técnico a caminho</x:v>
      </x:c>
      <x:c r="H144" t="str">
        <x:v>Chamado passa a integrar o estado T08; Painel sem comunicação / Painel/Comando.</x:v>
      </x:c>
    </x:row>
    <x:row r="145" ht="22" customHeight="1">
      <x:c r="A145" t="str">
        <x:v>T08</x:v>
      </x:c>
      <x:c r="B145" s="50" t="n">
        <x:v>46273.583333333336</x:v>
      </x:c>
      <x:c r="C145" t="str">
        <x:v>CH-20260908-043</x:v>
      </x:c>
      <x:c r="D145" t="str">
        <x:v>E-121</x:v>
      </x:c>
      <x:c r="E145" t="str">
        <x:v>NOVO</x:v>
      </x:c>
      <x:c r="F145"/>
      <x:c r="G145" t="str">
        <x:v>Técnico a caminho</x:v>
      </x:c>
      <x:c r="H145" t="str">
        <x:v>Chamado passa a integrar o estado T08; Porta não fecha / Operador de Porta.</x:v>
      </x:c>
    </x:row>
    <x:row r="146" ht="22" customHeight="1">
      <x:c r="A146" t="str">
        <x:v>T08</x:v>
      </x:c>
      <x:c r="B146" s="50" t="n">
        <x:v>46273.583333333336</x:v>
      </x:c>
      <x:c r="C146" t="str">
        <x:v>CH-20260908-044</x:v>
      </x:c>
      <x:c r="D146" t="str">
        <x:v>E-144</x:v>
      </x:c>
      <x:c r="E146" t="str">
        <x:v>NOVO</x:v>
      </x:c>
      <x:c r="F146"/>
      <x:c r="G146" t="str">
        <x:v>Técnico a caminho</x:v>
      </x:c>
      <x:c r="H146" t="str">
        <x:v>Chamado passa a integrar o estado T08; Falha de Nivelamento / Sensor de Nível.</x:v>
      </x:c>
    </x:row>
    <x:row r="147" ht="22" customHeight="1">
      <x:c r="A147" t="str">
        <x:v>T09</x:v>
      </x:c>
      <x:c r="B147" s="50" t="n">
        <x:v>46273.625</x:v>
      </x:c>
      <x:c r="C147" t="str">
        <x:v>CH-20260908-028</x:v>
      </x:c>
      <x:c r="D147" t="str">
        <x:v>E-128</x:v>
      </x:c>
      <x:c r="E147" t="str">
        <x:v>STATUS</x:v>
      </x:c>
      <x:c r="F147" t="str">
        <x:v>Em atendimento</x:v>
      </x:c>
      <x:c r="G147" t="str">
        <x:v>Concluído</x:v>
      </x:c>
      <x:c r="H147" t="str">
        <x:v>Conclusão simulada registrada.</x:v>
      </x:c>
    </x:row>
    <x:row r="148" ht="22" customHeight="1">
      <x:c r="A148" t="str">
        <x:v>T09</x:v>
      </x:c>
      <x:c r="B148" s="50" t="n">
        <x:v>46273.625</x:v>
      </x:c>
      <x:c r="C148" t="str">
        <x:v>CH-20260908-034</x:v>
      </x:c>
      <x:c r="D148" t="str">
        <x:v>E-134</x:v>
      </x:c>
      <x:c r="E148" t="str">
        <x:v>STATUS</x:v>
      </x:c>
      <x:c r="F148" t="str">
        <x:v>Em atendimento</x:v>
      </x:c>
      <x:c r="G148" t="str">
        <x:v>Concluído</x:v>
      </x:c>
      <x:c r="H148" t="str">
        <x:v>Conclusão simulada registrada.</x:v>
      </x:c>
    </x:row>
    <x:row r="149" ht="22" customHeight="1">
      <x:c r="A149" t="str">
        <x:v>T09</x:v>
      </x:c>
      <x:c r="B149" s="50" t="n">
        <x:v>46273.625</x:v>
      </x:c>
      <x:c r="C149" t="str">
        <x:v>CH-20260908-037</x:v>
      </x:c>
      <x:c r="D149" t="str">
        <x:v>E-137</x:v>
      </x:c>
      <x:c r="E149" t="str">
        <x:v>STATUS</x:v>
      </x:c>
      <x:c r="F149" t="str">
        <x:v>Em atendimento</x:v>
      </x:c>
      <x:c r="G149" t="str">
        <x:v>Concluído</x:v>
      </x:c>
      <x:c r="H149" t="str">
        <x:v>Conclusão simulada registrada.</x:v>
      </x:c>
    </x:row>
    <x:row r="150" ht="22" customHeight="1">
      <x:c r="A150" t="str">
        <x:v>T09</x:v>
      </x:c>
      <x:c r="B150" s="50" t="n">
        <x:v>46273.625</x:v>
      </x:c>
      <x:c r="C150" t="str">
        <x:v>CH-20260908-038</x:v>
      </x:c>
      <x:c r="D150" t="str">
        <x:v>E-138</x:v>
      </x:c>
      <x:c r="E150" t="str">
        <x:v>CRITICIDADE</x:v>
      </x:c>
      <x:c r="F150" t="str">
        <x:v>Laranja</x:v>
      </x:c>
      <x:c r="G150" t="str">
        <x:v>Vermelho</x:v>
      </x:c>
      <x:c r="H150" t="str">
        <x:v>SLA sintético excedido (tempo acumulado ≥ 100% do SLA)</x:v>
      </x:c>
    </x:row>
    <x:row r="151" ht="22" customHeight="1">
      <x:c r="A151" t="str">
        <x:v>T09</x:v>
      </x:c>
      <x:c r="B151" s="50" t="n">
        <x:v>46273.625</x:v>
      </x:c>
      <x:c r="C151" t="str">
        <x:v>CH-20260908-040</x:v>
      </x:c>
      <x:c r="D151" t="str">
        <x:v>E-140</x:v>
      </x:c>
      <x:c r="E151" t="str">
        <x:v>STATUS</x:v>
      </x:c>
      <x:c r="F151" t="str">
        <x:v>Em atendimento</x:v>
      </x:c>
      <x:c r="G151" t="str">
        <x:v>Concluído</x:v>
      </x:c>
      <x:c r="H151" t="str">
        <x:v>Conclusão simulada registrada.</x:v>
      </x:c>
    </x:row>
    <x:row r="152" ht="22" customHeight="1">
      <x:c r="A152" t="str">
        <x:v>T09</x:v>
      </x:c>
      <x:c r="B152" s="50" t="n">
        <x:v>46273.625</x:v>
      </x:c>
      <x:c r="C152" t="str">
        <x:v>CH-20260908-040</x:v>
      </x:c>
      <x:c r="D152" t="str">
        <x:v>E-140</x:v>
      </x:c>
      <x:c r="E152" t="str">
        <x:v>CRITICIDADE</x:v>
      </x:c>
      <x:c r="F152" t="str">
        <x:v>Amarelo</x:v>
      </x:c>
      <x:c r="G152" t="str">
        <x:v>Laranja</x:v>
      </x:c>
      <x:c r="H152" t="str">
        <x:v>janela de intervenção: tempo acumulado ≥ 80% do SLA</x:v>
      </x:c>
    </x:row>
    <x:row r="153" ht="22" customHeight="1">
      <x:c r="A153" t="str">
        <x:v>T09</x:v>
      </x:c>
      <x:c r="B153" s="50" t="n">
        <x:v>46273.625</x:v>
      </x:c>
      <x:c r="C153" t="str">
        <x:v>CH-20260908-041</x:v>
      </x:c>
      <x:c r="D153" t="str">
        <x:v>E-141</x:v>
      </x:c>
      <x:c r="E153" t="str">
        <x:v>STATUS</x:v>
      </x:c>
      <x:c r="F153" t="str">
        <x:v>Em atendimento</x:v>
      </x:c>
      <x:c r="G153" t="str">
        <x:v>Concluído</x:v>
      </x:c>
      <x:c r="H153" t="str">
        <x:v>Conclusão simulada registrada.</x:v>
      </x:c>
    </x:row>
    <x:row r="154" ht="22" customHeight="1">
      <x:c r="A154" t="str">
        <x:v>T09</x:v>
      </x:c>
      <x:c r="B154" s="50" t="n">
        <x:v>46273.625</x:v>
      </x:c>
      <x:c r="C154" t="str">
        <x:v>CH-20260908-041</x:v>
      </x:c>
      <x:c r="D154" t="str">
        <x:v>E-141</x:v>
      </x:c>
      <x:c r="E154" t="str">
        <x:v>CRITICIDADE</x:v>
      </x:c>
      <x:c r="F154" t="str">
        <x:v>Amarelo</x:v>
      </x:c>
      <x:c r="G154" t="str">
        <x:v>Laranja</x:v>
      </x:c>
      <x:c r="H154" t="str">
        <x:v>janela de intervenção: tempo acumulado ≥ 80% do SLA</x:v>
      </x:c>
    </x:row>
    <x:row r="155" ht="22" customHeight="1">
      <x:c r="A155" t="str">
        <x:v>T09</x:v>
      </x:c>
      <x:c r="B155" s="50" t="n">
        <x:v>46273.625</x:v>
      </x:c>
      <x:c r="C155" t="str">
        <x:v>CH-20260908-042</x:v>
      </x:c>
      <x:c r="D155" t="str">
        <x:v>E-142</x:v>
      </x:c>
      <x:c r="E155" t="str">
        <x:v>STATUS</x:v>
      </x:c>
      <x:c r="F155" t="str">
        <x:v>Técnico a caminho</x:v>
      </x:c>
      <x:c r="G155" t="str">
        <x:v>Em atendimento</x:v>
      </x:c>
      <x:c r="H155" t="str">
        <x:v>Evolução operacional registrada no estado.</x:v>
      </x:c>
    </x:row>
    <x:row r="156" ht="22" customHeight="1">
      <x:c r="A156" t="str">
        <x:v>T09</x:v>
      </x:c>
      <x:c r="B156" s="50" t="n">
        <x:v>46273.625</x:v>
      </x:c>
      <x:c r="C156" t="str">
        <x:v>CH-20260908-043</x:v>
      </x:c>
      <x:c r="D156" t="str">
        <x:v>E-121</x:v>
      </x:c>
      <x:c r="E156" t="str">
        <x:v>STATUS</x:v>
      </x:c>
      <x:c r="F156" t="str">
        <x:v>Técnico a caminho</x:v>
      </x:c>
      <x:c r="G156" t="str">
        <x:v>Em atendimento</x:v>
      </x:c>
      <x:c r="H156" t="str">
        <x:v>Evolução operacional registrada no estado.</x:v>
      </x:c>
    </x:row>
    <x:row r="157" ht="22" customHeight="1">
      <x:c r="A157" t="str">
        <x:v>T09</x:v>
      </x:c>
      <x:c r="B157" s="50" t="n">
        <x:v>46273.625</x:v>
      </x:c>
      <x:c r="C157" t="str">
        <x:v>CH-20260908-043</x:v>
      </x:c>
      <x:c r="D157" t="str">
        <x:v>E-121</x:v>
      </x:c>
      <x:c r="E157" t="str">
        <x:v>CRITICIDADE</x:v>
      </x:c>
      <x:c r="F157" t="str">
        <x:v>Amarelo</x:v>
      </x:c>
      <x:c r="G157" t="str">
        <x:v>Vermelho</x:v>
      </x:c>
      <x:c r="H157" t="str">
        <x:v>SLA sintético excedido (tempo acumulado ≥ 100% do SLA)</x:v>
      </x:c>
    </x:row>
    <x:row r="158" ht="22" customHeight="1">
      <x:c r="A158" t="str">
        <x:v>T09</x:v>
      </x:c>
      <x:c r="B158" s="50" t="n">
        <x:v>46273.625</x:v>
      </x:c>
      <x:c r="C158" t="str">
        <x:v>CH-20260908-044</x:v>
      </x:c>
      <x:c r="D158" t="str">
        <x:v>E-144</x:v>
      </x:c>
      <x:c r="E158" t="str">
        <x:v>STATUS</x:v>
      </x:c>
      <x:c r="F158" t="str">
        <x:v>Técnico a caminho</x:v>
      </x:c>
      <x:c r="G158" t="str">
        <x:v>Em atendimento</x:v>
      </x:c>
      <x:c r="H158" t="str">
        <x:v>Evolução operacional registrada no estado.</x:v>
      </x:c>
    </x:row>
    <x:row r="159" ht="22" customHeight="1">
      <x:c r="A159" t="str">
        <x:v>T09</x:v>
      </x:c>
      <x:c r="B159" s="50" t="n">
        <x:v>46273.625</x:v>
      </x:c>
      <x:c r="C159" t="str">
        <x:v>CH-20260908-044</x:v>
      </x:c>
      <x:c r="D159" t="str">
        <x:v>E-144</x:v>
      </x:c>
      <x:c r="E159" t="str">
        <x:v>CRITICIDADE</x:v>
      </x:c>
      <x:c r="F159" t="str">
        <x:v>Verde</x:v>
      </x:c>
      <x:c r="G159" t="str">
        <x:v>Amarelo</x:v>
      </x:c>
      <x:c r="H159" t="str">
        <x:v>atenção: tempo acumulado ≥ 55% do SLA</x:v>
      </x:c>
    </x:row>
    <x:row r="160" ht="22" customHeight="1">
      <x:c r="A160" t="str">
        <x:v>T09</x:v>
      </x:c>
      <x:c r="B160" s="50" t="n">
        <x:v>46273.625</x:v>
      </x:c>
      <x:c r="C160" t="str">
        <x:v>CH-20260908-045</x:v>
      </x:c>
      <x:c r="D160" t="str">
        <x:v>E-145</x:v>
      </x:c>
      <x:c r="E160" t="str">
        <x:v>NOVO</x:v>
      </x:c>
      <x:c r="F160"/>
      <x:c r="G160" t="str">
        <x:v>Em atendimento</x:v>
      </x:c>
      <x:c r="H160" t="str">
        <x:v>Chamado passa a integrar o estado T09; Passageiro Preso / Tração.</x:v>
      </x:c>
    </x:row>
    <x:row r="161" ht="22" customHeight="1">
      <x:c r="A161" t="str">
        <x:v>T09</x:v>
      </x:c>
      <x:c r="B161" s="50" t="n">
        <x:v>46273.625</x:v>
      </x:c>
      <x:c r="C161" t="str">
        <x:v>CH-20260908-046</x:v>
      </x:c>
      <x:c r="D161" t="str">
        <x:v>E-146</x:v>
      </x:c>
      <x:c r="E161" t="str">
        <x:v>NOVO</x:v>
      </x:c>
      <x:c r="F161"/>
      <x:c r="G161" t="str">
        <x:v>Técnico a caminho</x:v>
      </x:c>
      <x:c r="H161" t="str">
        <x:v>Chamado passa a integrar o estado T09; Parada Intermitente / Painel/Comando.</x:v>
      </x:c>
    </x:row>
    <x:row r="162" ht="22" customHeight="1">
      <x:c r="A162" t="str">
        <x:v>T09</x:v>
      </x:c>
      <x:c r="B162" s="50" t="n">
        <x:v>46273.625</x:v>
      </x:c>
      <x:c r="C162" t="str">
        <x:v>CH-20260908-047</x:v>
      </x:c>
      <x:c r="D162" t="str">
        <x:v>E-147</x:v>
      </x:c>
      <x:c r="E162" t="str">
        <x:v>NOVO</x:v>
      </x:c>
      <x:c r="F162"/>
      <x:c r="G162" t="str">
        <x:v>Técnico a caminho</x:v>
      </x:c>
      <x:c r="H162" t="str">
        <x:v>Chamado passa a integrar o estado T09; Botão de Chamada / Botoeira.</x:v>
      </x:c>
    </x:row>
    <x:row r="163" ht="22" customHeight="1">
      <x:c r="A163" t="str">
        <x:v>T09</x:v>
      </x:c>
      <x:c r="B163" s="50" t="n">
        <x:v>46273.625</x:v>
      </x:c>
      <x:c r="C163" t="str">
        <x:v>CH-20260908-048</x:v>
      </x:c>
      <x:c r="D163" t="str">
        <x:v>E-148</x:v>
      </x:c>
      <x:c r="E163" t="str">
        <x:v>NOVO</x:v>
      </x:c>
      <x:c r="F163"/>
      <x:c r="G163" t="str">
        <x:v>Técnico a caminho</x:v>
      </x:c>
      <x:c r="H163" t="str">
        <x:v>Chamado passa a integrar o estado T09; Iluminação de Cabine / Elétrica.</x:v>
      </x:c>
    </x:row>
    <x:row r="164" ht="22" customHeight="1">
      <x:c r="A164" t="str">
        <x:v>T10</x:v>
      </x:c>
      <x:c r="B164" s="50" t="n">
        <x:v>46273.666666666664</x:v>
      </x:c>
      <x:c r="C164" t="str">
        <x:v>CH-20260908-033</x:v>
      </x:c>
      <x:c r="D164" t="str">
        <x:v>E-133</x:v>
      </x:c>
      <x:c r="E164" t="str">
        <x:v>STATUS</x:v>
      </x:c>
      <x:c r="F164" t="str">
        <x:v>Em atendimento</x:v>
      </x:c>
      <x:c r="G164" t="str">
        <x:v>Concluído</x:v>
      </x:c>
      <x:c r="H164" t="str">
        <x:v>Conclusão simulada registrada.</x:v>
      </x:c>
    </x:row>
    <x:row r="165" ht="22" customHeight="1">
      <x:c r="A165" t="str">
        <x:v>T10</x:v>
      </x:c>
      <x:c r="B165" s="50" t="n">
        <x:v>46273.666666666664</x:v>
      </x:c>
      <x:c r="C165" t="str">
        <x:v>CH-20260908-035</x:v>
      </x:c>
      <x:c r="D165" t="str">
        <x:v>E-135</x:v>
      </x:c>
      <x:c r="E165" t="str">
        <x:v>STATUS</x:v>
      </x:c>
      <x:c r="F165" t="str">
        <x:v>Em atendimento</x:v>
      </x:c>
      <x:c r="G165" t="str">
        <x:v>Concluído</x:v>
      </x:c>
      <x:c r="H165" t="str">
        <x:v>Conclusão simulada registrada.</x:v>
      </x:c>
    </x:row>
    <x:row r="166" ht="22" customHeight="1">
      <x:c r="A166" t="str">
        <x:v>T10</x:v>
      </x:c>
      <x:c r="B166" s="50" t="n">
        <x:v>46273.666666666664</x:v>
      </x:c>
      <x:c r="C166" t="str">
        <x:v>CH-20260908-038</x:v>
      </x:c>
      <x:c r="D166" t="str">
        <x:v>E-138</x:v>
      </x:c>
      <x:c r="E166" t="str">
        <x:v>STATUS</x:v>
      </x:c>
      <x:c r="F166" t="str">
        <x:v>Em atendimento</x:v>
      </x:c>
      <x:c r="G166" t="str">
        <x:v>Concluído</x:v>
      </x:c>
      <x:c r="H166" t="str">
        <x:v>Conclusão simulada registrada.</x:v>
      </x:c>
    </x:row>
    <x:row r="167" ht="22" customHeight="1">
      <x:c r="A167" t="str">
        <x:v>T10</x:v>
      </x:c>
      <x:c r="B167" s="50" t="n">
        <x:v>46273.666666666664</x:v>
      </x:c>
      <x:c r="C167" t="str">
        <x:v>CH-20260908-039</x:v>
      </x:c>
      <x:c r="D167" t="str">
        <x:v>E-139</x:v>
      </x:c>
      <x:c r="E167" t="str">
        <x:v>STATUS</x:v>
      </x:c>
      <x:c r="F167" t="str">
        <x:v>Em atendimento</x:v>
      </x:c>
      <x:c r="G167" t="str">
        <x:v>Concluído</x:v>
      </x:c>
      <x:c r="H167" t="str">
        <x:v>Conclusão simulada registrada.</x:v>
      </x:c>
    </x:row>
    <x:row r="168" ht="22" customHeight="1">
      <x:c r="A168" t="str">
        <x:v>T10</x:v>
      </x:c>
      <x:c r="B168" s="50" t="n">
        <x:v>46273.666666666664</x:v>
      </x:c>
      <x:c r="C168" t="str">
        <x:v>CH-20260908-042</x:v>
      </x:c>
      <x:c r="D168" t="str">
        <x:v>E-142</x:v>
      </x:c>
      <x:c r="E168" t="str">
        <x:v>CRITICIDADE</x:v>
      </x:c>
      <x:c r="F168" t="str">
        <x:v>Amarelo</x:v>
      </x:c>
      <x:c r="G168" t="str">
        <x:v>Laranja</x:v>
      </x:c>
      <x:c r="H168" t="str">
        <x:v>janela de intervenção: tempo acumulado ≥ 80% do SLA</x:v>
      </x:c>
    </x:row>
    <x:row r="169" ht="22" customHeight="1">
      <x:c r="A169" t="str">
        <x:v>T10</x:v>
      </x:c>
      <x:c r="B169" s="50" t="n">
        <x:v>46273.666666666664</x:v>
      </x:c>
      <x:c r="C169" t="str">
        <x:v>CH-20260908-044</x:v>
      </x:c>
      <x:c r="D169" t="str">
        <x:v>E-144</x:v>
      </x:c>
      <x:c r="E169" t="str">
        <x:v>CRITICIDADE</x:v>
      </x:c>
      <x:c r="F169" t="str">
        <x:v>Amarelo</x:v>
      </x:c>
      <x:c r="G169" t="str">
        <x:v>Vermelho</x:v>
      </x:c>
      <x:c r="H169" t="str">
        <x:v>SLA sintético excedido (tempo acumulado ≥ 100% do SLA)</x:v>
      </x:c>
    </x:row>
    <x:row r="170" ht="22" customHeight="1">
      <x:c r="A170" t="str">
        <x:v>T10</x:v>
      </x:c>
      <x:c r="B170" s="50" t="n">
        <x:v>46273.666666666664</x:v>
      </x:c>
      <x:c r="C170" t="str">
        <x:v>CH-20260908-045</x:v>
      </x:c>
      <x:c r="D170" t="str">
        <x:v>E-145</x:v>
      </x:c>
      <x:c r="E170" t="str">
        <x:v>STATUS</x:v>
      </x:c>
      <x:c r="F170" t="str">
        <x:v>Em atendimento</x:v>
      </x:c>
      <x:c r="G170" t="str">
        <x:v>Concluído</x:v>
      </x:c>
      <x:c r="H170" t="str">
        <x:v>Conclusão simulada registrada.</x:v>
      </x:c>
    </x:row>
    <x:row r="171" ht="22" customHeight="1">
      <x:c r="A171" t="str">
        <x:v>T10</x:v>
      </x:c>
      <x:c r="B171" s="50" t="n">
        <x:v>46273.666666666664</x:v>
      </x:c>
      <x:c r="C171" t="str">
        <x:v>CH-20260908-046</x:v>
      </x:c>
      <x:c r="D171" t="str">
        <x:v>E-146</x:v>
      </x:c>
      <x:c r="E171" t="str">
        <x:v>STATUS</x:v>
      </x:c>
      <x:c r="F171" t="str">
        <x:v>Técnico a caminho</x:v>
      </x:c>
      <x:c r="G171" t="str">
        <x:v>Em atendimento</x:v>
      </x:c>
      <x:c r="H171" t="str">
        <x:v>Evolução operacional registrada no estado.</x:v>
      </x:c>
    </x:row>
    <x:row r="172" ht="22" customHeight="1">
      <x:c r="A172" t="str">
        <x:v>T10</x:v>
      </x:c>
      <x:c r="B172" s="50" t="n">
        <x:v>46273.666666666664</x:v>
      </x:c>
      <x:c r="C172" t="str">
        <x:v>CH-20260908-046</x:v>
      </x:c>
      <x:c r="D172" t="str">
        <x:v>E-146</x:v>
      </x:c>
      <x:c r="E172" t="str">
        <x:v>CRITICIDADE</x:v>
      </x:c>
      <x:c r="F172" t="str">
        <x:v>Laranja</x:v>
      </x:c>
      <x:c r="G172" t="str">
        <x:v>Vermelho</x:v>
      </x:c>
      <x:c r="H172" t="str">
        <x:v>SLA sintético excedido (tempo acumulado ≥ 100% do SLA)</x:v>
      </x:c>
    </x:row>
    <x:row r="173" ht="22" customHeight="1">
      <x:c r="A173" t="str">
        <x:v>T10</x:v>
      </x:c>
      <x:c r="B173" s="50" t="n">
        <x:v>46273.666666666664</x:v>
      </x:c>
      <x:c r="C173" t="str">
        <x:v>CH-20260908-047</x:v>
      </x:c>
      <x:c r="D173" t="str">
        <x:v>E-147</x:v>
      </x:c>
      <x:c r="E173" t="str">
        <x:v>STATUS</x:v>
      </x:c>
      <x:c r="F173" t="str">
        <x:v>Técnico a caminho</x:v>
      </x:c>
      <x:c r="G173" t="str">
        <x:v>Em atendimento</x:v>
      </x:c>
      <x:c r="H173" t="str">
        <x:v>Evolução operacional registrada no estado.</x:v>
      </x:c>
    </x:row>
    <x:row r="174" ht="22" customHeight="1">
      <x:c r="A174" t="str">
        <x:v>T10</x:v>
      </x:c>
      <x:c r="B174" s="50" t="n">
        <x:v>46273.666666666664</x:v>
      </x:c>
      <x:c r="C174" t="str">
        <x:v>CH-20260908-048</x:v>
      </x:c>
      <x:c r="D174" t="str">
        <x:v>E-148</x:v>
      </x:c>
      <x:c r="E174" t="str">
        <x:v>STATUS</x:v>
      </x:c>
      <x:c r="F174" t="str">
        <x:v>Técnico a caminho</x:v>
      </x:c>
      <x:c r="G174" t="str">
        <x:v>Em atendimento</x:v>
      </x:c>
      <x:c r="H174" t="str">
        <x:v>Evolução operacional registrada no estado.</x:v>
      </x:c>
    </x:row>
    <x:row r="175" ht="22" customHeight="1">
      <x:c r="A175" t="str">
        <x:v>T10</x:v>
      </x:c>
      <x:c r="B175" s="50" t="n">
        <x:v>46273.666666666664</x:v>
      </x:c>
      <x:c r="C175" t="str">
        <x:v>CH-20260908-049</x:v>
      </x:c>
      <x:c r="D175" t="str">
        <x:v>E-149</x:v>
      </x:c>
      <x:c r="E175" t="str">
        <x:v>NOVO</x:v>
      </x:c>
      <x:c r="F175"/>
      <x:c r="G175" t="str">
        <x:v>Em atendimento</x:v>
      </x:c>
      <x:c r="H175" t="str">
        <x:v>Chamado passa a integrar o estado T10; Falha de Tração / Máquina de Tração.</x:v>
      </x:c>
    </x:row>
    <x:row r="176" ht="22" customHeight="1">
      <x:c r="A176" t="str">
        <x:v>T10</x:v>
      </x:c>
      <x:c r="B176" s="50" t="n">
        <x:v>46273.666666666664</x:v>
      </x:c>
      <x:c r="C176" t="str">
        <x:v>CH-20260908-050</x:v>
      </x:c>
      <x:c r="D176" t="str">
        <x:v>E-132</x:v>
      </x:c>
      <x:c r="E176" t="str">
        <x:v>NOVO</x:v>
      </x:c>
      <x:c r="F176"/>
      <x:c r="G176" t="str">
        <x:v>Técnico a caminho</x:v>
      </x:c>
      <x:c r="H176" t="str">
        <x:v>Chamado passa a integrar o estado T10; Painel sem comunicação / Painel/Comando.</x:v>
      </x:c>
    </x:row>
    <x:row r="177" ht="22" customHeight="1">
      <x:c r="A177" t="str">
        <x:v>T10</x:v>
      </x:c>
      <x:c r="B177" s="50" t="n">
        <x:v>46273.666666666664</x:v>
      </x:c>
      <x:c r="C177" t="str">
        <x:v>CH-20260908-051</x:v>
      </x:c>
      <x:c r="D177" t="str">
        <x:v>E-151</x:v>
      </x:c>
      <x:c r="E177" t="str">
        <x:v>NOVO</x:v>
      </x:c>
      <x:c r="F177"/>
      <x:c r="G177" t="str">
        <x:v>Técnico a caminho</x:v>
      </x:c>
      <x:c r="H177" t="str">
        <x:v>Chamado passa a integrar o estado T10; Porta não fecha / Operador de Porta.</x:v>
      </x:c>
    </x:row>
    <x:row r="178" ht="22" customHeight="1">
      <x:c r="A178" t="str">
        <x:v>T11</x:v>
      </x:c>
      <x:c r="B178" s="50" t="n">
        <x:v>46273.708333333336</x:v>
      </x:c>
      <x:c r="C178" t="str">
        <x:v>CH-20260908-042</x:v>
      </x:c>
      <x:c r="D178" t="str">
        <x:v>E-142</x:v>
      </x:c>
      <x:c r="E178" t="str">
        <x:v>CRITICIDADE</x:v>
      </x:c>
      <x:c r="F178" t="str">
        <x:v>Laranja</x:v>
      </x:c>
      <x:c r="G178" t="str">
        <x:v>Vermelho</x:v>
      </x:c>
      <x:c r="H178" t="str">
        <x:v>SLA sintético excedido (tempo acumulado ≥ 100% do SLA)</x:v>
      </x:c>
    </x:row>
    <x:row r="179" ht="22" customHeight="1">
      <x:c r="A179" t="str">
        <x:v>T11</x:v>
      </x:c>
      <x:c r="B179" s="50" t="n">
        <x:v>46273.708333333336</x:v>
      </x:c>
      <x:c r="C179" t="str">
        <x:v>CH-20260908-043</x:v>
      </x:c>
      <x:c r="D179" t="str">
        <x:v>E-121</x:v>
      </x:c>
      <x:c r="E179" t="str">
        <x:v>STATUS</x:v>
      </x:c>
      <x:c r="F179" t="str">
        <x:v>Em atendimento</x:v>
      </x:c>
      <x:c r="G179" t="str">
        <x:v>Concluído</x:v>
      </x:c>
      <x:c r="H179" t="str">
        <x:v>Conclusão simulada registrada.</x:v>
      </x:c>
    </x:row>
    <x:row r="180" ht="22" customHeight="1">
      <x:c r="A180" t="str">
        <x:v>T11</x:v>
      </x:c>
      <x:c r="B180" s="50" t="n">
        <x:v>46273.708333333336</x:v>
      </x:c>
      <x:c r="C180" t="str">
        <x:v>CH-20260908-044</x:v>
      </x:c>
      <x:c r="D180" t="str">
        <x:v>E-144</x:v>
      </x:c>
      <x:c r="E180" t="str">
        <x:v>STATUS</x:v>
      </x:c>
      <x:c r="F180" t="str">
        <x:v>Em atendimento</x:v>
      </x:c>
      <x:c r="G180" t="str">
        <x:v>Concluído</x:v>
      </x:c>
      <x:c r="H180" t="str">
        <x:v>Conclusão simulada registrada.</x:v>
      </x:c>
    </x:row>
    <x:row r="181" ht="22" customHeight="1">
      <x:c r="A181" t="str">
        <x:v>T11</x:v>
      </x:c>
      <x:c r="B181" s="50" t="n">
        <x:v>46273.708333333336</x:v>
      </x:c>
      <x:c r="C181" t="str">
        <x:v>CH-20260908-046</x:v>
      </x:c>
      <x:c r="D181" t="str">
        <x:v>E-146</x:v>
      </x:c>
      <x:c r="E181" t="str">
        <x:v>STATUS</x:v>
      </x:c>
      <x:c r="F181" t="str">
        <x:v>Em atendimento</x:v>
      </x:c>
      <x:c r="G181" t="str">
        <x:v>Concluído</x:v>
      </x:c>
      <x:c r="H181" t="str">
        <x:v>Conclusão simulada registrada.</x:v>
      </x:c>
    </x:row>
    <x:row r="182" ht="22" customHeight="1">
      <x:c r="A182" t="str">
        <x:v>T11</x:v>
      </x:c>
      <x:c r="B182" s="50" t="n">
        <x:v>46273.708333333336</x:v>
      </x:c>
      <x:c r="C182" t="str">
        <x:v>CH-20260908-047</x:v>
      </x:c>
      <x:c r="D182" t="str">
        <x:v>E-147</x:v>
      </x:c>
      <x:c r="E182" t="str">
        <x:v>CRITICIDADE</x:v>
      </x:c>
      <x:c r="F182" t="str">
        <x:v>Amarelo</x:v>
      </x:c>
      <x:c r="G182" t="str">
        <x:v>Vermelho</x:v>
      </x:c>
      <x:c r="H182" t="str">
        <x:v>SLA sintético excedido (tempo acumulado ≥ 100% do SLA)</x:v>
      </x:c>
    </x:row>
    <x:row r="183" ht="22" customHeight="1">
      <x:c r="A183" t="str">
        <x:v>T11</x:v>
      </x:c>
      <x:c r="B183" s="50" t="n">
        <x:v>46273.708333333336</x:v>
      </x:c>
      <x:c r="C183" t="str">
        <x:v>CH-20260908-048</x:v>
      </x:c>
      <x:c r="D183" t="str">
        <x:v>E-148</x:v>
      </x:c>
      <x:c r="E183" t="str">
        <x:v>CRITICIDADE</x:v>
      </x:c>
      <x:c r="F183" t="str">
        <x:v>Verde</x:v>
      </x:c>
      <x:c r="G183" t="str">
        <x:v>Amarelo</x:v>
      </x:c>
      <x:c r="H183" t="str">
        <x:v>atenção: tempo acumulado ≥ 55% do SLA</x:v>
      </x:c>
    </x:row>
    <x:row r="184" ht="22" customHeight="1">
      <x:c r="A184" t="str">
        <x:v>T11</x:v>
      </x:c>
      <x:c r="B184" s="50" t="n">
        <x:v>46273.708333333336</x:v>
      </x:c>
      <x:c r="C184" t="str">
        <x:v>CH-20260908-050</x:v>
      </x:c>
      <x:c r="D184" t="str">
        <x:v>E-132</x:v>
      </x:c>
      <x:c r="E184" t="str">
        <x:v>STATUS</x:v>
      </x:c>
      <x:c r="F184" t="str">
        <x:v>Técnico a caminho</x:v>
      </x:c>
      <x:c r="G184" t="str">
        <x:v>Em atendimento</x:v>
      </x:c>
      <x:c r="H184" t="str">
        <x:v>Evolução operacional registrada no estado.</x:v>
      </x:c>
    </x:row>
    <x:row r="185" ht="22" customHeight="1">
      <x:c r="A185" t="str">
        <x:v>T11</x:v>
      </x:c>
      <x:c r="B185" s="50" t="n">
        <x:v>46273.708333333336</x:v>
      </x:c>
      <x:c r="C185" t="str">
        <x:v>CH-20260908-051</x:v>
      </x:c>
      <x:c r="D185" t="str">
        <x:v>E-151</x:v>
      </x:c>
      <x:c r="E185" t="str">
        <x:v>STATUS</x:v>
      </x:c>
      <x:c r="F185" t="str">
        <x:v>Técnico a caminho</x:v>
      </x:c>
      <x:c r="G185" t="str">
        <x:v>Em atendimento</x:v>
      </x:c>
      <x:c r="H185" t="str">
        <x:v>Evolução operacional registrada no estado.</x:v>
      </x:c>
    </x:row>
    <x:row r="186" ht="22" customHeight="1">
      <x:c r="A186" t="str">
        <x:v>T11</x:v>
      </x:c>
      <x:c r="B186" s="50" t="n">
        <x:v>46273.708333333336</x:v>
      </x:c>
      <x:c r="C186" t="str">
        <x:v>CH-20260908-051</x:v>
      </x:c>
      <x:c r="D186" t="str">
        <x:v>E-151</x:v>
      </x:c>
      <x:c r="E186" t="str">
        <x:v>CRITICIDADE</x:v>
      </x:c>
      <x:c r="F186" t="str">
        <x:v>Amarelo</x:v>
      </x:c>
      <x:c r="G186" t="str">
        <x:v>Vermelho</x:v>
      </x:c>
      <x:c r="H186" t="str">
        <x:v>SLA sintético excedido (tempo acumulado ≥ 100% do SLA)</x:v>
      </x:c>
    </x:row>
    <x:row r="187" ht="22" customHeight="1">
      <x:c r="A187" t="str">
        <x:v>T11</x:v>
      </x:c>
      <x:c r="B187" s="50" t="n">
        <x:v>46273.708333333336</x:v>
      </x:c>
      <x:c r="C187" t="str">
        <x:v>CH-20260908-052</x:v>
      </x:c>
      <x:c r="D187" t="str">
        <x:v>E-152</x:v>
      </x:c>
      <x:c r="E187" t="str">
        <x:v>NOVO</x:v>
      </x:c>
      <x:c r="F187"/>
      <x:c r="G187" t="str">
        <x:v>Em atendimento</x:v>
      </x:c>
      <x:c r="H187" t="str">
        <x:v>Chamado passa a integrar o estado T11; Falha de Nivelamento / Sensor de Nível.</x:v>
      </x:c>
    </x:row>
    <x:row r="188" ht="22" customHeight="1">
      <x:c r="A188" t="str">
        <x:v>T11</x:v>
      </x:c>
      <x:c r="B188" s="50" t="n">
        <x:v>46273.708333333336</x:v>
      </x:c>
      <x:c r="C188" t="str">
        <x:v>CH-20260908-053</x:v>
      </x:c>
      <x:c r="D188" t="str">
        <x:v>E-153</x:v>
      </x:c>
      <x:c r="E188" t="str">
        <x:v>NOVO</x:v>
      </x:c>
      <x:c r="F188"/>
      <x:c r="G188" t="str">
        <x:v>Técnico a caminho</x:v>
      </x:c>
      <x:c r="H188" t="str">
        <x:v>Chamado passa a integrar o estado T11; Passageiro Preso / Tração.</x:v>
      </x:c>
    </x:row>
    <x:row r="189" ht="22" customHeight="1">
      <x:c r="A189" t="str">
        <x:v>T11</x:v>
      </x:c>
      <x:c r="B189" s="50" t="n">
        <x:v>46273.708333333336</x:v>
      </x:c>
      <x:c r="C189" t="str">
        <x:v>CH-20260908-054</x:v>
      </x:c>
      <x:c r="D189" t="str">
        <x:v>E-142</x:v>
      </x:c>
      <x:c r="E189" t="str">
        <x:v>NOVO</x:v>
      </x:c>
      <x:c r="F189"/>
      <x:c r="G189" t="str">
        <x:v>Técnico a caminho</x:v>
      </x:c>
      <x:c r="H189" t="str">
        <x:v>Chamado passa a integrar o estado T11; Parada Intermitente / Painel/Comando.</x:v>
      </x:c>
    </x:row>
    <x:row r="190" ht="22" customHeight="1">
      <x:c r="A190" t="str">
        <x:v>T11</x:v>
      </x:c>
      <x:c r="B190" s="50" t="n">
        <x:v>46273.708333333336</x:v>
      </x:c>
      <x:c r="C190" t="str">
        <x:v>CH-20260908-055</x:v>
      </x:c>
      <x:c r="D190" t="str">
        <x:v>E-155</x:v>
      </x:c>
      <x:c r="E190" t="str">
        <x:v>NOVO</x:v>
      </x:c>
      <x:c r="F190"/>
      <x:c r="G190" t="str">
        <x:v>Técnico a caminho</x:v>
      </x:c>
      <x:c r="H190" t="str">
        <x:v>Chamado passa a integrar o estado T11; Botão de Chamada / Botoeira.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4" hidden="0" customWidth="1"/>
  </x:cols>
  <x:sheetData>
    <x:row r="1" ht="29" customHeight="1">
      <x:c r="A1" s="45" t="str">
        <x:v>ASSUNTO</x:v>
      </x:c>
      <x:c r="B1" s="45" t="str">
        <x:v>CONTRATO E LIMITES DA DEMONSTRAÇÃO</x:v>
      </x:c>
    </x:row>
    <x:row r="2" ht="35" customHeight="1">
      <x:c r="A2" s="67" t="str">
        <x:v>ESCOPO</x:v>
      </x:c>
      <x:c r="B2" s="70" t="str">
        <x:v>Dados exclusivamente sintéticos; contexto acadêmico NEXT. Não representam operação real ou indicadores oficiais OTIS.</x:v>
      </x:c>
    </x:row>
    <x:row r="3" ht="35" customHeight="1">
      <x:c r="A3" s="67" t="str">
        <x:v>PRESERVAÇÃO</x:v>
      </x:c>
      <x:c r="B3" s="70" t="str">
        <x:v>As sete abas originais foram mantidas. FEIRA_ESTENDIDA é uma série independente, sem substituir T0/T1/T2 nem HIST_60_DIAS.</x:v>
      </x:c>
    </x:row>
    <x:row r="4" ht="35" customHeight="1">
      <x:c r="A4" s="67" t="str">
        <x:v>IDENTIFICAÇÃO</x:v>
      </x:c>
      <x:c r="B4" s="70" t="str">
        <x:v>Cada linha de FEIRA_ESTENDIDA = um chamado no estado identificado por ID_Snapshot. Chave composta: ID_Snapshot + ID_Chamado.</x:v>
      </x:c>
    </x:row>
    <x:row r="5" ht="35" customHeight="1">
      <x:c r="A5" s="67" t="str">
        <x:v>SNAPSHOTS</x:v>
      </x:c>
      <x:c r="B5" s="70" t="str">
        <x:v>T00…T11 são estados completos, não eventos incrementais. Reposição integral no cliente; NUNCA concatenar nem somar snapshots.</x:v>
      </x:c>
    </x:row>
    <x:row r="6" ht="35" customHeight="1">
      <x:c r="A6" s="67" t="str">
        <x:v>ORIGEM T00-T02</x:v>
      </x:c>
      <x:c r="B6" s="70" t="str">
        <x:v>Base T0_Abertura/T1_Acompanhamento/T2_Desfecho da planilha; mesma identidade e dados, com ocultação de timestamps futuros.</x:v>
      </x:c>
    </x:row>
    <x:row r="7" ht="35" customHeight="1">
      <x:c r="A7" s="67" t="str">
        <x:v>ORIGEM T03-T11</x:v>
      </x:c>
      <x:c r="B7" s="70" t="str">
        <x:v>Evolução sintética elaborada para o modo Feira, inspirada em perfis originais e documentada em Origem_Cenario.</x:v>
      </x:c>
    </x:row>
    <x:row r="8" ht="35" customHeight="1">
      <x:c r="A8" s="67" t="str">
        <x:v>BASE HISTÓRICA</x:v>
      </x:c>
      <x:c r="B8" s="70" t="str">
        <x:v>HIST_60_DIAS 736 registros: preservada para Plataforma, não utilizar como eventos de Feira.</x:v>
      </x:c>
    </x:row>
    <x:row r="9" ht="35" customHeight="1">
      <x:c r="A9" s="67" t="str">
        <x:v>HORÁRIO</x:v>
      </x:c>
      <x:c r="B9" s="70" t="str">
        <x:v>Dia simulado 08/09/2026, das 08:00 às 17:00. Horario_Observacao é MOMENTO da fotografia, não horário exato de cada mudança.</x:v>
      </x:c>
    </x:row>
    <x:row r="10" ht="35" customHeight="1">
      <x:c r="A10" s="67" t="str">
        <x:v>DURAÇÃO</x:v>
      </x:c>
      <x:c r="B10" s="70" t="str">
        <x:v>12 estados × 27 segundos + espera de 12 segundos = 336 segundos (5 min 36 s) em 1×. 2× acelera a passagem, não muda horários.</x:v>
      </x:c>
    </x:row>
    <x:row r="11" ht="35" customHeight="1">
      <x:c r="A11" s="67" t="str">
        <x:v>CONTROLE</x:v>
      </x:c>
      <x:c r="B11" s="70" t="str">
        <x:v>Um controlador temporal autoritativo no notebook; BackOffice e Supervisor mobile recebem sempre o mesmo ID_Snapshot.</x:v>
      </x:c>
    </x:row>
    <x:row r="12" ht="35" customHeight="1">
      <x:c r="A12" s="67" t="str">
        <x:v>EVOLUÇÃO</x:v>
      </x:c>
      <x:c r="B12" s="70" t="str">
        <x:v>FEIRA_EVENTOS é um diff por ID_Chamado: NOVO, STATUS e CRITICIDADE. Uma conclusão é mudança para Status='Concluído'.</x:v>
      </x:c>
    </x:row>
    <x:row r="13" ht="35" customHeight="1">
      <x:c r="A13" s="67" t="str">
        <x:v>EVENTOS FUTUROS</x:v>
      </x:c>
      <x:c r="B13" s="70" t="str">
        <x:v>Nenhum Contactado, Aceito, Chegou ao Edifício ou Saída posterior ao snapshot é exposto. TB/Fechamento só na conclusão.</x:v>
      </x:c>
    </x:row>
    <x:row r="14" ht="35" customHeight="1">
      <x:c r="A14" s="67" t="str">
        <x:v>TA</x:v>
      </x:c>
      <x:c r="B14" s="70" t="str">
        <x:v>Minutos demonstrativos de Criado em até chegada ao edifício. Só preencher após ocorrência da chegada.</x:v>
      </x:c>
    </x:row>
    <x:row r="15" ht="35" customHeight="1">
      <x:c r="A15" s="67" t="str">
        <x:v>TB</x:v>
      </x:c>
      <x:c r="B15" s="70" t="str">
        <x:v>Minutos demonstrativos da chegada até resolução técnica; só preencher após conclusão. Saída, quando houver, é posterior à resolução.</x:v>
      </x:c>
    </x:row>
    <x:row r="16" ht="35" customHeight="1">
      <x:c r="A16" s="67" t="str">
        <x:v>SLA E PERCENTUAL</x:v>
      </x:c>
      <x:c r="B16" s="70" t="str">
        <x:v>Dados sintéticos: para ativos, tempo decorrido desde criação / SLA_min; para concluídos novos, (TA+TB)/SLA_min.</x:v>
      </x:c>
    </x:row>
    <x:row r="17" ht="35" customHeight="1">
      <x:c r="A17" s="67" t="str">
        <x:v>CRITICIDADE ORIGINAL</x:v>
      </x:c>
      <x:c r="B17" s="70" t="str">
        <x:v>T00–T02 preservam criticidade materializada original. Não recalcular as três fotografias originais.</x:v>
      </x:c>
    </x:row>
    <x:row r="18" ht="35" customHeight="1">
      <x:c r="A18" s="67" t="str">
        <x:v>CRITICIDADE ESTENDIDA</x:v>
      </x:c>
      <x:c r="B18" s="70" t="str">
        <x:v>Para estados simulados posteriores, Vermelho se percentual &gt;=100%, ou passageiro preso com &gt;=85%.</x:v>
      </x:c>
    </x:row>
    <x:row r="19" ht="35" customHeight="1">
      <x:c r="A19" s="67" t="str">
        <x:v>CRITICIDADE LARANJA</x:v>
      </x:c>
      <x:c r="B19" s="70" t="str">
        <x:v>Se não vermelho: percentual &gt;=80%, ou recorrência &gt;=4 e carro parado=Sim.</x:v>
      </x:c>
    </x:row>
    <x:row r="20" ht="35" customHeight="1">
      <x:c r="A20" s="67" t="str">
        <x:v>CRITICIDADE AMARELA</x:v>
      </x:c>
      <x:c r="B20" s="70" t="str">
        <x:v>Se não vermelho/laranja: percentual &gt;=55%, ou recorrência &gt;=2, ou carro parado/passageiro preso=Sim.</x:v>
      </x:c>
    </x:row>
    <x:row r="21" ht="35" customHeight="1">
      <x:c r="A21" s="67" t="str">
        <x:v>CRITICIDADE VERDE</x:v>
      </x:c>
      <x:c r="B21" s="70" t="str">
        <x:v>Caso contrário: operação dentro dos limiares SINTÉTICOS. Não utilizar como regra validada de produção OTIS.</x:v>
      </x:c>
    </x:row>
    <x:row r="22" ht="35" customHeight="1">
      <x:c r="A22" s="67" t="str">
        <x:v>CRÍTICO CONCLUÍDO</x:v>
      </x:c>
      <x:c r="B22" s="70" t="str">
        <x:v>Chamado Concluído mantém criticidade HISTÓRICA no registro, mas não gera alerta ativo.</x:v>
      </x:c>
    </x:row>
    <x:row r="23" ht="35" customHeight="1">
      <x:c r="A23" s="67" t="str">
        <x:v>STATUS</x:v>
      </x:c>
      <x:c r="B23" s="70" t="str">
        <x:v>Aberto → Contactado → Técnico a caminho → Em atendimento → Concluído. Etapas intermediárias podem ocorrer entre duas observações.</x:v>
      </x:c>
    </x:row>
    <x:row r="24" ht="35" customHeight="1">
      <x:c r="A24" s="67" t="str">
        <x:v>ETA_min</x:v>
      </x:c>
      <x:c r="B24" s="70" t="str">
        <x:v>Estimativa sintética restante para chegada do TÉCNICO. Não se refere a disponibilidade de estoque nem ETA de peças.</x:v>
      </x:c>
    </x:row>
    <x:row r="25" ht="35" customHeight="1">
      <x:c r="A25" s="67" t="str">
        <x:v>RECORRENCIA_30d</x:v>
      </x:c>
      <x:c r="B25" s="70" t="str">
        <x:v>Contexto sintético herdado/ajustado de perfis de origem, não reconciliado com a base HIST_60_DIAS.</x:v>
      </x:c>
    </x:row>
    <x:row r="26" ht="35" customHeight="1">
      <x:c r="A26" s="67" t="str">
        <x:v>CUSTO</x:v>
      </x:c>
      <x:c r="B26" s="70" t="str">
        <x:v>Custo_Estimado_R$: estimativa associada ao chamado, não custo de peças, receita, margem ou despesa real.</x:v>
      </x:c>
    </x:row>
    <x:row r="27" ht="35" customHeight="1">
      <x:c r="A27" s="67" t="str">
        <x:v>AÇÕES</x:v>
      </x:c>
      <x:c r="B27" s="70" t="str">
        <x:v>Insights descrevem hipóteses de apoio à decisão. ORQUESTRA não despacha técnicos, compra ou reserva peças.</x:v>
      </x:c>
    </x:row>
    <x:row r="28" ht="35" customHeight="1">
      <x:c r="A28" s="67" t="str">
        <x:v>EXT</x:v>
      </x:c>
      <x:c r="B28" s="70" t="str">
        <x:v>Estoque, localização de peças, fornecedores, disponibilidade real, custos reais e logística continuam integrações externas.</x:v>
      </x:c>
    </x:row>
    <x:row r="29" ht="35" customHeight="1">
      <x:c r="A29" s="67" t="str">
        <x:v>UNIDADES REPETIDAS</x:v>
      </x:c>
      <x:c r="B29" s="70" t="str">
        <x:v>Algumas novas ocorrências reutilizam unidades já vistas para demonstrar recorrência. Outras unidades são sintéticas adicionais.</x:v>
      </x:c>
    </x:row>
    <x:row r="30" ht="35" customHeight="1">
      <x:c r="A30" s="67" t="str">
        <x:v>LIMITAÇÃO</x:v>
      </x:c>
      <x:c r="B30" s="70" t="str">
        <x:v>Horários intermediários das transições entre snapshots são desconhecidos; demonstrar a mudança como observada na fotografia, não evento instantâneo.</x:v>
      </x:c>
    </x:row>
    <x:row r="31" ht="35" customHeight="1">
      <x:c r="A31" s="67" t="str">
        <x:v>IMPORTAÇÃO</x:v>
      </x:c>
      <x:c r="B31" s="70" t="str">
        <x:v>Codex: ler FEIRA_ROTEIRO para ordem/duração e FEIRA_ESTENDIDA agrupada por ID_Snapshot; comparar FEIRA_EVENTOS por ID, sem alterar importer original.</x:v>
      </x:c>
    </x:row>
    <x:row r="32" ht="35" customHeight="1">
      <x:c r="A32" s="67" t="str">
        <x:v>VALIDAÇÃO</x:v>
      </x:c>
      <x:c r="B32" s="70" t="str">
        <x:v>Conferir 12 estados (10→16→24→27→30→34→37→41→44→48→51→55), 55 IDs finais, 417 linhas, nenhuma informação futura.</x:v>
      </x:c>
    </x:row>
    <x:row r="33" ht="35" customHeight="1">
      <x:c r="A33" s="67" t="str">
        <x:v>AUTORIZAÇÃO</x:v>
      </x:c>
      <x:c r="B33" s="70" t="str">
        <x:v>Dataset proposto para análise/homologação; não modificar produto, branch, motor C9, Sup. Feira ou publicação sem aprovação.</x:v>
      </x:c>
    </x:row>
  </x:sheetData>
  <x:pageMargins left="0.7" right="0.7" top="0.75" bottom="0.75" header="0.3" footer="0.3"/>
</x:worksheet>
</file>